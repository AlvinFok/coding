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5" windowWidth="14955" windowHeight="8220" activeTab="1"/>
  </bookViews>
  <sheets>
    <sheet name="data" sheetId="1" r:id="rId1"/>
    <sheet name="result" sheetId="2" r:id="rId2"/>
  </sheets>
  <calcPr calcId="125725"/>
</workbook>
</file>

<file path=xl/calcChain.xml><?xml version="1.0" encoding="utf-8"?>
<calcChain xmlns="http://schemas.openxmlformats.org/spreadsheetml/2006/main">
  <c r="V53" i="2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63"/>
  <c r="V364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462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496"/>
  <c r="V497"/>
  <c r="V498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V520"/>
  <c r="V521"/>
  <c r="V522"/>
  <c r="V523"/>
  <c r="V524"/>
  <c r="V525"/>
  <c r="V526"/>
  <c r="V527"/>
  <c r="V528"/>
  <c r="V529"/>
  <c r="V530"/>
  <c r="V531"/>
  <c r="V532"/>
  <c r="V533"/>
  <c r="V534"/>
  <c r="V535"/>
  <c r="V536"/>
  <c r="V537"/>
  <c r="V538"/>
  <c r="V539"/>
  <c r="V540"/>
  <c r="V541"/>
  <c r="V542"/>
  <c r="V543"/>
  <c r="V544"/>
  <c r="V545"/>
  <c r="V546"/>
  <c r="V547"/>
  <c r="V548"/>
  <c r="V549"/>
  <c r="V550"/>
  <c r="V551"/>
  <c r="V552"/>
  <c r="V553"/>
  <c r="V554"/>
  <c r="V555"/>
  <c r="V556"/>
  <c r="V557"/>
  <c r="V558"/>
  <c r="V559"/>
  <c r="V560"/>
  <c r="V561"/>
  <c r="V562"/>
  <c r="V563"/>
  <c r="V564"/>
  <c r="V565"/>
  <c r="V566"/>
  <c r="V567"/>
  <c r="V568"/>
  <c r="V569"/>
  <c r="V570"/>
  <c r="V571"/>
  <c r="V572"/>
  <c r="V573"/>
  <c r="V574"/>
  <c r="V575"/>
  <c r="V576"/>
  <c r="V577"/>
  <c r="V578"/>
  <c r="V579"/>
  <c r="V580"/>
  <c r="V581"/>
  <c r="V582"/>
  <c r="V583"/>
  <c r="V584"/>
  <c r="V585"/>
  <c r="V586"/>
  <c r="V587"/>
  <c r="V588"/>
  <c r="V589"/>
  <c r="V590"/>
  <c r="V591"/>
  <c r="V592"/>
  <c r="V593"/>
  <c r="V594"/>
  <c r="V595"/>
  <c r="V596"/>
  <c r="V597"/>
  <c r="V598"/>
  <c r="V599"/>
  <c r="V600"/>
  <c r="V601"/>
  <c r="V602"/>
  <c r="V603"/>
  <c r="V604"/>
  <c r="V605"/>
  <c r="V606"/>
  <c r="V607"/>
  <c r="V608"/>
  <c r="V609"/>
  <c r="V610"/>
  <c r="V611"/>
  <c r="V612"/>
  <c r="V613"/>
  <c r="V614"/>
  <c r="V615"/>
  <c r="V616"/>
  <c r="V617"/>
  <c r="V618"/>
  <c r="V619"/>
  <c r="V620"/>
  <c r="V621"/>
  <c r="V622"/>
  <c r="V623"/>
  <c r="V624"/>
  <c r="V625"/>
  <c r="V626"/>
  <c r="V627"/>
  <c r="V628"/>
  <c r="V629"/>
  <c r="V630"/>
  <c r="V631"/>
  <c r="V632"/>
  <c r="V633"/>
  <c r="V634"/>
  <c r="V635"/>
  <c r="V636"/>
  <c r="V637"/>
  <c r="V638"/>
  <c r="V639"/>
  <c r="V640"/>
  <c r="V641"/>
  <c r="V642"/>
  <c r="V643"/>
  <c r="V644"/>
  <c r="V645"/>
  <c r="V646"/>
  <c r="V647"/>
  <c r="V648"/>
  <c r="V649"/>
  <c r="V650"/>
  <c r="V651"/>
  <c r="V652"/>
  <c r="V653"/>
  <c r="V654"/>
  <c r="V655"/>
  <c r="V656"/>
  <c r="V657"/>
  <c r="V658"/>
  <c r="V659"/>
  <c r="V660"/>
  <c r="V661"/>
  <c r="V662"/>
  <c r="V663"/>
  <c r="V664"/>
  <c r="V665"/>
  <c r="V666"/>
  <c r="V667"/>
  <c r="V668"/>
  <c r="V669"/>
  <c r="V670"/>
  <c r="V671"/>
  <c r="V672"/>
  <c r="V673"/>
  <c r="V674"/>
  <c r="V675"/>
  <c r="V676"/>
  <c r="V677"/>
  <c r="V678"/>
  <c r="V679"/>
  <c r="V680"/>
  <c r="V681"/>
  <c r="V682"/>
  <c r="V683"/>
  <c r="V684"/>
  <c r="V685"/>
  <c r="V686"/>
  <c r="V687"/>
  <c r="V688"/>
  <c r="V689"/>
  <c r="V690"/>
  <c r="V691"/>
  <c r="V692"/>
  <c r="V693"/>
  <c r="V694"/>
  <c r="V695"/>
  <c r="V696"/>
  <c r="V697"/>
  <c r="V698"/>
  <c r="V699"/>
  <c r="V700"/>
  <c r="V701"/>
  <c r="V702"/>
  <c r="V703"/>
  <c r="V704"/>
  <c r="V705"/>
  <c r="V706"/>
  <c r="V707"/>
  <c r="V708"/>
  <c r="V709"/>
  <c r="V710"/>
  <c r="V711"/>
  <c r="V712"/>
  <c r="V713"/>
  <c r="V714"/>
  <c r="V715"/>
  <c r="V716"/>
  <c r="V717"/>
  <c r="V718"/>
  <c r="V719"/>
  <c r="V720"/>
  <c r="V721"/>
  <c r="V722"/>
  <c r="V723"/>
  <c r="V724"/>
  <c r="V725"/>
  <c r="V726"/>
  <c r="V727"/>
  <c r="V728"/>
  <c r="V729"/>
  <c r="V730"/>
  <c r="V731"/>
  <c r="V732"/>
  <c r="V733"/>
  <c r="V734"/>
  <c r="V735"/>
  <c r="V736"/>
  <c r="V737"/>
  <c r="V738"/>
  <c r="V739"/>
  <c r="V740"/>
  <c r="V741"/>
  <c r="V742"/>
  <c r="V743"/>
  <c r="V744"/>
  <c r="V745"/>
  <c r="V746"/>
  <c r="V747"/>
  <c r="V748"/>
  <c r="V749"/>
  <c r="V750"/>
  <c r="V751"/>
  <c r="V752"/>
  <c r="V753"/>
  <c r="V754"/>
  <c r="V755"/>
  <c r="V756"/>
  <c r="V757"/>
  <c r="V758"/>
  <c r="V759"/>
  <c r="V760"/>
  <c r="V761"/>
  <c r="V762"/>
  <c r="V763"/>
  <c r="V764"/>
  <c r="V765"/>
  <c r="V766"/>
  <c r="V767"/>
  <c r="V768"/>
  <c r="V769"/>
  <c r="V770"/>
  <c r="V771"/>
  <c r="V772"/>
  <c r="V773"/>
  <c r="V774"/>
  <c r="V775"/>
  <c r="V776"/>
  <c r="V777"/>
  <c r="V778"/>
  <c r="V779"/>
  <c r="V780"/>
  <c r="V781"/>
  <c r="V782"/>
  <c r="V783"/>
  <c r="V784"/>
  <c r="V785"/>
  <c r="V786"/>
  <c r="V787"/>
  <c r="V788"/>
  <c r="V789"/>
  <c r="V790"/>
  <c r="V791"/>
  <c r="V792"/>
  <c r="V793"/>
  <c r="V794"/>
  <c r="V795"/>
  <c r="V796"/>
  <c r="V797"/>
  <c r="V798"/>
  <c r="V799"/>
  <c r="V800"/>
  <c r="V801"/>
  <c r="V802"/>
  <c r="V803"/>
  <c r="V804"/>
  <c r="V805"/>
  <c r="V806"/>
  <c r="V807"/>
  <c r="V808"/>
  <c r="V809"/>
  <c r="V810"/>
  <c r="V811"/>
  <c r="V812"/>
  <c r="V813"/>
  <c r="V814"/>
  <c r="V815"/>
  <c r="V816"/>
  <c r="V817"/>
  <c r="V818"/>
  <c r="V819"/>
  <c r="V820"/>
  <c r="V821"/>
  <c r="V822"/>
  <c r="V823"/>
  <c r="V824"/>
  <c r="V825"/>
  <c r="V826"/>
  <c r="V827"/>
  <c r="V828"/>
  <c r="V829"/>
  <c r="V830"/>
  <c r="V831"/>
  <c r="V832"/>
  <c r="V833"/>
  <c r="V834"/>
  <c r="V835"/>
  <c r="V836"/>
  <c r="V837"/>
  <c r="V838"/>
  <c r="V839"/>
  <c r="V840"/>
  <c r="V841"/>
  <c r="V842"/>
  <c r="V843"/>
  <c r="V844"/>
  <c r="V845"/>
  <c r="V846"/>
  <c r="V847"/>
  <c r="V848"/>
  <c r="V849"/>
  <c r="V850"/>
  <c r="V851"/>
  <c r="V852"/>
  <c r="V853"/>
  <c r="V854"/>
  <c r="V855"/>
  <c r="V856"/>
  <c r="V857"/>
  <c r="V858"/>
  <c r="V859"/>
  <c r="V860"/>
  <c r="V861"/>
  <c r="V862"/>
  <c r="V863"/>
  <c r="V864"/>
  <c r="V865"/>
  <c r="V866"/>
  <c r="V867"/>
  <c r="V868"/>
  <c r="V869"/>
  <c r="V870"/>
  <c r="V871"/>
  <c r="V872"/>
  <c r="V873"/>
  <c r="V874"/>
  <c r="V875"/>
  <c r="V876"/>
  <c r="V877"/>
  <c r="V878"/>
  <c r="V879"/>
  <c r="V880"/>
  <c r="V881"/>
  <c r="V882"/>
  <c r="V883"/>
  <c r="V884"/>
  <c r="V885"/>
  <c r="V886"/>
  <c r="V887"/>
  <c r="V888"/>
  <c r="V889"/>
  <c r="V890"/>
  <c r="V891"/>
  <c r="V892"/>
  <c r="V893"/>
  <c r="V894"/>
  <c r="V895"/>
  <c r="V896"/>
  <c r="V897"/>
  <c r="V898"/>
  <c r="V899"/>
  <c r="V900"/>
  <c r="V901"/>
  <c r="V902"/>
  <c r="V903"/>
  <c r="V904"/>
  <c r="V905"/>
  <c r="V906"/>
  <c r="V907"/>
  <c r="V908"/>
  <c r="V909"/>
  <c r="V910"/>
  <c r="V911"/>
  <c r="V912"/>
  <c r="V913"/>
  <c r="V914"/>
  <c r="V915"/>
  <c r="V916"/>
  <c r="V917"/>
  <c r="V918"/>
  <c r="V919"/>
  <c r="V920"/>
  <c r="V921"/>
  <c r="V922"/>
  <c r="V923"/>
  <c r="V924"/>
  <c r="V925"/>
  <c r="V926"/>
  <c r="V927"/>
  <c r="V928"/>
  <c r="V929"/>
  <c r="V930"/>
  <c r="V931"/>
  <c r="V932"/>
  <c r="V933"/>
  <c r="V934"/>
  <c r="V935"/>
  <c r="V936"/>
  <c r="V937"/>
  <c r="V938"/>
  <c r="V939"/>
  <c r="V940"/>
  <c r="V941"/>
  <c r="V942"/>
  <c r="V943"/>
  <c r="V944"/>
  <c r="V945"/>
  <c r="V946"/>
  <c r="V947"/>
  <c r="V948"/>
  <c r="V949"/>
  <c r="V950"/>
  <c r="V951"/>
  <c r="V952"/>
  <c r="V953"/>
  <c r="V954"/>
  <c r="V955"/>
  <c r="V956"/>
  <c r="V957"/>
  <c r="V958"/>
  <c r="V959"/>
  <c r="V960"/>
  <c r="V961"/>
  <c r="V962"/>
  <c r="V963"/>
  <c r="V964"/>
  <c r="V965"/>
  <c r="V966"/>
  <c r="V967"/>
  <c r="V968"/>
  <c r="V969"/>
  <c r="V970"/>
  <c r="V971"/>
  <c r="V972"/>
  <c r="V973"/>
  <c r="V974"/>
  <c r="V975"/>
  <c r="V976"/>
  <c r="V977"/>
  <c r="V978"/>
  <c r="V979"/>
  <c r="V980"/>
  <c r="V981"/>
  <c r="V982"/>
  <c r="V983"/>
  <c r="V984"/>
  <c r="V985"/>
  <c r="V986"/>
  <c r="V987"/>
  <c r="V988"/>
  <c r="V989"/>
  <c r="V990"/>
  <c r="V991"/>
  <c r="V992"/>
  <c r="V993"/>
  <c r="V994"/>
  <c r="V995"/>
  <c r="V996"/>
  <c r="V997"/>
  <c r="V998"/>
  <c r="V999"/>
  <c r="V1000"/>
  <c r="V1001"/>
  <c r="V1002"/>
  <c r="V1003"/>
  <c r="V1004"/>
  <c r="V1005"/>
  <c r="V1006"/>
  <c r="V1007"/>
  <c r="V1008"/>
  <c r="V1009"/>
  <c r="V1010"/>
  <c r="V1011"/>
  <c r="V1012"/>
  <c r="V1013"/>
  <c r="V1014"/>
  <c r="V1015"/>
  <c r="V1016"/>
  <c r="V1017"/>
  <c r="V1018"/>
  <c r="V1019"/>
  <c r="V1020"/>
  <c r="V1021"/>
  <c r="V1022"/>
  <c r="V1023"/>
  <c r="V1024"/>
  <c r="V1025"/>
  <c r="V1026"/>
  <c r="V1027"/>
  <c r="V1028"/>
  <c r="V1029"/>
  <c r="V1030"/>
  <c r="V1031"/>
  <c r="V1032"/>
  <c r="V1033"/>
  <c r="V1034"/>
  <c r="V1035"/>
  <c r="V1036"/>
  <c r="V1037"/>
  <c r="V1038"/>
  <c r="V1039"/>
  <c r="V1040"/>
  <c r="V1041"/>
  <c r="V1042"/>
  <c r="V1043"/>
  <c r="V1044"/>
  <c r="V1045"/>
  <c r="V1046"/>
  <c r="V1047"/>
  <c r="V1048"/>
  <c r="V1049"/>
  <c r="V1050"/>
  <c r="V1051"/>
  <c r="V1052"/>
  <c r="V1053"/>
  <c r="V1054"/>
  <c r="V1055"/>
  <c r="V1056"/>
  <c r="V1057"/>
  <c r="V1058"/>
  <c r="V1059"/>
  <c r="V1060"/>
  <c r="V1061"/>
  <c r="V1062"/>
  <c r="V1063"/>
  <c r="V1064"/>
  <c r="V1065"/>
  <c r="V1066"/>
  <c r="V1067"/>
  <c r="V1068"/>
  <c r="V1069"/>
  <c r="V1070"/>
  <c r="V1071"/>
  <c r="V1072"/>
  <c r="V1073"/>
  <c r="V1074"/>
  <c r="V1075"/>
  <c r="V1076"/>
  <c r="V1077"/>
  <c r="V1078"/>
  <c r="V1079"/>
  <c r="V1080"/>
  <c r="V1081"/>
  <c r="V1082"/>
  <c r="V1083"/>
  <c r="V1084"/>
  <c r="V1085"/>
  <c r="V1086"/>
  <c r="V1087"/>
  <c r="V1088"/>
  <c r="V1089"/>
  <c r="V1090"/>
  <c r="V1091"/>
  <c r="V1092"/>
  <c r="V1093"/>
  <c r="V1094"/>
  <c r="V1095"/>
  <c r="V1096"/>
  <c r="V1097"/>
  <c r="V1098"/>
  <c r="V1099"/>
  <c r="V1100"/>
  <c r="V1101"/>
  <c r="V1102"/>
  <c r="V1103"/>
  <c r="V1104"/>
  <c r="V1105"/>
  <c r="V1106"/>
  <c r="V1107"/>
  <c r="V1108"/>
  <c r="V1109"/>
  <c r="V1110"/>
  <c r="V1111"/>
  <c r="V1112"/>
  <c r="V1113"/>
  <c r="V1114"/>
  <c r="V1115"/>
  <c r="V1116"/>
  <c r="V1117"/>
  <c r="V1118"/>
  <c r="V1119"/>
  <c r="V1120"/>
  <c r="V1121"/>
  <c r="V1122"/>
  <c r="V1123"/>
  <c r="V1124"/>
  <c r="V1125"/>
  <c r="V1126"/>
  <c r="V1127"/>
  <c r="V1128"/>
  <c r="V1129"/>
  <c r="V1130"/>
  <c r="V1131"/>
  <c r="V1132"/>
  <c r="V1133"/>
  <c r="V1134"/>
  <c r="V1135"/>
  <c r="V1136"/>
  <c r="V1137"/>
  <c r="V1138"/>
  <c r="V1139"/>
  <c r="V1140"/>
  <c r="V1141"/>
  <c r="V1142"/>
  <c r="V1143"/>
  <c r="V1144"/>
  <c r="V1145"/>
  <c r="V1146"/>
  <c r="V1147"/>
  <c r="V1148"/>
  <c r="V1149"/>
  <c r="V1150"/>
  <c r="V1151"/>
  <c r="V1152"/>
  <c r="V1153"/>
  <c r="V1154"/>
  <c r="V1155"/>
  <c r="V1156"/>
  <c r="V1157"/>
  <c r="V1158"/>
  <c r="V1159"/>
  <c r="V1160"/>
  <c r="V1161"/>
  <c r="V1162"/>
  <c r="V1163"/>
  <c r="V1164"/>
  <c r="V1165"/>
  <c r="V1166"/>
  <c r="V1167"/>
  <c r="V1168"/>
  <c r="V1169"/>
  <c r="V1170"/>
  <c r="V1171"/>
  <c r="V1172"/>
  <c r="V1173"/>
  <c r="V1174"/>
  <c r="V1175"/>
  <c r="V1176"/>
  <c r="V1177"/>
  <c r="V1178"/>
  <c r="V1179"/>
  <c r="V1180"/>
  <c r="V1181"/>
  <c r="V1182"/>
  <c r="V1183"/>
  <c r="V1184"/>
  <c r="V1185"/>
  <c r="V1186"/>
  <c r="V1187"/>
  <c r="V1188"/>
  <c r="V1189"/>
  <c r="V1190"/>
  <c r="V1191"/>
  <c r="V1192"/>
  <c r="V1193"/>
  <c r="V1194"/>
  <c r="V1195"/>
  <c r="V1196"/>
  <c r="V1197"/>
  <c r="V1198"/>
  <c r="V1199"/>
  <c r="V1200"/>
  <c r="V1201"/>
  <c r="V1202"/>
  <c r="V1203"/>
  <c r="V1204"/>
  <c r="V1205"/>
  <c r="V1206"/>
  <c r="V1207"/>
  <c r="V1208"/>
  <c r="V1209"/>
  <c r="V1210"/>
  <c r="V1211"/>
  <c r="V1212"/>
  <c r="V1213"/>
  <c r="V1214"/>
  <c r="V1215"/>
  <c r="V1216"/>
  <c r="V1217"/>
  <c r="V1218"/>
  <c r="V1219"/>
  <c r="V1220"/>
  <c r="V1221"/>
  <c r="V1222"/>
  <c r="V1223"/>
  <c r="V1224"/>
  <c r="V1225"/>
  <c r="V1226"/>
  <c r="V1227"/>
  <c r="V1228"/>
  <c r="V1229"/>
  <c r="V1230"/>
  <c r="V1231"/>
  <c r="V1232"/>
  <c r="V1233"/>
  <c r="V1234"/>
  <c r="V1235"/>
  <c r="V1236"/>
  <c r="V1237"/>
  <c r="V1238"/>
  <c r="V1239"/>
  <c r="V1240"/>
  <c r="V1241"/>
  <c r="V1242"/>
  <c r="V1243"/>
  <c r="V1244"/>
  <c r="V1245"/>
  <c r="V1246"/>
  <c r="V1247"/>
  <c r="V1248"/>
  <c r="V1249"/>
  <c r="V1250"/>
  <c r="V1251"/>
  <c r="V1252"/>
  <c r="V1253"/>
  <c r="V1254"/>
  <c r="V1255"/>
  <c r="V1256"/>
  <c r="V1257"/>
  <c r="V1258"/>
  <c r="V1259"/>
  <c r="V1260"/>
  <c r="V1261"/>
  <c r="V1262"/>
  <c r="V1263"/>
  <c r="V1264"/>
  <c r="V1265"/>
  <c r="V1266"/>
  <c r="V1267"/>
  <c r="V1268"/>
  <c r="V1269"/>
  <c r="V1270"/>
  <c r="V1271"/>
  <c r="V1272"/>
  <c r="V1273"/>
  <c r="V1274"/>
  <c r="V1275"/>
  <c r="V1276"/>
  <c r="V1277"/>
  <c r="V1278"/>
  <c r="V1279"/>
  <c r="V1280"/>
  <c r="V1281"/>
  <c r="V1282"/>
  <c r="V1283"/>
  <c r="V1284"/>
  <c r="V1285"/>
  <c r="V1286"/>
  <c r="V1287"/>
  <c r="V1288"/>
  <c r="V1289"/>
  <c r="V1290"/>
  <c r="V1291"/>
  <c r="V1292"/>
  <c r="V1293"/>
  <c r="V1294"/>
  <c r="V1295"/>
  <c r="V1296"/>
  <c r="V1297"/>
  <c r="V1298"/>
  <c r="V1299"/>
  <c r="V1300"/>
  <c r="V1301"/>
  <c r="V1302"/>
  <c r="V1303"/>
  <c r="V1304"/>
  <c r="V1305"/>
  <c r="V1306"/>
  <c r="V1307"/>
  <c r="V1308"/>
  <c r="V1309"/>
  <c r="V1310"/>
  <c r="V1311"/>
  <c r="V1312"/>
  <c r="V1313"/>
  <c r="V1314"/>
  <c r="V1315"/>
  <c r="V1316"/>
  <c r="V1317"/>
  <c r="V1318"/>
  <c r="V1319"/>
  <c r="V1320"/>
  <c r="V1321"/>
  <c r="V1322"/>
  <c r="V1323"/>
  <c r="V1324"/>
  <c r="V1325"/>
  <c r="V1326"/>
  <c r="V1327"/>
  <c r="V1328"/>
  <c r="V1329"/>
  <c r="V1330"/>
  <c r="V1331"/>
  <c r="V1332"/>
  <c r="V1333"/>
  <c r="V1334"/>
  <c r="V1335"/>
  <c r="V1336"/>
  <c r="V1337"/>
  <c r="V1338"/>
  <c r="V1339"/>
  <c r="V1340"/>
  <c r="V1341"/>
  <c r="V1342"/>
  <c r="V1343"/>
  <c r="V1344"/>
  <c r="V1345"/>
  <c r="V1346"/>
  <c r="V1347"/>
  <c r="V1348"/>
  <c r="V1349"/>
  <c r="V1350"/>
  <c r="V1351"/>
  <c r="V1352"/>
  <c r="V1353"/>
  <c r="V1354"/>
  <c r="V1355"/>
  <c r="V1356"/>
  <c r="V1357"/>
  <c r="V1358"/>
  <c r="V1359"/>
  <c r="V1360"/>
  <c r="V1361"/>
  <c r="V1362"/>
  <c r="V1363"/>
  <c r="V1364"/>
  <c r="V1365"/>
  <c r="V1366"/>
  <c r="V1367"/>
  <c r="V1368"/>
  <c r="V1369"/>
  <c r="V1370"/>
  <c r="V1371"/>
  <c r="V1372"/>
  <c r="V1373"/>
  <c r="V1374"/>
  <c r="V1375"/>
  <c r="V1376"/>
  <c r="V1377"/>
  <c r="V1378"/>
  <c r="V1379"/>
  <c r="V1380"/>
  <c r="V1381"/>
  <c r="V1382"/>
  <c r="V1383"/>
  <c r="V1384"/>
  <c r="V1385"/>
  <c r="V1386"/>
  <c r="V1387"/>
  <c r="V1388"/>
  <c r="V1389"/>
  <c r="V1390"/>
  <c r="V1391"/>
  <c r="V1392"/>
  <c r="V1393"/>
  <c r="V1394"/>
  <c r="V1395"/>
  <c r="V1396"/>
  <c r="V1397"/>
  <c r="V1398"/>
  <c r="V1399"/>
  <c r="V1400"/>
  <c r="V1401"/>
  <c r="V1402"/>
  <c r="V1403"/>
  <c r="V1404"/>
  <c r="V1405"/>
  <c r="V1406"/>
  <c r="V1407"/>
  <c r="V1408"/>
  <c r="V1409"/>
  <c r="V1410"/>
  <c r="V1411"/>
  <c r="V1412"/>
  <c r="V1413"/>
  <c r="V1414"/>
  <c r="V1415"/>
  <c r="V1416"/>
  <c r="V1417"/>
  <c r="V1418"/>
  <c r="V1419"/>
  <c r="V1420"/>
  <c r="V1421"/>
  <c r="V1422"/>
  <c r="V1423"/>
  <c r="V1424"/>
  <c r="V1425"/>
  <c r="V1426"/>
  <c r="V1427"/>
  <c r="V1428"/>
  <c r="V1429"/>
  <c r="V1430"/>
  <c r="V1431"/>
  <c r="V1432"/>
  <c r="V1433"/>
  <c r="V1434"/>
  <c r="V1435"/>
  <c r="V1436"/>
  <c r="V1437"/>
  <c r="V1438"/>
  <c r="V1439"/>
  <c r="V1440"/>
  <c r="V1441"/>
  <c r="V1442"/>
  <c r="V1443"/>
  <c r="V1444"/>
  <c r="V1445"/>
  <c r="V1446"/>
  <c r="V1447"/>
  <c r="V1448"/>
  <c r="V1449"/>
  <c r="V1450"/>
  <c r="V1451"/>
  <c r="V1452"/>
  <c r="V1453"/>
  <c r="V1454"/>
  <c r="V1455"/>
  <c r="V1456"/>
  <c r="V1457"/>
  <c r="V1458"/>
  <c r="V1459"/>
  <c r="V1460"/>
  <c r="V1461"/>
  <c r="V1462"/>
  <c r="V1463"/>
  <c r="V1464"/>
  <c r="V1465"/>
  <c r="V1466"/>
  <c r="V1467"/>
  <c r="V1468"/>
  <c r="V1469"/>
  <c r="V1470"/>
  <c r="V1471"/>
  <c r="V1472"/>
  <c r="V1473"/>
  <c r="V1474"/>
  <c r="V1475"/>
  <c r="V1476"/>
  <c r="V1477"/>
  <c r="V1478"/>
  <c r="V1479"/>
  <c r="V1480"/>
  <c r="V1481"/>
  <c r="V1482"/>
  <c r="V1483"/>
  <c r="V1484"/>
  <c r="V1485"/>
  <c r="V1486"/>
  <c r="V1487"/>
  <c r="V1488"/>
  <c r="V1489"/>
  <c r="V1490"/>
  <c r="V1491"/>
  <c r="V1492"/>
  <c r="V1493"/>
  <c r="V1494"/>
  <c r="V1495"/>
  <c r="V1496"/>
  <c r="V1497"/>
  <c r="V1498"/>
  <c r="V1499"/>
  <c r="V1500"/>
  <c r="V1501"/>
  <c r="V1502"/>
  <c r="V1503"/>
  <c r="V1504"/>
  <c r="V1505"/>
  <c r="V1506"/>
  <c r="V1507"/>
  <c r="V1508"/>
  <c r="V1509"/>
  <c r="V1510"/>
  <c r="V1511"/>
  <c r="V1512"/>
  <c r="V1513"/>
  <c r="V1514"/>
  <c r="V1515"/>
  <c r="V1516"/>
  <c r="V1517"/>
  <c r="V1518"/>
  <c r="V1519"/>
  <c r="V1520"/>
  <c r="V1521"/>
  <c r="V1522"/>
  <c r="V1523"/>
  <c r="V1524"/>
  <c r="V1525"/>
  <c r="V1526"/>
  <c r="V1527"/>
  <c r="V1528"/>
  <c r="V1529"/>
  <c r="V1530"/>
  <c r="V1531"/>
  <c r="V1532"/>
  <c r="V1533"/>
  <c r="V1534"/>
  <c r="V1535"/>
  <c r="V1536"/>
  <c r="V1537"/>
  <c r="V1538"/>
  <c r="V1539"/>
  <c r="V1540"/>
  <c r="V1541"/>
  <c r="V1542"/>
  <c r="V1543"/>
  <c r="V1544"/>
  <c r="V1545"/>
  <c r="V1546"/>
  <c r="V1547"/>
  <c r="V1548"/>
  <c r="V1549"/>
  <c r="V1550"/>
  <c r="V1551"/>
  <c r="V1552"/>
  <c r="V1553"/>
  <c r="V1554"/>
  <c r="V1555"/>
  <c r="V1556"/>
  <c r="V1557"/>
  <c r="V1558"/>
  <c r="V1559"/>
  <c r="V1560"/>
  <c r="V1561"/>
  <c r="V1562"/>
  <c r="V1563"/>
  <c r="V1564"/>
  <c r="V1565"/>
  <c r="V1566"/>
  <c r="V1567"/>
  <c r="V1568"/>
  <c r="V1569"/>
  <c r="V1570"/>
  <c r="V1571"/>
  <c r="V1572"/>
  <c r="V1573"/>
  <c r="V1574"/>
  <c r="V1575"/>
  <c r="V1576"/>
  <c r="V1577"/>
  <c r="V1578"/>
  <c r="V1579"/>
  <c r="V1580"/>
  <c r="V1581"/>
  <c r="V1582"/>
  <c r="V1583"/>
  <c r="V1584"/>
  <c r="V1585"/>
  <c r="V1586"/>
  <c r="V1587"/>
  <c r="V1588"/>
  <c r="V1589"/>
  <c r="V1590"/>
  <c r="V1591"/>
  <c r="V1592"/>
  <c r="V1593"/>
  <c r="V1594"/>
  <c r="V1595"/>
  <c r="V1596"/>
  <c r="V1597"/>
  <c r="V1598"/>
  <c r="V1599"/>
  <c r="V1600"/>
  <c r="V1601"/>
  <c r="V1602"/>
  <c r="V1603"/>
  <c r="V1604"/>
  <c r="V1605"/>
  <c r="V1606"/>
  <c r="V1607"/>
  <c r="V1608"/>
  <c r="V1609"/>
  <c r="V1610"/>
  <c r="V1611"/>
  <c r="V1612"/>
  <c r="V1613"/>
  <c r="V1614"/>
  <c r="V1615"/>
  <c r="V1616"/>
  <c r="V1617"/>
  <c r="V1618"/>
  <c r="V1619"/>
  <c r="V1620"/>
  <c r="V1621"/>
  <c r="V1622"/>
  <c r="V1623"/>
  <c r="V1624"/>
  <c r="V1625"/>
  <c r="V1626"/>
  <c r="V1627"/>
  <c r="V1628"/>
  <c r="V1629"/>
  <c r="V1630"/>
  <c r="V1631"/>
  <c r="V1632"/>
  <c r="V1633"/>
  <c r="V1634"/>
  <c r="V1635"/>
  <c r="V1636"/>
  <c r="V1637"/>
  <c r="V1638"/>
  <c r="V1639"/>
  <c r="V1640"/>
  <c r="V1641"/>
  <c r="V1642"/>
  <c r="V1643"/>
  <c r="V1644"/>
  <c r="V1645"/>
  <c r="V1646"/>
  <c r="V1647"/>
  <c r="V1648"/>
  <c r="V1649"/>
  <c r="V1650"/>
  <c r="V1651"/>
  <c r="V1652"/>
  <c r="V1653"/>
  <c r="V1654"/>
  <c r="V1655"/>
  <c r="V1656"/>
  <c r="V1657"/>
  <c r="V1658"/>
  <c r="V1659"/>
  <c r="V1660"/>
  <c r="V1661"/>
  <c r="V1662"/>
  <c r="V1663"/>
  <c r="V1664"/>
  <c r="V1665"/>
  <c r="V1666"/>
  <c r="V1667"/>
  <c r="V1668"/>
  <c r="V1669"/>
  <c r="V1670"/>
  <c r="V1671"/>
  <c r="V1672"/>
  <c r="V1673"/>
  <c r="V1674"/>
  <c r="V1675"/>
  <c r="V1676"/>
  <c r="V1677"/>
  <c r="V1678"/>
  <c r="V1679"/>
  <c r="V1680"/>
  <c r="V1681"/>
  <c r="V1682"/>
  <c r="V52"/>
  <c r="W52" s="1"/>
  <c r="M52"/>
  <c r="W53" l="1"/>
  <c r="X53"/>
  <c r="X52"/>
  <c r="U54"/>
  <c r="U55" s="1"/>
  <c r="U56" s="1"/>
  <c r="U57" s="1"/>
  <c r="U58" s="1"/>
  <c r="U59" s="1"/>
  <c r="U60" s="1"/>
  <c r="U61" s="1"/>
  <c r="U62" s="1"/>
  <c r="U63" s="1"/>
  <c r="U64" s="1"/>
  <c r="U65" s="1"/>
  <c r="U66" s="1"/>
  <c r="U67" s="1"/>
  <c r="U68" s="1"/>
  <c r="U69" s="1"/>
  <c r="U70" s="1"/>
  <c r="U71" s="1"/>
  <c r="U72" s="1"/>
  <c r="U73" s="1"/>
  <c r="U74" s="1"/>
  <c r="U75" s="1"/>
  <c r="U76" s="1"/>
  <c r="U77" s="1"/>
  <c r="U78" s="1"/>
  <c r="U79" s="1"/>
  <c r="U80" s="1"/>
  <c r="U81" s="1"/>
  <c r="U82" s="1"/>
  <c r="U83" s="1"/>
  <c r="U84" s="1"/>
  <c r="U85" s="1"/>
  <c r="U86" s="1"/>
  <c r="U87" s="1"/>
  <c r="U88" s="1"/>
  <c r="U89" s="1"/>
  <c r="U90" s="1"/>
  <c r="U91" s="1"/>
  <c r="U92" s="1"/>
  <c r="U93" s="1"/>
  <c r="U94" s="1"/>
  <c r="U95" s="1"/>
  <c r="U96" s="1"/>
  <c r="U97" s="1"/>
  <c r="U98" s="1"/>
  <c r="U99" s="1"/>
  <c r="U100" s="1"/>
  <c r="U101" s="1"/>
  <c r="U102" s="1"/>
  <c r="U103" s="1"/>
  <c r="U104" s="1"/>
  <c r="U105" s="1"/>
  <c r="U106" s="1"/>
  <c r="U107" s="1"/>
  <c r="U108" s="1"/>
  <c r="U109" s="1"/>
  <c r="U110" s="1"/>
  <c r="U111" s="1"/>
  <c r="U112" s="1"/>
  <c r="U113" s="1"/>
  <c r="U114" s="1"/>
  <c r="U115" s="1"/>
  <c r="U116" s="1"/>
  <c r="U117" s="1"/>
  <c r="U118" s="1"/>
  <c r="U119" s="1"/>
  <c r="U120" s="1"/>
  <c r="U121" s="1"/>
  <c r="U122" s="1"/>
  <c r="U123" s="1"/>
  <c r="U124" s="1"/>
  <c r="U125" s="1"/>
  <c r="U126" s="1"/>
  <c r="U127" s="1"/>
  <c r="U128" s="1"/>
  <c r="U129" s="1"/>
  <c r="U130" s="1"/>
  <c r="U131" s="1"/>
  <c r="U132" s="1"/>
  <c r="U133" s="1"/>
  <c r="U134" s="1"/>
  <c r="U135" s="1"/>
  <c r="U136" s="1"/>
  <c r="U137" s="1"/>
  <c r="U138" s="1"/>
  <c r="U139" s="1"/>
  <c r="U140" s="1"/>
  <c r="U141" s="1"/>
  <c r="U142" s="1"/>
  <c r="U143" s="1"/>
  <c r="U144" s="1"/>
  <c r="U145" s="1"/>
  <c r="U146" s="1"/>
  <c r="U147" s="1"/>
  <c r="U148" s="1"/>
  <c r="U149" s="1"/>
  <c r="U150" s="1"/>
  <c r="U151" s="1"/>
  <c r="U152" s="1"/>
  <c r="U153" s="1"/>
  <c r="U154" s="1"/>
  <c r="U155" s="1"/>
  <c r="U156" s="1"/>
  <c r="U157" s="1"/>
  <c r="U158" s="1"/>
  <c r="U159" s="1"/>
  <c r="U160" s="1"/>
  <c r="U161" s="1"/>
  <c r="U162" s="1"/>
  <c r="U163" s="1"/>
  <c r="U164" s="1"/>
  <c r="U165" s="1"/>
  <c r="U166" s="1"/>
  <c r="U167" s="1"/>
  <c r="U168" s="1"/>
  <c r="U169" s="1"/>
  <c r="U170" s="1"/>
  <c r="U171" s="1"/>
  <c r="U172" s="1"/>
  <c r="U173" s="1"/>
  <c r="U174" s="1"/>
  <c r="U175" s="1"/>
  <c r="U176" s="1"/>
  <c r="U177" s="1"/>
  <c r="U178" s="1"/>
  <c r="U179" s="1"/>
  <c r="U180" s="1"/>
  <c r="U181" s="1"/>
  <c r="U182" s="1"/>
  <c r="U183" s="1"/>
  <c r="U184" s="1"/>
  <c r="U185" s="1"/>
  <c r="U186" s="1"/>
  <c r="U187" s="1"/>
  <c r="U188" s="1"/>
  <c r="U189" s="1"/>
  <c r="U190" s="1"/>
  <c r="U191" s="1"/>
  <c r="U192" s="1"/>
  <c r="U193" s="1"/>
  <c r="U194" s="1"/>
  <c r="U195" s="1"/>
  <c r="U196" s="1"/>
  <c r="U197" s="1"/>
  <c r="U198" s="1"/>
  <c r="U199" s="1"/>
  <c r="U200" s="1"/>
  <c r="U201" s="1"/>
  <c r="U202" s="1"/>
  <c r="U203" s="1"/>
  <c r="U204" s="1"/>
  <c r="U205" s="1"/>
  <c r="U206" s="1"/>
  <c r="U207" s="1"/>
  <c r="U208" s="1"/>
  <c r="U209" s="1"/>
  <c r="U210" s="1"/>
  <c r="U211" s="1"/>
  <c r="U212" s="1"/>
  <c r="U213" s="1"/>
  <c r="U214" s="1"/>
  <c r="U215" s="1"/>
  <c r="U216" s="1"/>
  <c r="U217" s="1"/>
  <c r="U218" s="1"/>
  <c r="U219" s="1"/>
  <c r="U220" s="1"/>
  <c r="U221" s="1"/>
  <c r="U222" s="1"/>
  <c r="U223" s="1"/>
  <c r="U224" s="1"/>
  <c r="U225" s="1"/>
  <c r="U226" s="1"/>
  <c r="U227" s="1"/>
  <c r="U228" s="1"/>
  <c r="U229" s="1"/>
  <c r="U230" s="1"/>
  <c r="U231" s="1"/>
  <c r="U232" s="1"/>
  <c r="U233" s="1"/>
  <c r="U234" s="1"/>
  <c r="U235" s="1"/>
  <c r="U236" s="1"/>
  <c r="U237" s="1"/>
  <c r="U238" s="1"/>
  <c r="U239" s="1"/>
  <c r="U240" s="1"/>
  <c r="U241" s="1"/>
  <c r="U242" s="1"/>
  <c r="U243" s="1"/>
  <c r="U244" s="1"/>
  <c r="U245" s="1"/>
  <c r="U246" s="1"/>
  <c r="U247" s="1"/>
  <c r="U248" s="1"/>
  <c r="U249" s="1"/>
  <c r="U250" s="1"/>
  <c r="U251" s="1"/>
  <c r="U252" s="1"/>
  <c r="U253" s="1"/>
  <c r="U254" s="1"/>
  <c r="U255" s="1"/>
  <c r="U256" s="1"/>
  <c r="U257" s="1"/>
  <c r="U258" s="1"/>
  <c r="U259" s="1"/>
  <c r="U260" s="1"/>
  <c r="U261" s="1"/>
  <c r="U262" s="1"/>
  <c r="U263" s="1"/>
  <c r="U264" s="1"/>
  <c r="U265" s="1"/>
  <c r="U266" s="1"/>
  <c r="U267" s="1"/>
  <c r="U268" s="1"/>
  <c r="U269" s="1"/>
  <c r="U270" s="1"/>
  <c r="U271" s="1"/>
  <c r="U272" s="1"/>
  <c r="U273" s="1"/>
  <c r="U274" s="1"/>
  <c r="U275" s="1"/>
  <c r="U276" s="1"/>
  <c r="U277" s="1"/>
  <c r="U278" s="1"/>
  <c r="U279" s="1"/>
  <c r="U280" s="1"/>
  <c r="U281" s="1"/>
  <c r="U282" s="1"/>
  <c r="U283" s="1"/>
  <c r="U284" s="1"/>
  <c r="U285" s="1"/>
  <c r="U286" s="1"/>
  <c r="U287" s="1"/>
  <c r="U288" s="1"/>
  <c r="U289" s="1"/>
  <c r="U290" s="1"/>
  <c r="U291" s="1"/>
  <c r="U292" s="1"/>
  <c r="U293" s="1"/>
  <c r="U294" s="1"/>
  <c r="U295" s="1"/>
  <c r="U296" s="1"/>
  <c r="U297" s="1"/>
  <c r="U298" s="1"/>
  <c r="U299" s="1"/>
  <c r="U300" s="1"/>
  <c r="U301" s="1"/>
  <c r="U302" s="1"/>
  <c r="U303" s="1"/>
  <c r="U304" s="1"/>
  <c r="U305" s="1"/>
  <c r="U306" s="1"/>
  <c r="U307" s="1"/>
  <c r="U308" s="1"/>
  <c r="U309" s="1"/>
  <c r="U310" s="1"/>
  <c r="U311" s="1"/>
  <c r="U312" s="1"/>
  <c r="U313" s="1"/>
  <c r="U314" s="1"/>
  <c r="U315" s="1"/>
  <c r="U316" s="1"/>
  <c r="U317" s="1"/>
  <c r="U318" s="1"/>
  <c r="U319" s="1"/>
  <c r="U320" s="1"/>
  <c r="U321" s="1"/>
  <c r="U322" s="1"/>
  <c r="U323" s="1"/>
  <c r="U324" s="1"/>
  <c r="U325" s="1"/>
  <c r="U326" s="1"/>
  <c r="U327" s="1"/>
  <c r="U328" s="1"/>
  <c r="U329" s="1"/>
  <c r="U330" s="1"/>
  <c r="U331" s="1"/>
  <c r="U332" s="1"/>
  <c r="U333" s="1"/>
  <c r="U334" s="1"/>
  <c r="U335" s="1"/>
  <c r="U336" s="1"/>
  <c r="U337" s="1"/>
  <c r="U338" s="1"/>
  <c r="U339" s="1"/>
  <c r="U340" s="1"/>
  <c r="U341" s="1"/>
  <c r="U342" s="1"/>
  <c r="U343" s="1"/>
  <c r="U344" s="1"/>
  <c r="U345" s="1"/>
  <c r="U346" s="1"/>
  <c r="U347" s="1"/>
  <c r="U348" s="1"/>
  <c r="U349" s="1"/>
  <c r="U350" s="1"/>
  <c r="U351" s="1"/>
  <c r="U352" s="1"/>
  <c r="U353" s="1"/>
  <c r="U354" s="1"/>
  <c r="U355" s="1"/>
  <c r="U356" s="1"/>
  <c r="U357" s="1"/>
  <c r="U358" s="1"/>
  <c r="U359" s="1"/>
  <c r="U360" s="1"/>
  <c r="U361" s="1"/>
  <c r="U362" s="1"/>
  <c r="U363" s="1"/>
  <c r="U364" s="1"/>
  <c r="U365" s="1"/>
  <c r="U366" s="1"/>
  <c r="U367" s="1"/>
  <c r="U368" s="1"/>
  <c r="U369" s="1"/>
  <c r="U370" s="1"/>
  <c r="U371" s="1"/>
  <c r="U372" s="1"/>
  <c r="U373" s="1"/>
  <c r="U374" s="1"/>
  <c r="U375" s="1"/>
  <c r="U376" s="1"/>
  <c r="U377" s="1"/>
  <c r="U378" s="1"/>
  <c r="U379" s="1"/>
  <c r="U380" s="1"/>
  <c r="U381" s="1"/>
  <c r="U382" s="1"/>
  <c r="U383" s="1"/>
  <c r="U384" s="1"/>
  <c r="U385" s="1"/>
  <c r="U386" s="1"/>
  <c r="U387" s="1"/>
  <c r="U388" s="1"/>
  <c r="U389" s="1"/>
  <c r="U390" s="1"/>
  <c r="U391" s="1"/>
  <c r="U392" s="1"/>
  <c r="U393" s="1"/>
  <c r="U394" s="1"/>
  <c r="U395" s="1"/>
  <c r="U396" s="1"/>
  <c r="U397" s="1"/>
  <c r="U398" s="1"/>
  <c r="U399" s="1"/>
  <c r="U400" s="1"/>
  <c r="U401" s="1"/>
  <c r="U402" s="1"/>
  <c r="U403" s="1"/>
  <c r="U404" s="1"/>
  <c r="U405" s="1"/>
  <c r="U406" s="1"/>
  <c r="U407" s="1"/>
  <c r="U408" s="1"/>
  <c r="U409" s="1"/>
  <c r="U410" s="1"/>
  <c r="U411" s="1"/>
  <c r="U412" s="1"/>
  <c r="U413" s="1"/>
  <c r="U414" s="1"/>
  <c r="U415" s="1"/>
  <c r="U416" s="1"/>
  <c r="U417" s="1"/>
  <c r="U418" s="1"/>
  <c r="U419" s="1"/>
  <c r="U420" s="1"/>
  <c r="U421" s="1"/>
  <c r="U422" s="1"/>
  <c r="U423" s="1"/>
  <c r="U424" s="1"/>
  <c r="U425" s="1"/>
  <c r="U426" s="1"/>
  <c r="U427" s="1"/>
  <c r="U428" s="1"/>
  <c r="U429" s="1"/>
  <c r="U430" s="1"/>
  <c r="U431" s="1"/>
  <c r="U432" s="1"/>
  <c r="U433" s="1"/>
  <c r="U434" s="1"/>
  <c r="U435" s="1"/>
  <c r="U436" s="1"/>
  <c r="U437" s="1"/>
  <c r="U438" s="1"/>
  <c r="U439" s="1"/>
  <c r="U440" s="1"/>
  <c r="U441" s="1"/>
  <c r="U442" s="1"/>
  <c r="U443" s="1"/>
  <c r="U444" s="1"/>
  <c r="U445" s="1"/>
  <c r="U446" s="1"/>
  <c r="U447" s="1"/>
  <c r="U448" s="1"/>
  <c r="U449" s="1"/>
  <c r="U450" s="1"/>
  <c r="U451" s="1"/>
  <c r="U452" s="1"/>
  <c r="U453" s="1"/>
  <c r="U454" s="1"/>
  <c r="U455" s="1"/>
  <c r="U456" s="1"/>
  <c r="U457" s="1"/>
  <c r="U458" s="1"/>
  <c r="U459" s="1"/>
  <c r="U460" s="1"/>
  <c r="U461" s="1"/>
  <c r="U462" s="1"/>
  <c r="U463" s="1"/>
  <c r="U464" s="1"/>
  <c r="U465" s="1"/>
  <c r="U466" s="1"/>
  <c r="U467" s="1"/>
  <c r="U468" s="1"/>
  <c r="U469" s="1"/>
  <c r="U470" s="1"/>
  <c r="U471" s="1"/>
  <c r="U472" s="1"/>
  <c r="U473" s="1"/>
  <c r="U474" s="1"/>
  <c r="U475" s="1"/>
  <c r="U476" s="1"/>
  <c r="U477" s="1"/>
  <c r="U478" s="1"/>
  <c r="U479" s="1"/>
  <c r="U480" s="1"/>
  <c r="U481" s="1"/>
  <c r="U482" s="1"/>
  <c r="U483" s="1"/>
  <c r="U484" s="1"/>
  <c r="U485" s="1"/>
  <c r="U486" s="1"/>
  <c r="U487" s="1"/>
  <c r="U488" s="1"/>
  <c r="U489" s="1"/>
  <c r="U490" s="1"/>
  <c r="U491" s="1"/>
  <c r="U492" s="1"/>
  <c r="U493" s="1"/>
  <c r="U494" s="1"/>
  <c r="U495" s="1"/>
  <c r="U496" s="1"/>
  <c r="U497" s="1"/>
  <c r="U498" s="1"/>
  <c r="U499" s="1"/>
  <c r="U500" s="1"/>
  <c r="U501" s="1"/>
  <c r="U502" s="1"/>
  <c r="U503" s="1"/>
  <c r="U504" s="1"/>
  <c r="U505" s="1"/>
  <c r="U506" s="1"/>
  <c r="U507" s="1"/>
  <c r="U508" s="1"/>
  <c r="U509" s="1"/>
  <c r="U510" s="1"/>
  <c r="U511" s="1"/>
  <c r="U512" s="1"/>
  <c r="U513" s="1"/>
  <c r="U514" s="1"/>
  <c r="U515" s="1"/>
  <c r="U516" s="1"/>
  <c r="U517" s="1"/>
  <c r="U518" s="1"/>
  <c r="U519" s="1"/>
  <c r="U520" s="1"/>
  <c r="U521" s="1"/>
  <c r="U522" s="1"/>
  <c r="U523" s="1"/>
  <c r="U524" s="1"/>
  <c r="U525" s="1"/>
  <c r="U526" s="1"/>
  <c r="U527" s="1"/>
  <c r="U528" s="1"/>
  <c r="U529" s="1"/>
  <c r="U530" s="1"/>
  <c r="U531" s="1"/>
  <c r="U532" s="1"/>
  <c r="U533" s="1"/>
  <c r="U534" s="1"/>
  <c r="U535" s="1"/>
  <c r="U536" s="1"/>
  <c r="U537" s="1"/>
  <c r="U538" s="1"/>
  <c r="U539" s="1"/>
  <c r="U540" s="1"/>
  <c r="U541" s="1"/>
  <c r="U542" s="1"/>
  <c r="U543" s="1"/>
  <c r="U544" s="1"/>
  <c r="U545" s="1"/>
  <c r="U546" s="1"/>
  <c r="U547" s="1"/>
  <c r="U548" s="1"/>
  <c r="U549" s="1"/>
  <c r="U550" s="1"/>
  <c r="U551" s="1"/>
  <c r="U552" s="1"/>
  <c r="U553" s="1"/>
  <c r="U554" s="1"/>
  <c r="U555" s="1"/>
  <c r="U556" s="1"/>
  <c r="U557" s="1"/>
  <c r="U558" s="1"/>
  <c r="U559" s="1"/>
  <c r="U560" s="1"/>
  <c r="U561" s="1"/>
  <c r="U562" s="1"/>
  <c r="U563" s="1"/>
  <c r="U564" s="1"/>
  <c r="U565" s="1"/>
  <c r="U53"/>
  <c r="U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362"/>
  <c r="T363"/>
  <c r="T364"/>
  <c r="T365"/>
  <c r="T366"/>
  <c r="T367"/>
  <c r="T368"/>
  <c r="T369"/>
  <c r="T370"/>
  <c r="T371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412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496"/>
  <c r="T497"/>
  <c r="T498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T520"/>
  <c r="T521"/>
  <c r="T522"/>
  <c r="T523"/>
  <c r="T524"/>
  <c r="T525"/>
  <c r="T526"/>
  <c r="T527"/>
  <c r="T528"/>
  <c r="T529"/>
  <c r="T530"/>
  <c r="T531"/>
  <c r="T532"/>
  <c r="T533"/>
  <c r="T534"/>
  <c r="T535"/>
  <c r="T536"/>
  <c r="T537"/>
  <c r="T538"/>
  <c r="T539"/>
  <c r="T540"/>
  <c r="T541"/>
  <c r="T542"/>
  <c r="T543"/>
  <c r="T544"/>
  <c r="T545"/>
  <c r="T546"/>
  <c r="T547"/>
  <c r="T548"/>
  <c r="T549"/>
  <c r="T550"/>
  <c r="T551"/>
  <c r="T552"/>
  <c r="T553"/>
  <c r="T554"/>
  <c r="T555"/>
  <c r="T556"/>
  <c r="T557"/>
  <c r="T558"/>
  <c r="T559"/>
  <c r="T560"/>
  <c r="T561"/>
  <c r="T562"/>
  <c r="T563"/>
  <c r="T564"/>
  <c r="T565"/>
  <c r="T566"/>
  <c r="T567"/>
  <c r="T568"/>
  <c r="T569"/>
  <c r="T570"/>
  <c r="T571"/>
  <c r="T572"/>
  <c r="T573"/>
  <c r="T574"/>
  <c r="T575"/>
  <c r="T576"/>
  <c r="T577"/>
  <c r="T578"/>
  <c r="T579"/>
  <c r="T580"/>
  <c r="T581"/>
  <c r="T582"/>
  <c r="T583"/>
  <c r="T584"/>
  <c r="T585"/>
  <c r="T586"/>
  <c r="T587"/>
  <c r="T588"/>
  <c r="T589"/>
  <c r="T590"/>
  <c r="T591"/>
  <c r="T592"/>
  <c r="T593"/>
  <c r="T594"/>
  <c r="T595"/>
  <c r="T596"/>
  <c r="T597"/>
  <c r="T598"/>
  <c r="T599"/>
  <c r="T600"/>
  <c r="T601"/>
  <c r="T602"/>
  <c r="T603"/>
  <c r="T604"/>
  <c r="T605"/>
  <c r="T606"/>
  <c r="T607"/>
  <c r="T608"/>
  <c r="T609"/>
  <c r="T610"/>
  <c r="T611"/>
  <c r="T612"/>
  <c r="T613"/>
  <c r="T614"/>
  <c r="T615"/>
  <c r="T616"/>
  <c r="T617"/>
  <c r="T618"/>
  <c r="T619"/>
  <c r="T620"/>
  <c r="T621"/>
  <c r="T622"/>
  <c r="T623"/>
  <c r="T624"/>
  <c r="T625"/>
  <c r="T626"/>
  <c r="T627"/>
  <c r="T628"/>
  <c r="T629"/>
  <c r="T630"/>
  <c r="T631"/>
  <c r="T632"/>
  <c r="T633"/>
  <c r="T634"/>
  <c r="T635"/>
  <c r="T636"/>
  <c r="T637"/>
  <c r="T638"/>
  <c r="T639"/>
  <c r="T640"/>
  <c r="T641"/>
  <c r="T642"/>
  <c r="T643"/>
  <c r="T644"/>
  <c r="T645"/>
  <c r="T646"/>
  <c r="T647"/>
  <c r="T648"/>
  <c r="T649"/>
  <c r="T650"/>
  <c r="T651"/>
  <c r="T652"/>
  <c r="T653"/>
  <c r="T654"/>
  <c r="T655"/>
  <c r="T656"/>
  <c r="T657"/>
  <c r="T658"/>
  <c r="T659"/>
  <c r="T660"/>
  <c r="T661"/>
  <c r="T662"/>
  <c r="T663"/>
  <c r="T664"/>
  <c r="T665"/>
  <c r="T666"/>
  <c r="T667"/>
  <c r="T668"/>
  <c r="T669"/>
  <c r="T670"/>
  <c r="T671"/>
  <c r="T672"/>
  <c r="T673"/>
  <c r="T674"/>
  <c r="T675"/>
  <c r="T676"/>
  <c r="T677"/>
  <c r="T678"/>
  <c r="T679"/>
  <c r="T680"/>
  <c r="T681"/>
  <c r="T682"/>
  <c r="T683"/>
  <c r="T684"/>
  <c r="T685"/>
  <c r="T686"/>
  <c r="T687"/>
  <c r="T688"/>
  <c r="T689"/>
  <c r="T690"/>
  <c r="T691"/>
  <c r="T692"/>
  <c r="T693"/>
  <c r="T694"/>
  <c r="T695"/>
  <c r="T696"/>
  <c r="T697"/>
  <c r="T698"/>
  <c r="T699"/>
  <c r="T700"/>
  <c r="T701"/>
  <c r="T702"/>
  <c r="T703"/>
  <c r="T704"/>
  <c r="T705"/>
  <c r="T706"/>
  <c r="T707"/>
  <c r="T708"/>
  <c r="T709"/>
  <c r="T710"/>
  <c r="T711"/>
  <c r="T712"/>
  <c r="T713"/>
  <c r="T714"/>
  <c r="T715"/>
  <c r="T716"/>
  <c r="T717"/>
  <c r="T718"/>
  <c r="T719"/>
  <c r="T720"/>
  <c r="T721"/>
  <c r="T722"/>
  <c r="T723"/>
  <c r="T724"/>
  <c r="T725"/>
  <c r="T726"/>
  <c r="T727"/>
  <c r="T728"/>
  <c r="T729"/>
  <c r="T730"/>
  <c r="T731"/>
  <c r="T732"/>
  <c r="T733"/>
  <c r="T734"/>
  <c r="T735"/>
  <c r="T736"/>
  <c r="T737"/>
  <c r="T738"/>
  <c r="T739"/>
  <c r="T740"/>
  <c r="T741"/>
  <c r="T742"/>
  <c r="T743"/>
  <c r="T744"/>
  <c r="T745"/>
  <c r="T746"/>
  <c r="T747"/>
  <c r="T748"/>
  <c r="T749"/>
  <c r="T750"/>
  <c r="T751"/>
  <c r="T752"/>
  <c r="T753"/>
  <c r="T754"/>
  <c r="T755"/>
  <c r="T756"/>
  <c r="T757"/>
  <c r="T758"/>
  <c r="T759"/>
  <c r="T760"/>
  <c r="T761"/>
  <c r="T762"/>
  <c r="T763"/>
  <c r="T764"/>
  <c r="T765"/>
  <c r="T766"/>
  <c r="T767"/>
  <c r="T768"/>
  <c r="T769"/>
  <c r="T770"/>
  <c r="T771"/>
  <c r="T772"/>
  <c r="T773"/>
  <c r="T774"/>
  <c r="T775"/>
  <c r="T776"/>
  <c r="T777"/>
  <c r="T778"/>
  <c r="T779"/>
  <c r="T780"/>
  <c r="T781"/>
  <c r="T782"/>
  <c r="T783"/>
  <c r="T784"/>
  <c r="T785"/>
  <c r="T786"/>
  <c r="T787"/>
  <c r="T788"/>
  <c r="T789"/>
  <c r="T790"/>
  <c r="T791"/>
  <c r="T792"/>
  <c r="T793"/>
  <c r="T794"/>
  <c r="T795"/>
  <c r="T796"/>
  <c r="T797"/>
  <c r="T798"/>
  <c r="T799"/>
  <c r="T800"/>
  <c r="T801"/>
  <c r="T802"/>
  <c r="T803"/>
  <c r="T804"/>
  <c r="T805"/>
  <c r="T806"/>
  <c r="T807"/>
  <c r="T808"/>
  <c r="T809"/>
  <c r="T810"/>
  <c r="T811"/>
  <c r="T812"/>
  <c r="T813"/>
  <c r="T814"/>
  <c r="T815"/>
  <c r="T816"/>
  <c r="T817"/>
  <c r="T818"/>
  <c r="T819"/>
  <c r="T820"/>
  <c r="T821"/>
  <c r="T822"/>
  <c r="T823"/>
  <c r="T824"/>
  <c r="T825"/>
  <c r="T826"/>
  <c r="T827"/>
  <c r="T828"/>
  <c r="T829"/>
  <c r="T830"/>
  <c r="T831"/>
  <c r="T832"/>
  <c r="T833"/>
  <c r="T834"/>
  <c r="T835"/>
  <c r="T836"/>
  <c r="T837"/>
  <c r="T838"/>
  <c r="T839"/>
  <c r="T840"/>
  <c r="T841"/>
  <c r="T842"/>
  <c r="T843"/>
  <c r="T844"/>
  <c r="T845"/>
  <c r="T846"/>
  <c r="T847"/>
  <c r="T848"/>
  <c r="T849"/>
  <c r="T850"/>
  <c r="T851"/>
  <c r="T852"/>
  <c r="T853"/>
  <c r="T854"/>
  <c r="T855"/>
  <c r="T856"/>
  <c r="T857"/>
  <c r="T858"/>
  <c r="T859"/>
  <c r="T860"/>
  <c r="T861"/>
  <c r="T862"/>
  <c r="T863"/>
  <c r="T864"/>
  <c r="T865"/>
  <c r="T866"/>
  <c r="T867"/>
  <c r="T868"/>
  <c r="T869"/>
  <c r="T870"/>
  <c r="T871"/>
  <c r="T872"/>
  <c r="T873"/>
  <c r="T874"/>
  <c r="T875"/>
  <c r="T876"/>
  <c r="T877"/>
  <c r="T878"/>
  <c r="T879"/>
  <c r="T880"/>
  <c r="T881"/>
  <c r="T882"/>
  <c r="T883"/>
  <c r="T884"/>
  <c r="T885"/>
  <c r="T886"/>
  <c r="T887"/>
  <c r="T888"/>
  <c r="T889"/>
  <c r="T890"/>
  <c r="T891"/>
  <c r="T892"/>
  <c r="T893"/>
  <c r="T894"/>
  <c r="T895"/>
  <c r="T896"/>
  <c r="T897"/>
  <c r="T898"/>
  <c r="T899"/>
  <c r="T900"/>
  <c r="T901"/>
  <c r="T902"/>
  <c r="T903"/>
  <c r="T904"/>
  <c r="T905"/>
  <c r="T906"/>
  <c r="T907"/>
  <c r="T908"/>
  <c r="T909"/>
  <c r="T910"/>
  <c r="T911"/>
  <c r="T912"/>
  <c r="T913"/>
  <c r="T914"/>
  <c r="T915"/>
  <c r="T916"/>
  <c r="T917"/>
  <c r="T918"/>
  <c r="T919"/>
  <c r="T920"/>
  <c r="T921"/>
  <c r="T922"/>
  <c r="T923"/>
  <c r="T924"/>
  <c r="T925"/>
  <c r="T926"/>
  <c r="T927"/>
  <c r="T928"/>
  <c r="T929"/>
  <c r="T930"/>
  <c r="T931"/>
  <c r="T932"/>
  <c r="T933"/>
  <c r="T934"/>
  <c r="T935"/>
  <c r="T936"/>
  <c r="T937"/>
  <c r="T938"/>
  <c r="T939"/>
  <c r="T940"/>
  <c r="T941"/>
  <c r="T942"/>
  <c r="T943"/>
  <c r="T944"/>
  <c r="T945"/>
  <c r="T946"/>
  <c r="T947"/>
  <c r="T948"/>
  <c r="T949"/>
  <c r="T950"/>
  <c r="T951"/>
  <c r="T952"/>
  <c r="T953"/>
  <c r="T954"/>
  <c r="T955"/>
  <c r="T956"/>
  <c r="T957"/>
  <c r="T958"/>
  <c r="T959"/>
  <c r="T960"/>
  <c r="T961"/>
  <c r="T962"/>
  <c r="T963"/>
  <c r="T964"/>
  <c r="T965"/>
  <c r="T966"/>
  <c r="T967"/>
  <c r="T968"/>
  <c r="T969"/>
  <c r="T970"/>
  <c r="T971"/>
  <c r="T972"/>
  <c r="T973"/>
  <c r="T974"/>
  <c r="T975"/>
  <c r="T976"/>
  <c r="T977"/>
  <c r="T978"/>
  <c r="T979"/>
  <c r="T980"/>
  <c r="T981"/>
  <c r="T982"/>
  <c r="T983"/>
  <c r="T984"/>
  <c r="T985"/>
  <c r="T986"/>
  <c r="T987"/>
  <c r="T988"/>
  <c r="T989"/>
  <c r="T990"/>
  <c r="T991"/>
  <c r="T992"/>
  <c r="T993"/>
  <c r="T994"/>
  <c r="T995"/>
  <c r="T996"/>
  <c r="T997"/>
  <c r="T998"/>
  <c r="T999"/>
  <c r="T1000"/>
  <c r="T1001"/>
  <c r="T1002"/>
  <c r="T1003"/>
  <c r="T1004"/>
  <c r="T1005"/>
  <c r="T1006"/>
  <c r="T1007"/>
  <c r="T1008"/>
  <c r="T1009"/>
  <c r="T1010"/>
  <c r="T1011"/>
  <c r="T1012"/>
  <c r="T1013"/>
  <c r="T1014"/>
  <c r="T1015"/>
  <c r="T1016"/>
  <c r="T1017"/>
  <c r="T1018"/>
  <c r="T1019"/>
  <c r="T1020"/>
  <c r="T1021"/>
  <c r="T1022"/>
  <c r="T1023"/>
  <c r="T1024"/>
  <c r="T1025"/>
  <c r="T1026"/>
  <c r="T1027"/>
  <c r="T1028"/>
  <c r="T1029"/>
  <c r="T1030"/>
  <c r="T1031"/>
  <c r="T1032"/>
  <c r="T1033"/>
  <c r="T1034"/>
  <c r="T1035"/>
  <c r="T1036"/>
  <c r="T1037"/>
  <c r="T1038"/>
  <c r="T1039"/>
  <c r="T1040"/>
  <c r="T1041"/>
  <c r="T1042"/>
  <c r="T1043"/>
  <c r="T1044"/>
  <c r="T1045"/>
  <c r="T1046"/>
  <c r="T1047"/>
  <c r="T1048"/>
  <c r="T1049"/>
  <c r="T1050"/>
  <c r="T1051"/>
  <c r="T1052"/>
  <c r="T1053"/>
  <c r="T1054"/>
  <c r="T1055"/>
  <c r="T1056"/>
  <c r="T1057"/>
  <c r="T1058"/>
  <c r="T1059"/>
  <c r="T1060"/>
  <c r="T1061"/>
  <c r="T1062"/>
  <c r="T1063"/>
  <c r="T1064"/>
  <c r="T1065"/>
  <c r="T1066"/>
  <c r="T1067"/>
  <c r="T1068"/>
  <c r="T1069"/>
  <c r="T1070"/>
  <c r="T1071"/>
  <c r="T1072"/>
  <c r="T1073"/>
  <c r="T1074"/>
  <c r="T1075"/>
  <c r="T1076"/>
  <c r="T1077"/>
  <c r="T1078"/>
  <c r="T1079"/>
  <c r="T1080"/>
  <c r="T1081"/>
  <c r="T1082"/>
  <c r="T1083"/>
  <c r="T1084"/>
  <c r="T1085"/>
  <c r="T1086"/>
  <c r="T1087"/>
  <c r="T1088"/>
  <c r="T1089"/>
  <c r="T1090"/>
  <c r="T1091"/>
  <c r="T1092"/>
  <c r="T1093"/>
  <c r="T1094"/>
  <c r="T1095"/>
  <c r="T1096"/>
  <c r="T1097"/>
  <c r="T1098"/>
  <c r="T1099"/>
  <c r="T1100"/>
  <c r="T1101"/>
  <c r="T1102"/>
  <c r="T1103"/>
  <c r="T1104"/>
  <c r="T1105"/>
  <c r="T1106"/>
  <c r="T1107"/>
  <c r="T1108"/>
  <c r="T1109"/>
  <c r="T1110"/>
  <c r="T1111"/>
  <c r="T1112"/>
  <c r="T1113"/>
  <c r="T1114"/>
  <c r="T1115"/>
  <c r="T1116"/>
  <c r="T1117"/>
  <c r="T1118"/>
  <c r="T1119"/>
  <c r="T1120"/>
  <c r="T1121"/>
  <c r="T1122"/>
  <c r="T1123"/>
  <c r="T1124"/>
  <c r="T1125"/>
  <c r="T1126"/>
  <c r="T1127"/>
  <c r="T1128"/>
  <c r="T1129"/>
  <c r="T1130"/>
  <c r="T1131"/>
  <c r="T1132"/>
  <c r="T1133"/>
  <c r="T1134"/>
  <c r="T1135"/>
  <c r="T1136"/>
  <c r="T1137"/>
  <c r="T1138"/>
  <c r="T1139"/>
  <c r="T1140"/>
  <c r="T1141"/>
  <c r="T1142"/>
  <c r="T1143"/>
  <c r="T1144"/>
  <c r="T1145"/>
  <c r="T1146"/>
  <c r="T1147"/>
  <c r="T1148"/>
  <c r="T1149"/>
  <c r="T1150"/>
  <c r="T1151"/>
  <c r="T1152"/>
  <c r="T1153"/>
  <c r="T1154"/>
  <c r="T1155"/>
  <c r="T1156"/>
  <c r="T1157"/>
  <c r="T1158"/>
  <c r="T1159"/>
  <c r="T1160"/>
  <c r="T1161"/>
  <c r="T1162"/>
  <c r="T1163"/>
  <c r="T1164"/>
  <c r="T1165"/>
  <c r="T1166"/>
  <c r="T1167"/>
  <c r="T1168"/>
  <c r="T1169"/>
  <c r="T1170"/>
  <c r="T1171"/>
  <c r="T1172"/>
  <c r="T1173"/>
  <c r="T1174"/>
  <c r="T1175"/>
  <c r="T1176"/>
  <c r="T1177"/>
  <c r="T1178"/>
  <c r="T1179"/>
  <c r="T1180"/>
  <c r="T1181"/>
  <c r="T1182"/>
  <c r="T1183"/>
  <c r="T1184"/>
  <c r="T1185"/>
  <c r="T1186"/>
  <c r="T1187"/>
  <c r="T1188"/>
  <c r="T1189"/>
  <c r="T1190"/>
  <c r="T1191"/>
  <c r="T1192"/>
  <c r="T1193"/>
  <c r="T1194"/>
  <c r="T1195"/>
  <c r="T1196"/>
  <c r="T1197"/>
  <c r="T1198"/>
  <c r="T1199"/>
  <c r="T1200"/>
  <c r="T1201"/>
  <c r="T1202"/>
  <c r="T1203"/>
  <c r="T1204"/>
  <c r="T1205"/>
  <c r="T1206"/>
  <c r="T1207"/>
  <c r="T1208"/>
  <c r="T1209"/>
  <c r="T1210"/>
  <c r="T1211"/>
  <c r="T1212"/>
  <c r="T1213"/>
  <c r="T1214"/>
  <c r="T1215"/>
  <c r="T1216"/>
  <c r="T1217"/>
  <c r="T1218"/>
  <c r="T1219"/>
  <c r="T1220"/>
  <c r="T1221"/>
  <c r="T1222"/>
  <c r="T1223"/>
  <c r="T1224"/>
  <c r="T1225"/>
  <c r="T1226"/>
  <c r="T1227"/>
  <c r="T1228"/>
  <c r="T1229"/>
  <c r="T1230"/>
  <c r="T1231"/>
  <c r="T1232"/>
  <c r="T1233"/>
  <c r="T1234"/>
  <c r="T1235"/>
  <c r="T1236"/>
  <c r="T1237"/>
  <c r="T1238"/>
  <c r="T1239"/>
  <c r="T1240"/>
  <c r="T1241"/>
  <c r="T1242"/>
  <c r="T1243"/>
  <c r="T1244"/>
  <c r="T1245"/>
  <c r="T1246"/>
  <c r="T1247"/>
  <c r="T1248"/>
  <c r="T1249"/>
  <c r="T1250"/>
  <c r="T1251"/>
  <c r="T1252"/>
  <c r="T1253"/>
  <c r="T1254"/>
  <c r="T1255"/>
  <c r="T1256"/>
  <c r="T1257"/>
  <c r="T1258"/>
  <c r="T1259"/>
  <c r="T1260"/>
  <c r="T1261"/>
  <c r="T1262"/>
  <c r="T1263"/>
  <c r="T1264"/>
  <c r="T1265"/>
  <c r="T1266"/>
  <c r="T1267"/>
  <c r="T1268"/>
  <c r="T1269"/>
  <c r="T1270"/>
  <c r="T1271"/>
  <c r="T1272"/>
  <c r="T1273"/>
  <c r="T1274"/>
  <c r="T1275"/>
  <c r="T1276"/>
  <c r="T1277"/>
  <c r="T1278"/>
  <c r="T1279"/>
  <c r="T1280"/>
  <c r="T1281"/>
  <c r="T1282"/>
  <c r="T1283"/>
  <c r="T1284"/>
  <c r="T1285"/>
  <c r="T1286"/>
  <c r="T1287"/>
  <c r="T1288"/>
  <c r="T1289"/>
  <c r="T1290"/>
  <c r="T1291"/>
  <c r="T1292"/>
  <c r="T1293"/>
  <c r="T1294"/>
  <c r="T1295"/>
  <c r="T1296"/>
  <c r="T1297"/>
  <c r="T1298"/>
  <c r="T1299"/>
  <c r="T1300"/>
  <c r="T1301"/>
  <c r="T1302"/>
  <c r="T1303"/>
  <c r="T1304"/>
  <c r="T1305"/>
  <c r="T1306"/>
  <c r="T1307"/>
  <c r="T1308"/>
  <c r="T1309"/>
  <c r="T1310"/>
  <c r="T1311"/>
  <c r="T1312"/>
  <c r="T1313"/>
  <c r="T1314"/>
  <c r="T1315"/>
  <c r="T1316"/>
  <c r="T1317"/>
  <c r="T1318"/>
  <c r="T1319"/>
  <c r="T1320"/>
  <c r="T1321"/>
  <c r="T1322"/>
  <c r="T1323"/>
  <c r="T1324"/>
  <c r="T1325"/>
  <c r="T1326"/>
  <c r="T1327"/>
  <c r="T1328"/>
  <c r="T1329"/>
  <c r="T1330"/>
  <c r="T1331"/>
  <c r="T1332"/>
  <c r="T1333"/>
  <c r="T1334"/>
  <c r="T1335"/>
  <c r="T1336"/>
  <c r="T1337"/>
  <c r="T1338"/>
  <c r="T1339"/>
  <c r="T1340"/>
  <c r="T1341"/>
  <c r="T1342"/>
  <c r="T1343"/>
  <c r="T1344"/>
  <c r="T1345"/>
  <c r="T1346"/>
  <c r="T1347"/>
  <c r="T1348"/>
  <c r="T1349"/>
  <c r="T1350"/>
  <c r="T1351"/>
  <c r="T1352"/>
  <c r="T1353"/>
  <c r="T1354"/>
  <c r="T1355"/>
  <c r="T1356"/>
  <c r="T1357"/>
  <c r="T1358"/>
  <c r="T1359"/>
  <c r="T1360"/>
  <c r="T1361"/>
  <c r="T1362"/>
  <c r="T1363"/>
  <c r="T1364"/>
  <c r="T1365"/>
  <c r="T1366"/>
  <c r="T1367"/>
  <c r="T1368"/>
  <c r="T1369"/>
  <c r="T1370"/>
  <c r="T1371"/>
  <c r="T1372"/>
  <c r="T1373"/>
  <c r="T1374"/>
  <c r="T1375"/>
  <c r="T1376"/>
  <c r="T1377"/>
  <c r="T1378"/>
  <c r="T1379"/>
  <c r="T1380"/>
  <c r="T1381"/>
  <c r="T1382"/>
  <c r="T1383"/>
  <c r="T1384"/>
  <c r="T1385"/>
  <c r="T1386"/>
  <c r="T1387"/>
  <c r="T1388"/>
  <c r="T1389"/>
  <c r="T1390"/>
  <c r="T1391"/>
  <c r="T1392"/>
  <c r="T1393"/>
  <c r="T1394"/>
  <c r="T1395"/>
  <c r="T1396"/>
  <c r="T1397"/>
  <c r="T1398"/>
  <c r="T1399"/>
  <c r="T1400"/>
  <c r="T1401"/>
  <c r="T1402"/>
  <c r="T1403"/>
  <c r="T1404"/>
  <c r="T1405"/>
  <c r="T1406"/>
  <c r="T1407"/>
  <c r="T1408"/>
  <c r="T1409"/>
  <c r="T1410"/>
  <c r="T1411"/>
  <c r="T1412"/>
  <c r="T1413"/>
  <c r="T1414"/>
  <c r="T1415"/>
  <c r="T1416"/>
  <c r="T1417"/>
  <c r="T1418"/>
  <c r="T1419"/>
  <c r="T1420"/>
  <c r="T1421"/>
  <c r="T1422"/>
  <c r="T1423"/>
  <c r="T1424"/>
  <c r="T1425"/>
  <c r="T1426"/>
  <c r="T1427"/>
  <c r="T1428"/>
  <c r="T1429"/>
  <c r="T1430"/>
  <c r="T1431"/>
  <c r="T1432"/>
  <c r="T1433"/>
  <c r="T1434"/>
  <c r="T1435"/>
  <c r="T1436"/>
  <c r="T1437"/>
  <c r="T1438"/>
  <c r="T1439"/>
  <c r="T1440"/>
  <c r="T1441"/>
  <c r="T1442"/>
  <c r="T1443"/>
  <c r="T1444"/>
  <c r="T1445"/>
  <c r="T1446"/>
  <c r="T1447"/>
  <c r="T1448"/>
  <c r="T1449"/>
  <c r="T1450"/>
  <c r="T1451"/>
  <c r="T1452"/>
  <c r="T1453"/>
  <c r="T1454"/>
  <c r="T1455"/>
  <c r="T1456"/>
  <c r="T1457"/>
  <c r="T1458"/>
  <c r="T1459"/>
  <c r="T1460"/>
  <c r="T1461"/>
  <c r="T1462"/>
  <c r="T1463"/>
  <c r="T1464"/>
  <c r="T1465"/>
  <c r="T1466"/>
  <c r="T1467"/>
  <c r="T1468"/>
  <c r="T1469"/>
  <c r="T1470"/>
  <c r="T1471"/>
  <c r="T1472"/>
  <c r="T1473"/>
  <c r="T1474"/>
  <c r="T1475"/>
  <c r="T1476"/>
  <c r="T1477"/>
  <c r="T1478"/>
  <c r="T1479"/>
  <c r="T1480"/>
  <c r="T1481"/>
  <c r="T1482"/>
  <c r="T1483"/>
  <c r="T1484"/>
  <c r="T1485"/>
  <c r="T1486"/>
  <c r="T1487"/>
  <c r="T1488"/>
  <c r="T1489"/>
  <c r="T1490"/>
  <c r="T1491"/>
  <c r="T1492"/>
  <c r="T1493"/>
  <c r="T1494"/>
  <c r="T1495"/>
  <c r="T1496"/>
  <c r="T1497"/>
  <c r="T1498"/>
  <c r="T1499"/>
  <c r="T1500"/>
  <c r="T1501"/>
  <c r="T1502"/>
  <c r="T1503"/>
  <c r="T1504"/>
  <c r="T1505"/>
  <c r="T1506"/>
  <c r="T1507"/>
  <c r="T1508"/>
  <c r="T1509"/>
  <c r="T1510"/>
  <c r="T1511"/>
  <c r="T1512"/>
  <c r="T1513"/>
  <c r="T1514"/>
  <c r="T1515"/>
  <c r="T1516"/>
  <c r="T1517"/>
  <c r="T1518"/>
  <c r="T1519"/>
  <c r="T1520"/>
  <c r="T1521"/>
  <c r="T1522"/>
  <c r="T1523"/>
  <c r="T1524"/>
  <c r="T1525"/>
  <c r="T1526"/>
  <c r="T1527"/>
  <c r="T1528"/>
  <c r="T1529"/>
  <c r="T1530"/>
  <c r="T1531"/>
  <c r="T1532"/>
  <c r="T1533"/>
  <c r="T1534"/>
  <c r="T1535"/>
  <c r="T1536"/>
  <c r="T1537"/>
  <c r="T1538"/>
  <c r="T1539"/>
  <c r="T1540"/>
  <c r="T1541"/>
  <c r="T1542"/>
  <c r="T1543"/>
  <c r="T1544"/>
  <c r="T1545"/>
  <c r="T1546"/>
  <c r="T1547"/>
  <c r="T1548"/>
  <c r="T1549"/>
  <c r="T1550"/>
  <c r="T1551"/>
  <c r="T1552"/>
  <c r="T1553"/>
  <c r="T1554"/>
  <c r="T1555"/>
  <c r="T1556"/>
  <c r="T1557"/>
  <c r="T1558"/>
  <c r="T1559"/>
  <c r="T1560"/>
  <c r="T1561"/>
  <c r="T1562"/>
  <c r="T1563"/>
  <c r="T1564"/>
  <c r="T1565"/>
  <c r="T1566"/>
  <c r="T1567"/>
  <c r="T1568"/>
  <c r="T1569"/>
  <c r="T1570"/>
  <c r="T1571"/>
  <c r="T1572"/>
  <c r="T1573"/>
  <c r="T1574"/>
  <c r="T1575"/>
  <c r="T1576"/>
  <c r="T1577"/>
  <c r="T1578"/>
  <c r="T1579"/>
  <c r="T1580"/>
  <c r="T1581"/>
  <c r="T1582"/>
  <c r="T1583"/>
  <c r="T1584"/>
  <c r="T1585"/>
  <c r="T1586"/>
  <c r="T1587"/>
  <c r="T1588"/>
  <c r="T1589"/>
  <c r="T1590"/>
  <c r="T1591"/>
  <c r="T1592"/>
  <c r="T1593"/>
  <c r="T1594"/>
  <c r="T1595"/>
  <c r="T1596"/>
  <c r="T1597"/>
  <c r="T1598"/>
  <c r="T1599"/>
  <c r="T1600"/>
  <c r="T1601"/>
  <c r="T1602"/>
  <c r="T1603"/>
  <c r="T1604"/>
  <c r="T1605"/>
  <c r="T1606"/>
  <c r="T1607"/>
  <c r="T1608"/>
  <c r="T1609"/>
  <c r="T1610"/>
  <c r="T1611"/>
  <c r="T1612"/>
  <c r="T1613"/>
  <c r="T1614"/>
  <c r="T1615"/>
  <c r="T1616"/>
  <c r="T1617"/>
  <c r="T1618"/>
  <c r="T1619"/>
  <c r="T1620"/>
  <c r="T1621"/>
  <c r="T1622"/>
  <c r="T1623"/>
  <c r="T1624"/>
  <c r="T1625"/>
  <c r="T1626"/>
  <c r="T1627"/>
  <c r="T1628"/>
  <c r="T1629"/>
  <c r="T1630"/>
  <c r="T1631"/>
  <c r="T1632"/>
  <c r="T1633"/>
  <c r="T1634"/>
  <c r="T1635"/>
  <c r="T1636"/>
  <c r="T1637"/>
  <c r="T1638"/>
  <c r="T1639"/>
  <c r="T1640"/>
  <c r="T1641"/>
  <c r="T1642"/>
  <c r="T1643"/>
  <c r="T1644"/>
  <c r="T1645"/>
  <c r="T1646"/>
  <c r="T1647"/>
  <c r="T1648"/>
  <c r="T1649"/>
  <c r="T1650"/>
  <c r="T1651"/>
  <c r="T1652"/>
  <c r="T1653"/>
  <c r="T1654"/>
  <c r="T1655"/>
  <c r="T1656"/>
  <c r="T1657"/>
  <c r="T1658"/>
  <c r="T1659"/>
  <c r="T1660"/>
  <c r="T1661"/>
  <c r="T1662"/>
  <c r="T1663"/>
  <c r="T1664"/>
  <c r="T1665"/>
  <c r="T1666"/>
  <c r="T1667"/>
  <c r="T1668"/>
  <c r="T1669"/>
  <c r="T1670"/>
  <c r="T1671"/>
  <c r="T1672"/>
  <c r="T1673"/>
  <c r="T1674"/>
  <c r="T1675"/>
  <c r="T1676"/>
  <c r="T1677"/>
  <c r="T1678"/>
  <c r="T1679"/>
  <c r="T1680"/>
  <c r="T1681"/>
  <c r="T1682"/>
  <c r="T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  <c r="S390"/>
  <c r="S391"/>
  <c r="S392"/>
  <c r="S393"/>
  <c r="S394"/>
  <c r="S395"/>
  <c r="S396"/>
  <c r="S397"/>
  <c r="S398"/>
  <c r="S399"/>
  <c r="S400"/>
  <c r="S401"/>
  <c r="S402"/>
  <c r="S403"/>
  <c r="S404"/>
  <c r="S405"/>
  <c r="S406"/>
  <c r="S407"/>
  <c r="S408"/>
  <c r="S409"/>
  <c r="S410"/>
  <c r="S411"/>
  <c r="S412"/>
  <c r="S413"/>
  <c r="S414"/>
  <c r="S415"/>
  <c r="S416"/>
  <c r="S417"/>
  <c r="S418"/>
  <c r="S419"/>
  <c r="S420"/>
  <c r="S421"/>
  <c r="S422"/>
  <c r="S423"/>
  <c r="S424"/>
  <c r="S425"/>
  <c r="S426"/>
  <c r="S427"/>
  <c r="S428"/>
  <c r="S429"/>
  <c r="S430"/>
  <c r="S431"/>
  <c r="S432"/>
  <c r="S433"/>
  <c r="S434"/>
  <c r="S435"/>
  <c r="S436"/>
  <c r="S437"/>
  <c r="S438"/>
  <c r="S439"/>
  <c r="S440"/>
  <c r="S441"/>
  <c r="S442"/>
  <c r="S443"/>
  <c r="S444"/>
  <c r="S445"/>
  <c r="S446"/>
  <c r="S447"/>
  <c r="S448"/>
  <c r="S449"/>
  <c r="S450"/>
  <c r="S451"/>
  <c r="S452"/>
  <c r="S453"/>
  <c r="S454"/>
  <c r="S455"/>
  <c r="S456"/>
  <c r="S457"/>
  <c r="S458"/>
  <c r="S459"/>
  <c r="S460"/>
  <c r="S461"/>
  <c r="S462"/>
  <c r="S463"/>
  <c r="S464"/>
  <c r="S465"/>
  <c r="S466"/>
  <c r="S467"/>
  <c r="S468"/>
  <c r="S469"/>
  <c r="S470"/>
  <c r="S471"/>
  <c r="S472"/>
  <c r="S473"/>
  <c r="S474"/>
  <c r="S475"/>
  <c r="S476"/>
  <c r="S477"/>
  <c r="S478"/>
  <c r="S479"/>
  <c r="S480"/>
  <c r="S481"/>
  <c r="S482"/>
  <c r="S483"/>
  <c r="S484"/>
  <c r="S485"/>
  <c r="S486"/>
  <c r="S487"/>
  <c r="S488"/>
  <c r="S489"/>
  <c r="S490"/>
  <c r="S491"/>
  <c r="S492"/>
  <c r="S493"/>
  <c r="S494"/>
  <c r="S495"/>
  <c r="S496"/>
  <c r="S497"/>
  <c r="S498"/>
  <c r="S499"/>
  <c r="S500"/>
  <c r="S501"/>
  <c r="S502"/>
  <c r="S503"/>
  <c r="S504"/>
  <c r="S505"/>
  <c r="S506"/>
  <c r="S507"/>
  <c r="S508"/>
  <c r="S509"/>
  <c r="S510"/>
  <c r="S511"/>
  <c r="S512"/>
  <c r="S513"/>
  <c r="S514"/>
  <c r="S515"/>
  <c r="S516"/>
  <c r="S517"/>
  <c r="S518"/>
  <c r="S519"/>
  <c r="S520"/>
  <c r="S521"/>
  <c r="S522"/>
  <c r="S523"/>
  <c r="S524"/>
  <c r="S525"/>
  <c r="S526"/>
  <c r="S527"/>
  <c r="S528"/>
  <c r="S529"/>
  <c r="S530"/>
  <c r="S531"/>
  <c r="S532"/>
  <c r="S533"/>
  <c r="S534"/>
  <c r="S535"/>
  <c r="S536"/>
  <c r="S537"/>
  <c r="S538"/>
  <c r="S539"/>
  <c r="S540"/>
  <c r="S541"/>
  <c r="S542"/>
  <c r="S543"/>
  <c r="S544"/>
  <c r="S545"/>
  <c r="S546"/>
  <c r="S547"/>
  <c r="S548"/>
  <c r="S549"/>
  <c r="S550"/>
  <c r="S551"/>
  <c r="S552"/>
  <c r="S553"/>
  <c r="S554"/>
  <c r="S555"/>
  <c r="S556"/>
  <c r="S557"/>
  <c r="S558"/>
  <c r="S559"/>
  <c r="S560"/>
  <c r="S561"/>
  <c r="S562"/>
  <c r="S563"/>
  <c r="S564"/>
  <c r="S565"/>
  <c r="S566"/>
  <c r="S567"/>
  <c r="S568"/>
  <c r="S569"/>
  <c r="S570"/>
  <c r="S571"/>
  <c r="S572"/>
  <c r="S573"/>
  <c r="S574"/>
  <c r="S575"/>
  <c r="S576"/>
  <c r="S577"/>
  <c r="S578"/>
  <c r="S579"/>
  <c r="S580"/>
  <c r="S581"/>
  <c r="S582"/>
  <c r="S583"/>
  <c r="S584"/>
  <c r="S585"/>
  <c r="S586"/>
  <c r="S587"/>
  <c r="S588"/>
  <c r="S589"/>
  <c r="S590"/>
  <c r="S591"/>
  <c r="S592"/>
  <c r="S593"/>
  <c r="S594"/>
  <c r="S595"/>
  <c r="S596"/>
  <c r="S597"/>
  <c r="S598"/>
  <c r="S599"/>
  <c r="S600"/>
  <c r="S601"/>
  <c r="S602"/>
  <c r="S603"/>
  <c r="S604"/>
  <c r="S605"/>
  <c r="S606"/>
  <c r="S607"/>
  <c r="S608"/>
  <c r="S609"/>
  <c r="S610"/>
  <c r="S611"/>
  <c r="S612"/>
  <c r="S613"/>
  <c r="S614"/>
  <c r="S615"/>
  <c r="S616"/>
  <c r="S617"/>
  <c r="S618"/>
  <c r="S619"/>
  <c r="S620"/>
  <c r="S621"/>
  <c r="S622"/>
  <c r="S623"/>
  <c r="S624"/>
  <c r="S625"/>
  <c r="S626"/>
  <c r="S627"/>
  <c r="S628"/>
  <c r="S629"/>
  <c r="S630"/>
  <c r="S631"/>
  <c r="S632"/>
  <c r="S633"/>
  <c r="S634"/>
  <c r="S635"/>
  <c r="S636"/>
  <c r="S637"/>
  <c r="S638"/>
  <c r="S639"/>
  <c r="S640"/>
  <c r="S641"/>
  <c r="S642"/>
  <c r="S643"/>
  <c r="S644"/>
  <c r="S645"/>
  <c r="S646"/>
  <c r="S647"/>
  <c r="S648"/>
  <c r="S649"/>
  <c r="S650"/>
  <c r="S651"/>
  <c r="S652"/>
  <c r="S653"/>
  <c r="S654"/>
  <c r="S655"/>
  <c r="S656"/>
  <c r="S657"/>
  <c r="S658"/>
  <c r="S659"/>
  <c r="S660"/>
  <c r="S661"/>
  <c r="S662"/>
  <c r="S663"/>
  <c r="S664"/>
  <c r="S665"/>
  <c r="S666"/>
  <c r="S667"/>
  <c r="S668"/>
  <c r="S669"/>
  <c r="S670"/>
  <c r="S671"/>
  <c r="S672"/>
  <c r="S673"/>
  <c r="S674"/>
  <c r="S675"/>
  <c r="S676"/>
  <c r="S677"/>
  <c r="S678"/>
  <c r="S679"/>
  <c r="S680"/>
  <c r="S681"/>
  <c r="S682"/>
  <c r="S683"/>
  <c r="S684"/>
  <c r="S685"/>
  <c r="S686"/>
  <c r="S687"/>
  <c r="S688"/>
  <c r="S689"/>
  <c r="S690"/>
  <c r="S691"/>
  <c r="S692"/>
  <c r="S693"/>
  <c r="S694"/>
  <c r="S695"/>
  <c r="S696"/>
  <c r="S697"/>
  <c r="S698"/>
  <c r="S699"/>
  <c r="S700"/>
  <c r="S701"/>
  <c r="S702"/>
  <c r="S703"/>
  <c r="S704"/>
  <c r="S705"/>
  <c r="S706"/>
  <c r="S707"/>
  <c r="S708"/>
  <c r="S709"/>
  <c r="S710"/>
  <c r="S711"/>
  <c r="S712"/>
  <c r="S713"/>
  <c r="S714"/>
  <c r="S715"/>
  <c r="S716"/>
  <c r="S717"/>
  <c r="S718"/>
  <c r="S719"/>
  <c r="S720"/>
  <c r="S721"/>
  <c r="S722"/>
  <c r="S723"/>
  <c r="S724"/>
  <c r="S725"/>
  <c r="S726"/>
  <c r="S727"/>
  <c r="S728"/>
  <c r="S729"/>
  <c r="S730"/>
  <c r="S731"/>
  <c r="S732"/>
  <c r="S733"/>
  <c r="S734"/>
  <c r="S735"/>
  <c r="S736"/>
  <c r="S737"/>
  <c r="S738"/>
  <c r="S739"/>
  <c r="S740"/>
  <c r="S741"/>
  <c r="S742"/>
  <c r="S743"/>
  <c r="S744"/>
  <c r="S745"/>
  <c r="S746"/>
  <c r="S747"/>
  <c r="S748"/>
  <c r="S749"/>
  <c r="S750"/>
  <c r="S751"/>
  <c r="S752"/>
  <c r="S753"/>
  <c r="S754"/>
  <c r="S755"/>
  <c r="S756"/>
  <c r="S757"/>
  <c r="S758"/>
  <c r="S759"/>
  <c r="S760"/>
  <c r="S761"/>
  <c r="S762"/>
  <c r="S763"/>
  <c r="S764"/>
  <c r="S765"/>
  <c r="S766"/>
  <c r="S767"/>
  <c r="S768"/>
  <c r="S769"/>
  <c r="S770"/>
  <c r="S771"/>
  <c r="S772"/>
  <c r="S773"/>
  <c r="S774"/>
  <c r="S775"/>
  <c r="S776"/>
  <c r="S777"/>
  <c r="S778"/>
  <c r="S779"/>
  <c r="S780"/>
  <c r="S781"/>
  <c r="S782"/>
  <c r="S783"/>
  <c r="S784"/>
  <c r="S785"/>
  <c r="S786"/>
  <c r="S787"/>
  <c r="S788"/>
  <c r="S789"/>
  <c r="S790"/>
  <c r="S791"/>
  <c r="S792"/>
  <c r="S793"/>
  <c r="S794"/>
  <c r="S795"/>
  <c r="S796"/>
  <c r="S797"/>
  <c r="S798"/>
  <c r="S799"/>
  <c r="S800"/>
  <c r="S801"/>
  <c r="S802"/>
  <c r="S803"/>
  <c r="S804"/>
  <c r="S805"/>
  <c r="S806"/>
  <c r="S807"/>
  <c r="S808"/>
  <c r="S809"/>
  <c r="S810"/>
  <c r="S811"/>
  <c r="S812"/>
  <c r="S813"/>
  <c r="S814"/>
  <c r="S815"/>
  <c r="S816"/>
  <c r="S817"/>
  <c r="S818"/>
  <c r="S819"/>
  <c r="S820"/>
  <c r="S821"/>
  <c r="S822"/>
  <c r="S823"/>
  <c r="S824"/>
  <c r="S825"/>
  <c r="S826"/>
  <c r="S827"/>
  <c r="S828"/>
  <c r="S829"/>
  <c r="S830"/>
  <c r="S831"/>
  <c r="S832"/>
  <c r="S833"/>
  <c r="S834"/>
  <c r="S835"/>
  <c r="S836"/>
  <c r="S837"/>
  <c r="S838"/>
  <c r="S839"/>
  <c r="S840"/>
  <c r="S841"/>
  <c r="S842"/>
  <c r="S843"/>
  <c r="S844"/>
  <c r="S845"/>
  <c r="S846"/>
  <c r="S847"/>
  <c r="S848"/>
  <c r="S849"/>
  <c r="S850"/>
  <c r="S851"/>
  <c r="S852"/>
  <c r="S853"/>
  <c r="S854"/>
  <c r="S855"/>
  <c r="S856"/>
  <c r="S857"/>
  <c r="S858"/>
  <c r="S859"/>
  <c r="S860"/>
  <c r="S861"/>
  <c r="S862"/>
  <c r="S863"/>
  <c r="S864"/>
  <c r="S865"/>
  <c r="S866"/>
  <c r="S867"/>
  <c r="S868"/>
  <c r="S869"/>
  <c r="S870"/>
  <c r="S871"/>
  <c r="S872"/>
  <c r="S873"/>
  <c r="S874"/>
  <c r="S875"/>
  <c r="S876"/>
  <c r="S877"/>
  <c r="S878"/>
  <c r="S879"/>
  <c r="S880"/>
  <c r="S881"/>
  <c r="S882"/>
  <c r="S883"/>
  <c r="S884"/>
  <c r="S885"/>
  <c r="S886"/>
  <c r="S887"/>
  <c r="S888"/>
  <c r="S889"/>
  <c r="S890"/>
  <c r="S891"/>
  <c r="S892"/>
  <c r="S893"/>
  <c r="S894"/>
  <c r="S895"/>
  <c r="S896"/>
  <c r="S897"/>
  <c r="S898"/>
  <c r="S899"/>
  <c r="S900"/>
  <c r="S901"/>
  <c r="S902"/>
  <c r="S903"/>
  <c r="S904"/>
  <c r="S905"/>
  <c r="S906"/>
  <c r="S907"/>
  <c r="S908"/>
  <c r="S909"/>
  <c r="S910"/>
  <c r="S911"/>
  <c r="S912"/>
  <c r="S913"/>
  <c r="S914"/>
  <c r="S915"/>
  <c r="S916"/>
  <c r="S917"/>
  <c r="S918"/>
  <c r="S919"/>
  <c r="S920"/>
  <c r="S921"/>
  <c r="S922"/>
  <c r="S923"/>
  <c r="S924"/>
  <c r="S925"/>
  <c r="S926"/>
  <c r="S927"/>
  <c r="S928"/>
  <c r="S929"/>
  <c r="S930"/>
  <c r="S931"/>
  <c r="S932"/>
  <c r="S933"/>
  <c r="S934"/>
  <c r="S935"/>
  <c r="S936"/>
  <c r="S937"/>
  <c r="S938"/>
  <c r="S939"/>
  <c r="S940"/>
  <c r="S941"/>
  <c r="S942"/>
  <c r="S943"/>
  <c r="S944"/>
  <c r="S945"/>
  <c r="S946"/>
  <c r="S947"/>
  <c r="S948"/>
  <c r="S949"/>
  <c r="S950"/>
  <c r="S951"/>
  <c r="S952"/>
  <c r="S953"/>
  <c r="S954"/>
  <c r="S955"/>
  <c r="S956"/>
  <c r="S957"/>
  <c r="S958"/>
  <c r="S959"/>
  <c r="S960"/>
  <c r="S961"/>
  <c r="S962"/>
  <c r="S963"/>
  <c r="S964"/>
  <c r="S965"/>
  <c r="S966"/>
  <c r="S967"/>
  <c r="S968"/>
  <c r="S969"/>
  <c r="S970"/>
  <c r="S971"/>
  <c r="S972"/>
  <c r="S973"/>
  <c r="S974"/>
  <c r="S975"/>
  <c r="S976"/>
  <c r="S977"/>
  <c r="S978"/>
  <c r="S979"/>
  <c r="S980"/>
  <c r="S981"/>
  <c r="S982"/>
  <c r="S983"/>
  <c r="S984"/>
  <c r="S985"/>
  <c r="S986"/>
  <c r="S987"/>
  <c r="S988"/>
  <c r="S989"/>
  <c r="S990"/>
  <c r="S991"/>
  <c r="S992"/>
  <c r="S993"/>
  <c r="S994"/>
  <c r="S995"/>
  <c r="S996"/>
  <c r="S997"/>
  <c r="S998"/>
  <c r="S999"/>
  <c r="S1000"/>
  <c r="S1001"/>
  <c r="S1002"/>
  <c r="S1003"/>
  <c r="S1004"/>
  <c r="S1005"/>
  <c r="S1006"/>
  <c r="S1007"/>
  <c r="S1008"/>
  <c r="S1009"/>
  <c r="S1010"/>
  <c r="S1011"/>
  <c r="S1012"/>
  <c r="S1013"/>
  <c r="S1014"/>
  <c r="S1015"/>
  <c r="S1016"/>
  <c r="S1017"/>
  <c r="S1018"/>
  <c r="S1019"/>
  <c r="S1020"/>
  <c r="S1021"/>
  <c r="S1022"/>
  <c r="S1023"/>
  <c r="S1024"/>
  <c r="S1025"/>
  <c r="S1026"/>
  <c r="S1027"/>
  <c r="S1028"/>
  <c r="S1029"/>
  <c r="S1030"/>
  <c r="S1031"/>
  <c r="S1032"/>
  <c r="S1033"/>
  <c r="S1034"/>
  <c r="S1035"/>
  <c r="S1036"/>
  <c r="S1037"/>
  <c r="S1038"/>
  <c r="S1039"/>
  <c r="S1040"/>
  <c r="S1041"/>
  <c r="S1042"/>
  <c r="S1043"/>
  <c r="S1044"/>
  <c r="S1045"/>
  <c r="S1046"/>
  <c r="S1047"/>
  <c r="S1048"/>
  <c r="S1049"/>
  <c r="S1050"/>
  <c r="S1051"/>
  <c r="S1052"/>
  <c r="S1053"/>
  <c r="S1054"/>
  <c r="S1055"/>
  <c r="S1056"/>
  <c r="S1057"/>
  <c r="S1058"/>
  <c r="S1059"/>
  <c r="S1060"/>
  <c r="S1061"/>
  <c r="S1062"/>
  <c r="S1063"/>
  <c r="S1064"/>
  <c r="S1065"/>
  <c r="S1066"/>
  <c r="S1067"/>
  <c r="S1068"/>
  <c r="S1069"/>
  <c r="S1070"/>
  <c r="S1071"/>
  <c r="S1072"/>
  <c r="S1073"/>
  <c r="S1074"/>
  <c r="S1075"/>
  <c r="S1076"/>
  <c r="S1077"/>
  <c r="S1078"/>
  <c r="S1079"/>
  <c r="S1080"/>
  <c r="S1081"/>
  <c r="S1082"/>
  <c r="S1083"/>
  <c r="S1084"/>
  <c r="S1085"/>
  <c r="S1086"/>
  <c r="S1087"/>
  <c r="S1088"/>
  <c r="S1089"/>
  <c r="S1090"/>
  <c r="S1091"/>
  <c r="S1092"/>
  <c r="S1093"/>
  <c r="S1094"/>
  <c r="S1095"/>
  <c r="S1096"/>
  <c r="S1097"/>
  <c r="S1098"/>
  <c r="S1099"/>
  <c r="S1100"/>
  <c r="S1101"/>
  <c r="S1102"/>
  <c r="S1103"/>
  <c r="S1104"/>
  <c r="S1105"/>
  <c r="S1106"/>
  <c r="S1107"/>
  <c r="S1108"/>
  <c r="S1109"/>
  <c r="S1110"/>
  <c r="S1111"/>
  <c r="S1112"/>
  <c r="S1113"/>
  <c r="S1114"/>
  <c r="S1115"/>
  <c r="S1116"/>
  <c r="S1117"/>
  <c r="S1118"/>
  <c r="S1119"/>
  <c r="S1120"/>
  <c r="S1121"/>
  <c r="S1122"/>
  <c r="S1123"/>
  <c r="S1124"/>
  <c r="S1125"/>
  <c r="S1126"/>
  <c r="S1127"/>
  <c r="S1128"/>
  <c r="S1129"/>
  <c r="S1130"/>
  <c r="S1131"/>
  <c r="S1132"/>
  <c r="S1133"/>
  <c r="S1134"/>
  <c r="S1135"/>
  <c r="S1136"/>
  <c r="S1137"/>
  <c r="S1138"/>
  <c r="S1139"/>
  <c r="S1140"/>
  <c r="S1141"/>
  <c r="S1142"/>
  <c r="S1143"/>
  <c r="S1144"/>
  <c r="S1145"/>
  <c r="S1146"/>
  <c r="S1147"/>
  <c r="S1148"/>
  <c r="S1149"/>
  <c r="S1150"/>
  <c r="S1151"/>
  <c r="S1152"/>
  <c r="S1153"/>
  <c r="S1154"/>
  <c r="S1155"/>
  <c r="S1156"/>
  <c r="S1157"/>
  <c r="S1158"/>
  <c r="S1159"/>
  <c r="S1160"/>
  <c r="S1161"/>
  <c r="S1162"/>
  <c r="S1163"/>
  <c r="S1164"/>
  <c r="S1165"/>
  <c r="S1166"/>
  <c r="S1167"/>
  <c r="S1168"/>
  <c r="S1169"/>
  <c r="S1170"/>
  <c r="S1171"/>
  <c r="S1172"/>
  <c r="S1173"/>
  <c r="S1174"/>
  <c r="S1175"/>
  <c r="S1176"/>
  <c r="S1177"/>
  <c r="S1178"/>
  <c r="S1179"/>
  <c r="S1180"/>
  <c r="S1181"/>
  <c r="S1182"/>
  <c r="S1183"/>
  <c r="S1184"/>
  <c r="S1185"/>
  <c r="S1186"/>
  <c r="S1187"/>
  <c r="S1188"/>
  <c r="S1189"/>
  <c r="S1190"/>
  <c r="S1191"/>
  <c r="S1192"/>
  <c r="S1193"/>
  <c r="S1194"/>
  <c r="S1195"/>
  <c r="S1196"/>
  <c r="S1197"/>
  <c r="S1198"/>
  <c r="S1199"/>
  <c r="S1200"/>
  <c r="S1201"/>
  <c r="S1202"/>
  <c r="S1203"/>
  <c r="S1204"/>
  <c r="S1205"/>
  <c r="S1206"/>
  <c r="S1207"/>
  <c r="S1208"/>
  <c r="S1209"/>
  <c r="S1210"/>
  <c r="S1211"/>
  <c r="S1212"/>
  <c r="S1213"/>
  <c r="S1214"/>
  <c r="S1215"/>
  <c r="S1216"/>
  <c r="S1217"/>
  <c r="S1218"/>
  <c r="S1219"/>
  <c r="S1220"/>
  <c r="S1221"/>
  <c r="S1222"/>
  <c r="S1223"/>
  <c r="S1224"/>
  <c r="S1225"/>
  <c r="S1226"/>
  <c r="S1227"/>
  <c r="S1228"/>
  <c r="S1229"/>
  <c r="S1230"/>
  <c r="S1231"/>
  <c r="S1232"/>
  <c r="S1233"/>
  <c r="S1234"/>
  <c r="S1235"/>
  <c r="S1236"/>
  <c r="S1237"/>
  <c r="S1238"/>
  <c r="S1239"/>
  <c r="S1240"/>
  <c r="S1241"/>
  <c r="S1242"/>
  <c r="S1243"/>
  <c r="S1244"/>
  <c r="S1245"/>
  <c r="S1246"/>
  <c r="S1247"/>
  <c r="S1248"/>
  <c r="S1249"/>
  <c r="S1250"/>
  <c r="S1251"/>
  <c r="S1252"/>
  <c r="S1253"/>
  <c r="S1254"/>
  <c r="S1255"/>
  <c r="S1256"/>
  <c r="S1257"/>
  <c r="S1258"/>
  <c r="S1259"/>
  <c r="S1260"/>
  <c r="S1261"/>
  <c r="S1262"/>
  <c r="S1263"/>
  <c r="S1264"/>
  <c r="S1265"/>
  <c r="S1266"/>
  <c r="S1267"/>
  <c r="S1268"/>
  <c r="S1269"/>
  <c r="S1270"/>
  <c r="S1271"/>
  <c r="S1272"/>
  <c r="S1273"/>
  <c r="S1274"/>
  <c r="S1275"/>
  <c r="S1276"/>
  <c r="S1277"/>
  <c r="S1278"/>
  <c r="S1279"/>
  <c r="S1280"/>
  <c r="S1281"/>
  <c r="S1282"/>
  <c r="S1283"/>
  <c r="S1284"/>
  <c r="S1285"/>
  <c r="S1286"/>
  <c r="S1287"/>
  <c r="S1288"/>
  <c r="S1289"/>
  <c r="S1290"/>
  <c r="S1291"/>
  <c r="S1292"/>
  <c r="S1293"/>
  <c r="S1294"/>
  <c r="S1295"/>
  <c r="S1296"/>
  <c r="S1297"/>
  <c r="S1298"/>
  <c r="S1299"/>
  <c r="S1300"/>
  <c r="S1301"/>
  <c r="S1302"/>
  <c r="S1303"/>
  <c r="S1304"/>
  <c r="S1305"/>
  <c r="S1306"/>
  <c r="S1307"/>
  <c r="S1308"/>
  <c r="S1309"/>
  <c r="S1310"/>
  <c r="S1311"/>
  <c r="S1312"/>
  <c r="S1313"/>
  <c r="S1314"/>
  <c r="S1315"/>
  <c r="S1316"/>
  <c r="S1317"/>
  <c r="S1318"/>
  <c r="S1319"/>
  <c r="S1320"/>
  <c r="S1321"/>
  <c r="S1322"/>
  <c r="S1323"/>
  <c r="S1324"/>
  <c r="S1325"/>
  <c r="S1326"/>
  <c r="S1327"/>
  <c r="S1328"/>
  <c r="S1329"/>
  <c r="S1330"/>
  <c r="S1331"/>
  <c r="S1332"/>
  <c r="S1333"/>
  <c r="S1334"/>
  <c r="S1335"/>
  <c r="S1336"/>
  <c r="S1337"/>
  <c r="S1338"/>
  <c r="S1339"/>
  <c r="S1340"/>
  <c r="S1341"/>
  <c r="S1342"/>
  <c r="S1343"/>
  <c r="S1344"/>
  <c r="S1345"/>
  <c r="S1346"/>
  <c r="S1347"/>
  <c r="S1348"/>
  <c r="S1349"/>
  <c r="S1350"/>
  <c r="S1351"/>
  <c r="S1352"/>
  <c r="S1353"/>
  <c r="S1354"/>
  <c r="S1355"/>
  <c r="S1356"/>
  <c r="S1357"/>
  <c r="S1358"/>
  <c r="S1359"/>
  <c r="S1360"/>
  <c r="S1361"/>
  <c r="S1362"/>
  <c r="S1363"/>
  <c r="S1364"/>
  <c r="S1365"/>
  <c r="S1366"/>
  <c r="S1367"/>
  <c r="S1368"/>
  <c r="S1369"/>
  <c r="S1370"/>
  <c r="S1371"/>
  <c r="S1372"/>
  <c r="S1373"/>
  <c r="S1374"/>
  <c r="S1375"/>
  <c r="S1376"/>
  <c r="S1377"/>
  <c r="S1378"/>
  <c r="S1379"/>
  <c r="S1380"/>
  <c r="S1381"/>
  <c r="S1382"/>
  <c r="S1383"/>
  <c r="S1384"/>
  <c r="S1385"/>
  <c r="S1386"/>
  <c r="S1387"/>
  <c r="S1388"/>
  <c r="S1389"/>
  <c r="S1390"/>
  <c r="S1391"/>
  <c r="S1392"/>
  <c r="S1393"/>
  <c r="S1394"/>
  <c r="S1395"/>
  <c r="S1396"/>
  <c r="S1397"/>
  <c r="S1398"/>
  <c r="S1399"/>
  <c r="S1400"/>
  <c r="S1401"/>
  <c r="S1402"/>
  <c r="S1403"/>
  <c r="S1404"/>
  <c r="S1405"/>
  <c r="S1406"/>
  <c r="S1407"/>
  <c r="S1408"/>
  <c r="S1409"/>
  <c r="S1410"/>
  <c r="S1411"/>
  <c r="S1412"/>
  <c r="S1413"/>
  <c r="S1414"/>
  <c r="S1415"/>
  <c r="S1416"/>
  <c r="S1417"/>
  <c r="S1418"/>
  <c r="S1419"/>
  <c r="S1420"/>
  <c r="S1421"/>
  <c r="S1422"/>
  <c r="S1423"/>
  <c r="S1424"/>
  <c r="S1425"/>
  <c r="S1426"/>
  <c r="S1427"/>
  <c r="S1428"/>
  <c r="S1429"/>
  <c r="S1430"/>
  <c r="S1431"/>
  <c r="S1432"/>
  <c r="S1433"/>
  <c r="S1434"/>
  <c r="S1435"/>
  <c r="S1436"/>
  <c r="S1437"/>
  <c r="S1438"/>
  <c r="S1439"/>
  <c r="S1440"/>
  <c r="S1441"/>
  <c r="S1442"/>
  <c r="S1443"/>
  <c r="S1444"/>
  <c r="S1445"/>
  <c r="S1446"/>
  <c r="S1447"/>
  <c r="S1448"/>
  <c r="S1449"/>
  <c r="S1450"/>
  <c r="S1451"/>
  <c r="S1452"/>
  <c r="S1453"/>
  <c r="S1454"/>
  <c r="S1455"/>
  <c r="S1456"/>
  <c r="S1457"/>
  <c r="S1458"/>
  <c r="S1459"/>
  <c r="S1460"/>
  <c r="S1461"/>
  <c r="S1462"/>
  <c r="S1463"/>
  <c r="S1464"/>
  <c r="S1465"/>
  <c r="S1466"/>
  <c r="S1467"/>
  <c r="S1468"/>
  <c r="S1469"/>
  <c r="S1470"/>
  <c r="S1471"/>
  <c r="S1472"/>
  <c r="S1473"/>
  <c r="S1474"/>
  <c r="S1475"/>
  <c r="S1476"/>
  <c r="S1477"/>
  <c r="S1478"/>
  <c r="S1479"/>
  <c r="S1480"/>
  <c r="S1481"/>
  <c r="S1482"/>
  <c r="S1483"/>
  <c r="S1484"/>
  <c r="S1485"/>
  <c r="S1486"/>
  <c r="S1487"/>
  <c r="S1488"/>
  <c r="S1489"/>
  <c r="S1490"/>
  <c r="S1491"/>
  <c r="S1492"/>
  <c r="S1493"/>
  <c r="S1494"/>
  <c r="S1495"/>
  <c r="S1496"/>
  <c r="S1497"/>
  <c r="S1498"/>
  <c r="S1499"/>
  <c r="S1500"/>
  <c r="S1501"/>
  <c r="S1502"/>
  <c r="S1503"/>
  <c r="S1504"/>
  <c r="S1505"/>
  <c r="S1506"/>
  <c r="S1507"/>
  <c r="S1508"/>
  <c r="S1509"/>
  <c r="S1510"/>
  <c r="S1511"/>
  <c r="S1512"/>
  <c r="S1513"/>
  <c r="S1514"/>
  <c r="S1515"/>
  <c r="S1516"/>
  <c r="S1517"/>
  <c r="S1518"/>
  <c r="S1519"/>
  <c r="S1520"/>
  <c r="S1521"/>
  <c r="S1522"/>
  <c r="S1523"/>
  <c r="S1524"/>
  <c r="S1525"/>
  <c r="S1526"/>
  <c r="S1527"/>
  <c r="S1528"/>
  <c r="S1529"/>
  <c r="S1530"/>
  <c r="S1531"/>
  <c r="S1532"/>
  <c r="S1533"/>
  <c r="S1534"/>
  <c r="S1535"/>
  <c r="S1536"/>
  <c r="S1537"/>
  <c r="S1538"/>
  <c r="S1539"/>
  <c r="S1540"/>
  <c r="S1541"/>
  <c r="S1542"/>
  <c r="S1543"/>
  <c r="S1544"/>
  <c r="S1545"/>
  <c r="S1546"/>
  <c r="S1547"/>
  <c r="S1548"/>
  <c r="S1549"/>
  <c r="S1550"/>
  <c r="S1551"/>
  <c r="S1552"/>
  <c r="S1553"/>
  <c r="S1554"/>
  <c r="S1555"/>
  <c r="S1556"/>
  <c r="S1557"/>
  <c r="S1558"/>
  <c r="S1559"/>
  <c r="S1560"/>
  <c r="S1561"/>
  <c r="S1562"/>
  <c r="S1563"/>
  <c r="S1564"/>
  <c r="S1565"/>
  <c r="S1566"/>
  <c r="S1567"/>
  <c r="S1568"/>
  <c r="S1569"/>
  <c r="S1570"/>
  <c r="S1571"/>
  <c r="S1572"/>
  <c r="S1573"/>
  <c r="S1574"/>
  <c r="S1575"/>
  <c r="S1576"/>
  <c r="S1577"/>
  <c r="S1578"/>
  <c r="S1579"/>
  <c r="S1580"/>
  <c r="S1581"/>
  <c r="S1582"/>
  <c r="S1583"/>
  <c r="S1584"/>
  <c r="S1585"/>
  <c r="S1586"/>
  <c r="S1587"/>
  <c r="S1588"/>
  <c r="S1589"/>
  <c r="S1590"/>
  <c r="S1591"/>
  <c r="S1592"/>
  <c r="S1593"/>
  <c r="S1594"/>
  <c r="S1595"/>
  <c r="S1596"/>
  <c r="S1597"/>
  <c r="S1598"/>
  <c r="S1599"/>
  <c r="S1600"/>
  <c r="S1601"/>
  <c r="S1602"/>
  <c r="S1603"/>
  <c r="S1604"/>
  <c r="S1605"/>
  <c r="S1606"/>
  <c r="S1607"/>
  <c r="S1608"/>
  <c r="S1609"/>
  <c r="S1610"/>
  <c r="S1611"/>
  <c r="S1612"/>
  <c r="S1613"/>
  <c r="S1614"/>
  <c r="S1615"/>
  <c r="S1616"/>
  <c r="S1617"/>
  <c r="S1618"/>
  <c r="S1619"/>
  <c r="S1620"/>
  <c r="S1621"/>
  <c r="S1622"/>
  <c r="S1623"/>
  <c r="S1624"/>
  <c r="S1625"/>
  <c r="S1626"/>
  <c r="S1627"/>
  <c r="S1628"/>
  <c r="S1629"/>
  <c r="S1630"/>
  <c r="S1631"/>
  <c r="S1632"/>
  <c r="S1633"/>
  <c r="S1634"/>
  <c r="S1635"/>
  <c r="S1636"/>
  <c r="S1637"/>
  <c r="S1638"/>
  <c r="S1639"/>
  <c r="S1640"/>
  <c r="S1641"/>
  <c r="S1642"/>
  <c r="S1643"/>
  <c r="S1644"/>
  <c r="S1645"/>
  <c r="S1646"/>
  <c r="S1647"/>
  <c r="S1648"/>
  <c r="S1649"/>
  <c r="S1650"/>
  <c r="S1651"/>
  <c r="S1652"/>
  <c r="S1653"/>
  <c r="S1654"/>
  <c r="S1655"/>
  <c r="S1656"/>
  <c r="S1657"/>
  <c r="S1658"/>
  <c r="S1659"/>
  <c r="S1660"/>
  <c r="S1661"/>
  <c r="S1662"/>
  <c r="S1663"/>
  <c r="S1664"/>
  <c r="S1665"/>
  <c r="S1666"/>
  <c r="S1667"/>
  <c r="S1668"/>
  <c r="S1669"/>
  <c r="S1670"/>
  <c r="S1671"/>
  <c r="S1672"/>
  <c r="S1673"/>
  <c r="S1674"/>
  <c r="S1675"/>
  <c r="S1676"/>
  <c r="S1677"/>
  <c r="S1678"/>
  <c r="S1679"/>
  <c r="S1680"/>
  <c r="S1681"/>
  <c r="S1682"/>
  <c r="S52"/>
  <c r="U5"/>
  <c r="R53"/>
  <c r="R54"/>
  <c r="R55"/>
  <c r="R56"/>
  <c r="R57"/>
  <c r="R58"/>
  <c r="R59"/>
  <c r="R60"/>
  <c r="R61"/>
  <c r="R62"/>
  <c r="R63"/>
  <c r="R64"/>
  <c r="R65"/>
  <c r="R66"/>
  <c r="R67"/>
  <c r="R68"/>
  <c r="R52"/>
  <c r="Q52"/>
  <c r="Q53"/>
  <c r="Q54"/>
  <c r="Q55"/>
  <c r="Q56"/>
  <c r="Q57"/>
  <c r="Q58"/>
  <c r="Q59"/>
  <c r="Q60"/>
  <c r="Q61"/>
  <c r="Q62"/>
  <c r="Q63"/>
  <c r="Q64"/>
  <c r="Q65"/>
  <c r="Q66"/>
  <c r="Q67"/>
  <c r="Q68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P356"/>
  <c r="P357"/>
  <c r="P358"/>
  <c r="P359"/>
  <c r="P360"/>
  <c r="P361"/>
  <c r="P362"/>
  <c r="P363"/>
  <c r="P364"/>
  <c r="P365"/>
  <c r="P366"/>
  <c r="P367"/>
  <c r="P368"/>
  <c r="P369"/>
  <c r="P370"/>
  <c r="P371"/>
  <c r="P372"/>
  <c r="P373"/>
  <c r="P374"/>
  <c r="P375"/>
  <c r="P376"/>
  <c r="P377"/>
  <c r="P378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P399"/>
  <c r="P400"/>
  <c r="P401"/>
  <c r="P402"/>
  <c r="P403"/>
  <c r="P404"/>
  <c r="P405"/>
  <c r="P406"/>
  <c r="P407"/>
  <c r="P408"/>
  <c r="P409"/>
  <c r="P410"/>
  <c r="P411"/>
  <c r="P412"/>
  <c r="P413"/>
  <c r="P414"/>
  <c r="P415"/>
  <c r="P416"/>
  <c r="P417"/>
  <c r="P418"/>
  <c r="P419"/>
  <c r="P420"/>
  <c r="P421"/>
  <c r="P422"/>
  <c r="P423"/>
  <c r="P424"/>
  <c r="P425"/>
  <c r="P426"/>
  <c r="P427"/>
  <c r="P428"/>
  <c r="P429"/>
  <c r="P430"/>
  <c r="P431"/>
  <c r="P432"/>
  <c r="P433"/>
  <c r="P434"/>
  <c r="P435"/>
  <c r="P436"/>
  <c r="P437"/>
  <c r="P438"/>
  <c r="P439"/>
  <c r="P440"/>
  <c r="P441"/>
  <c r="P442"/>
  <c r="P443"/>
  <c r="P444"/>
  <c r="P445"/>
  <c r="P446"/>
  <c r="P447"/>
  <c r="P448"/>
  <c r="P449"/>
  <c r="P450"/>
  <c r="P451"/>
  <c r="P452"/>
  <c r="P453"/>
  <c r="P454"/>
  <c r="P455"/>
  <c r="P456"/>
  <c r="P457"/>
  <c r="P458"/>
  <c r="P459"/>
  <c r="P460"/>
  <c r="P461"/>
  <c r="P462"/>
  <c r="P463"/>
  <c r="P464"/>
  <c r="P465"/>
  <c r="P466"/>
  <c r="P467"/>
  <c r="P468"/>
  <c r="P469"/>
  <c r="P470"/>
  <c r="P471"/>
  <c r="P472"/>
  <c r="P473"/>
  <c r="P474"/>
  <c r="P475"/>
  <c r="P476"/>
  <c r="P477"/>
  <c r="P478"/>
  <c r="P479"/>
  <c r="P480"/>
  <c r="P481"/>
  <c r="P482"/>
  <c r="P483"/>
  <c r="P484"/>
  <c r="P485"/>
  <c r="P486"/>
  <c r="P487"/>
  <c r="P488"/>
  <c r="P489"/>
  <c r="P490"/>
  <c r="P491"/>
  <c r="P492"/>
  <c r="P493"/>
  <c r="P494"/>
  <c r="P495"/>
  <c r="P496"/>
  <c r="P497"/>
  <c r="P498"/>
  <c r="P499"/>
  <c r="P500"/>
  <c r="P501"/>
  <c r="P502"/>
  <c r="P503"/>
  <c r="P504"/>
  <c r="P505"/>
  <c r="P506"/>
  <c r="P507"/>
  <c r="P508"/>
  <c r="P509"/>
  <c r="P510"/>
  <c r="P511"/>
  <c r="P512"/>
  <c r="P513"/>
  <c r="P514"/>
  <c r="P515"/>
  <c r="P516"/>
  <c r="P517"/>
  <c r="P518"/>
  <c r="P519"/>
  <c r="P520"/>
  <c r="P521"/>
  <c r="P522"/>
  <c r="P523"/>
  <c r="P524"/>
  <c r="P525"/>
  <c r="P526"/>
  <c r="P527"/>
  <c r="P528"/>
  <c r="P529"/>
  <c r="P530"/>
  <c r="P531"/>
  <c r="P532"/>
  <c r="P533"/>
  <c r="P534"/>
  <c r="P535"/>
  <c r="P536"/>
  <c r="P537"/>
  <c r="P538"/>
  <c r="P539"/>
  <c r="P540"/>
  <c r="P541"/>
  <c r="P542"/>
  <c r="P543"/>
  <c r="P544"/>
  <c r="P545"/>
  <c r="P546"/>
  <c r="P547"/>
  <c r="P548"/>
  <c r="P549"/>
  <c r="P550"/>
  <c r="P551"/>
  <c r="P552"/>
  <c r="P553"/>
  <c r="P554"/>
  <c r="P555"/>
  <c r="P556"/>
  <c r="P557"/>
  <c r="P558"/>
  <c r="P559"/>
  <c r="P560"/>
  <c r="P561"/>
  <c r="P562"/>
  <c r="P563"/>
  <c r="P564"/>
  <c r="P565"/>
  <c r="P566"/>
  <c r="P567"/>
  <c r="P568"/>
  <c r="P569"/>
  <c r="P570"/>
  <c r="P571"/>
  <c r="P572"/>
  <c r="P573"/>
  <c r="P574"/>
  <c r="P575"/>
  <c r="P576"/>
  <c r="P577"/>
  <c r="P578"/>
  <c r="P579"/>
  <c r="P580"/>
  <c r="P581"/>
  <c r="P582"/>
  <c r="P583"/>
  <c r="P584"/>
  <c r="P585"/>
  <c r="P586"/>
  <c r="P587"/>
  <c r="P588"/>
  <c r="P589"/>
  <c r="P590"/>
  <c r="P591"/>
  <c r="P592"/>
  <c r="P593"/>
  <c r="P594"/>
  <c r="P595"/>
  <c r="P596"/>
  <c r="P597"/>
  <c r="P598"/>
  <c r="P599"/>
  <c r="P600"/>
  <c r="P601"/>
  <c r="P602"/>
  <c r="P603"/>
  <c r="P604"/>
  <c r="P605"/>
  <c r="P606"/>
  <c r="P607"/>
  <c r="P608"/>
  <c r="P609"/>
  <c r="P610"/>
  <c r="P611"/>
  <c r="P612"/>
  <c r="P613"/>
  <c r="P614"/>
  <c r="P615"/>
  <c r="P616"/>
  <c r="P617"/>
  <c r="P618"/>
  <c r="P619"/>
  <c r="P620"/>
  <c r="P621"/>
  <c r="P622"/>
  <c r="P623"/>
  <c r="P624"/>
  <c r="P625"/>
  <c r="P626"/>
  <c r="P627"/>
  <c r="P628"/>
  <c r="P629"/>
  <c r="P630"/>
  <c r="P631"/>
  <c r="P632"/>
  <c r="P633"/>
  <c r="P634"/>
  <c r="P635"/>
  <c r="P636"/>
  <c r="P637"/>
  <c r="P638"/>
  <c r="P639"/>
  <c r="P640"/>
  <c r="P641"/>
  <c r="P642"/>
  <c r="P643"/>
  <c r="P644"/>
  <c r="P645"/>
  <c r="P646"/>
  <c r="P647"/>
  <c r="P648"/>
  <c r="P649"/>
  <c r="P650"/>
  <c r="P651"/>
  <c r="P652"/>
  <c r="P653"/>
  <c r="P654"/>
  <c r="P655"/>
  <c r="P656"/>
  <c r="P657"/>
  <c r="P658"/>
  <c r="P659"/>
  <c r="P660"/>
  <c r="P661"/>
  <c r="P662"/>
  <c r="P663"/>
  <c r="P664"/>
  <c r="P665"/>
  <c r="P666"/>
  <c r="P667"/>
  <c r="P668"/>
  <c r="P669"/>
  <c r="P670"/>
  <c r="P671"/>
  <c r="P672"/>
  <c r="P673"/>
  <c r="P674"/>
  <c r="P675"/>
  <c r="P676"/>
  <c r="P677"/>
  <c r="P678"/>
  <c r="P679"/>
  <c r="P680"/>
  <c r="P681"/>
  <c r="P682"/>
  <c r="P683"/>
  <c r="P684"/>
  <c r="P685"/>
  <c r="P686"/>
  <c r="P687"/>
  <c r="P688"/>
  <c r="P689"/>
  <c r="P690"/>
  <c r="P691"/>
  <c r="P692"/>
  <c r="P693"/>
  <c r="P694"/>
  <c r="P695"/>
  <c r="P696"/>
  <c r="P697"/>
  <c r="P698"/>
  <c r="P699"/>
  <c r="P700"/>
  <c r="P701"/>
  <c r="P702"/>
  <c r="P703"/>
  <c r="P704"/>
  <c r="P705"/>
  <c r="P706"/>
  <c r="P707"/>
  <c r="P708"/>
  <c r="P709"/>
  <c r="P710"/>
  <c r="P711"/>
  <c r="P712"/>
  <c r="P713"/>
  <c r="P714"/>
  <c r="P715"/>
  <c r="P716"/>
  <c r="P717"/>
  <c r="P718"/>
  <c r="P719"/>
  <c r="P720"/>
  <c r="P721"/>
  <c r="P722"/>
  <c r="P723"/>
  <c r="P724"/>
  <c r="P725"/>
  <c r="P726"/>
  <c r="P727"/>
  <c r="P728"/>
  <c r="P729"/>
  <c r="P730"/>
  <c r="P731"/>
  <c r="P732"/>
  <c r="P733"/>
  <c r="P734"/>
  <c r="P735"/>
  <c r="P736"/>
  <c r="P737"/>
  <c r="P738"/>
  <c r="P739"/>
  <c r="P740"/>
  <c r="P741"/>
  <c r="P742"/>
  <c r="P743"/>
  <c r="P744"/>
  <c r="P745"/>
  <c r="P746"/>
  <c r="P747"/>
  <c r="P748"/>
  <c r="P749"/>
  <c r="P750"/>
  <c r="P751"/>
  <c r="P752"/>
  <c r="P753"/>
  <c r="P754"/>
  <c r="P755"/>
  <c r="P756"/>
  <c r="P757"/>
  <c r="P758"/>
  <c r="P759"/>
  <c r="P760"/>
  <c r="P761"/>
  <c r="P762"/>
  <c r="P763"/>
  <c r="P764"/>
  <c r="P765"/>
  <c r="P766"/>
  <c r="P767"/>
  <c r="P768"/>
  <c r="P769"/>
  <c r="P770"/>
  <c r="P771"/>
  <c r="P772"/>
  <c r="P773"/>
  <c r="P774"/>
  <c r="P775"/>
  <c r="P776"/>
  <c r="P777"/>
  <c r="P778"/>
  <c r="P779"/>
  <c r="P780"/>
  <c r="P781"/>
  <c r="P782"/>
  <c r="P783"/>
  <c r="P784"/>
  <c r="P785"/>
  <c r="P786"/>
  <c r="P787"/>
  <c r="P788"/>
  <c r="P789"/>
  <c r="P790"/>
  <c r="P791"/>
  <c r="P792"/>
  <c r="P793"/>
  <c r="P794"/>
  <c r="P795"/>
  <c r="P796"/>
  <c r="P797"/>
  <c r="P798"/>
  <c r="P799"/>
  <c r="P800"/>
  <c r="P801"/>
  <c r="P802"/>
  <c r="P803"/>
  <c r="P804"/>
  <c r="P805"/>
  <c r="P806"/>
  <c r="P807"/>
  <c r="P808"/>
  <c r="P809"/>
  <c r="P810"/>
  <c r="P811"/>
  <c r="P812"/>
  <c r="P813"/>
  <c r="P814"/>
  <c r="P815"/>
  <c r="P816"/>
  <c r="P817"/>
  <c r="P818"/>
  <c r="P819"/>
  <c r="P820"/>
  <c r="P821"/>
  <c r="P822"/>
  <c r="P823"/>
  <c r="P824"/>
  <c r="P825"/>
  <c r="P826"/>
  <c r="P827"/>
  <c r="P828"/>
  <c r="P829"/>
  <c r="P830"/>
  <c r="P831"/>
  <c r="P832"/>
  <c r="P833"/>
  <c r="P834"/>
  <c r="P835"/>
  <c r="P836"/>
  <c r="P837"/>
  <c r="P838"/>
  <c r="P839"/>
  <c r="P840"/>
  <c r="P841"/>
  <c r="P842"/>
  <c r="P843"/>
  <c r="P844"/>
  <c r="P845"/>
  <c r="P846"/>
  <c r="P847"/>
  <c r="P848"/>
  <c r="P849"/>
  <c r="P850"/>
  <c r="P851"/>
  <c r="P852"/>
  <c r="P853"/>
  <c r="P854"/>
  <c r="P855"/>
  <c r="P856"/>
  <c r="P857"/>
  <c r="P858"/>
  <c r="P859"/>
  <c r="P860"/>
  <c r="P861"/>
  <c r="P862"/>
  <c r="P863"/>
  <c r="P864"/>
  <c r="P865"/>
  <c r="P866"/>
  <c r="P867"/>
  <c r="P868"/>
  <c r="P869"/>
  <c r="P870"/>
  <c r="P871"/>
  <c r="P872"/>
  <c r="P873"/>
  <c r="P874"/>
  <c r="P875"/>
  <c r="P876"/>
  <c r="P877"/>
  <c r="P878"/>
  <c r="P879"/>
  <c r="P880"/>
  <c r="P881"/>
  <c r="P882"/>
  <c r="P883"/>
  <c r="P884"/>
  <c r="P885"/>
  <c r="P886"/>
  <c r="P887"/>
  <c r="P888"/>
  <c r="P889"/>
  <c r="P890"/>
  <c r="P891"/>
  <c r="P892"/>
  <c r="P893"/>
  <c r="P894"/>
  <c r="P895"/>
  <c r="P896"/>
  <c r="P897"/>
  <c r="P898"/>
  <c r="P899"/>
  <c r="P900"/>
  <c r="P901"/>
  <c r="P902"/>
  <c r="P903"/>
  <c r="P904"/>
  <c r="P905"/>
  <c r="P906"/>
  <c r="P907"/>
  <c r="P908"/>
  <c r="P909"/>
  <c r="P910"/>
  <c r="P911"/>
  <c r="P912"/>
  <c r="P913"/>
  <c r="P914"/>
  <c r="P915"/>
  <c r="P916"/>
  <c r="P917"/>
  <c r="P918"/>
  <c r="P919"/>
  <c r="P920"/>
  <c r="P921"/>
  <c r="P922"/>
  <c r="P923"/>
  <c r="P924"/>
  <c r="P925"/>
  <c r="P926"/>
  <c r="P927"/>
  <c r="P928"/>
  <c r="P929"/>
  <c r="P930"/>
  <c r="P931"/>
  <c r="P932"/>
  <c r="P933"/>
  <c r="P934"/>
  <c r="P935"/>
  <c r="P936"/>
  <c r="P937"/>
  <c r="P938"/>
  <c r="P939"/>
  <c r="P940"/>
  <c r="P941"/>
  <c r="P942"/>
  <c r="P943"/>
  <c r="P944"/>
  <c r="P945"/>
  <c r="P946"/>
  <c r="P947"/>
  <c r="P948"/>
  <c r="P949"/>
  <c r="P950"/>
  <c r="P951"/>
  <c r="P952"/>
  <c r="P953"/>
  <c r="P954"/>
  <c r="P955"/>
  <c r="P956"/>
  <c r="P957"/>
  <c r="P958"/>
  <c r="P959"/>
  <c r="P960"/>
  <c r="P961"/>
  <c r="P962"/>
  <c r="P963"/>
  <c r="P964"/>
  <c r="P965"/>
  <c r="P966"/>
  <c r="P967"/>
  <c r="P968"/>
  <c r="P969"/>
  <c r="P970"/>
  <c r="P971"/>
  <c r="P972"/>
  <c r="P973"/>
  <c r="P974"/>
  <c r="P975"/>
  <c r="P976"/>
  <c r="P977"/>
  <c r="P978"/>
  <c r="P979"/>
  <c r="P980"/>
  <c r="P981"/>
  <c r="P982"/>
  <c r="P983"/>
  <c r="P984"/>
  <c r="P985"/>
  <c r="P986"/>
  <c r="P987"/>
  <c r="P988"/>
  <c r="P989"/>
  <c r="P990"/>
  <c r="P991"/>
  <c r="P992"/>
  <c r="P993"/>
  <c r="P994"/>
  <c r="P995"/>
  <c r="P996"/>
  <c r="P997"/>
  <c r="P998"/>
  <c r="P999"/>
  <c r="P1000"/>
  <c r="P1001"/>
  <c r="P1002"/>
  <c r="P1003"/>
  <c r="P1004"/>
  <c r="P1005"/>
  <c r="P1006"/>
  <c r="P1007"/>
  <c r="P1008"/>
  <c r="P1009"/>
  <c r="P1010"/>
  <c r="P1011"/>
  <c r="P1012"/>
  <c r="P1013"/>
  <c r="P1014"/>
  <c r="P1015"/>
  <c r="P1016"/>
  <c r="P1017"/>
  <c r="P1018"/>
  <c r="P1019"/>
  <c r="P1020"/>
  <c r="P1021"/>
  <c r="P1022"/>
  <c r="P1023"/>
  <c r="P1024"/>
  <c r="P1025"/>
  <c r="P1026"/>
  <c r="P1027"/>
  <c r="P1028"/>
  <c r="P1029"/>
  <c r="P1030"/>
  <c r="P1031"/>
  <c r="P1032"/>
  <c r="P1033"/>
  <c r="P1034"/>
  <c r="P1035"/>
  <c r="P1036"/>
  <c r="P1037"/>
  <c r="P1038"/>
  <c r="P1039"/>
  <c r="P1040"/>
  <c r="P1041"/>
  <c r="P1042"/>
  <c r="P1043"/>
  <c r="P1044"/>
  <c r="P1045"/>
  <c r="P1046"/>
  <c r="P1047"/>
  <c r="P1048"/>
  <c r="P1049"/>
  <c r="P1050"/>
  <c r="P1051"/>
  <c r="P1052"/>
  <c r="P1053"/>
  <c r="P1054"/>
  <c r="P1055"/>
  <c r="P1056"/>
  <c r="P1057"/>
  <c r="P1058"/>
  <c r="P1059"/>
  <c r="P1060"/>
  <c r="P1061"/>
  <c r="P1062"/>
  <c r="P1063"/>
  <c r="P1064"/>
  <c r="P1065"/>
  <c r="P1066"/>
  <c r="P1067"/>
  <c r="P1068"/>
  <c r="P1069"/>
  <c r="P1070"/>
  <c r="P1071"/>
  <c r="P1072"/>
  <c r="P1073"/>
  <c r="P1074"/>
  <c r="P1075"/>
  <c r="P1076"/>
  <c r="P1077"/>
  <c r="P1078"/>
  <c r="P1079"/>
  <c r="P1080"/>
  <c r="P1081"/>
  <c r="P1082"/>
  <c r="P1083"/>
  <c r="P1084"/>
  <c r="P1085"/>
  <c r="P1086"/>
  <c r="P1087"/>
  <c r="P1088"/>
  <c r="P1089"/>
  <c r="P1090"/>
  <c r="P1091"/>
  <c r="P1092"/>
  <c r="P1093"/>
  <c r="P1094"/>
  <c r="P1095"/>
  <c r="P1096"/>
  <c r="P1097"/>
  <c r="P1098"/>
  <c r="P1099"/>
  <c r="P1100"/>
  <c r="P1101"/>
  <c r="P1102"/>
  <c r="P1103"/>
  <c r="P1104"/>
  <c r="P1105"/>
  <c r="P1106"/>
  <c r="P1107"/>
  <c r="P1108"/>
  <c r="P1109"/>
  <c r="P1110"/>
  <c r="P1111"/>
  <c r="P1112"/>
  <c r="P1113"/>
  <c r="P1114"/>
  <c r="P1115"/>
  <c r="P1116"/>
  <c r="P1117"/>
  <c r="P1118"/>
  <c r="P1119"/>
  <c r="P1120"/>
  <c r="P1121"/>
  <c r="P1122"/>
  <c r="P1123"/>
  <c r="P1124"/>
  <c r="P1125"/>
  <c r="P1126"/>
  <c r="P1127"/>
  <c r="P1128"/>
  <c r="P1129"/>
  <c r="P1130"/>
  <c r="P1131"/>
  <c r="P1132"/>
  <c r="P1133"/>
  <c r="P1134"/>
  <c r="P1135"/>
  <c r="P1136"/>
  <c r="P1137"/>
  <c r="P1138"/>
  <c r="P1139"/>
  <c r="P1140"/>
  <c r="P1141"/>
  <c r="P1142"/>
  <c r="P1143"/>
  <c r="P1144"/>
  <c r="P1145"/>
  <c r="P1146"/>
  <c r="P1147"/>
  <c r="P1148"/>
  <c r="P1149"/>
  <c r="P1150"/>
  <c r="P1151"/>
  <c r="P1152"/>
  <c r="P1153"/>
  <c r="P1154"/>
  <c r="P1155"/>
  <c r="P1156"/>
  <c r="P1157"/>
  <c r="P1158"/>
  <c r="P1159"/>
  <c r="P1160"/>
  <c r="P1161"/>
  <c r="P1162"/>
  <c r="P1163"/>
  <c r="P1164"/>
  <c r="P1165"/>
  <c r="P1166"/>
  <c r="P1167"/>
  <c r="P1168"/>
  <c r="P1169"/>
  <c r="P1170"/>
  <c r="P1171"/>
  <c r="P1172"/>
  <c r="P1173"/>
  <c r="P1174"/>
  <c r="P1175"/>
  <c r="P1176"/>
  <c r="P1177"/>
  <c r="P1178"/>
  <c r="P1179"/>
  <c r="P1180"/>
  <c r="P1181"/>
  <c r="P1182"/>
  <c r="P1183"/>
  <c r="P1184"/>
  <c r="P1185"/>
  <c r="P1186"/>
  <c r="P1187"/>
  <c r="P1188"/>
  <c r="P1189"/>
  <c r="P1190"/>
  <c r="P1191"/>
  <c r="P1192"/>
  <c r="P1193"/>
  <c r="P1194"/>
  <c r="P1195"/>
  <c r="P1196"/>
  <c r="P1197"/>
  <c r="P1198"/>
  <c r="P1199"/>
  <c r="P1200"/>
  <c r="P1201"/>
  <c r="P1202"/>
  <c r="P1203"/>
  <c r="P1204"/>
  <c r="P1205"/>
  <c r="P1206"/>
  <c r="P1207"/>
  <c r="P1208"/>
  <c r="P1209"/>
  <c r="P1210"/>
  <c r="P1211"/>
  <c r="P1212"/>
  <c r="P1213"/>
  <c r="P1214"/>
  <c r="P1215"/>
  <c r="P1216"/>
  <c r="P1217"/>
  <c r="P1218"/>
  <c r="P1219"/>
  <c r="P1220"/>
  <c r="P1221"/>
  <c r="P1222"/>
  <c r="P1223"/>
  <c r="P1224"/>
  <c r="P1225"/>
  <c r="P1226"/>
  <c r="P1227"/>
  <c r="P1228"/>
  <c r="P1229"/>
  <c r="P1230"/>
  <c r="P1231"/>
  <c r="P1232"/>
  <c r="P1233"/>
  <c r="P1234"/>
  <c r="P1235"/>
  <c r="P1236"/>
  <c r="P1237"/>
  <c r="P1238"/>
  <c r="P1239"/>
  <c r="P1240"/>
  <c r="P1241"/>
  <c r="P1242"/>
  <c r="P1243"/>
  <c r="P1244"/>
  <c r="P1245"/>
  <c r="P1246"/>
  <c r="P1247"/>
  <c r="P1248"/>
  <c r="P1249"/>
  <c r="P1250"/>
  <c r="P1251"/>
  <c r="P1252"/>
  <c r="P1253"/>
  <c r="P1254"/>
  <c r="P1255"/>
  <c r="P1256"/>
  <c r="P1257"/>
  <c r="P1258"/>
  <c r="P1259"/>
  <c r="P1260"/>
  <c r="P1261"/>
  <c r="P1262"/>
  <c r="P1263"/>
  <c r="P1264"/>
  <c r="P1265"/>
  <c r="P1266"/>
  <c r="P1267"/>
  <c r="P1268"/>
  <c r="P1269"/>
  <c r="P1270"/>
  <c r="P1271"/>
  <c r="P1272"/>
  <c r="P1273"/>
  <c r="P1274"/>
  <c r="P1275"/>
  <c r="P1276"/>
  <c r="P1277"/>
  <c r="P1278"/>
  <c r="P1279"/>
  <c r="P1280"/>
  <c r="P1281"/>
  <c r="P1282"/>
  <c r="P1283"/>
  <c r="P1284"/>
  <c r="P1285"/>
  <c r="P1286"/>
  <c r="P1287"/>
  <c r="P1288"/>
  <c r="P1289"/>
  <c r="P1290"/>
  <c r="P1291"/>
  <c r="P1292"/>
  <c r="P1293"/>
  <c r="P1294"/>
  <c r="P1295"/>
  <c r="P1296"/>
  <c r="P1297"/>
  <c r="P1298"/>
  <c r="P1299"/>
  <c r="P1300"/>
  <c r="P1301"/>
  <c r="P1302"/>
  <c r="P1303"/>
  <c r="P1304"/>
  <c r="P1305"/>
  <c r="P1306"/>
  <c r="P1307"/>
  <c r="P1308"/>
  <c r="P1309"/>
  <c r="P1310"/>
  <c r="P1311"/>
  <c r="P1312"/>
  <c r="P1313"/>
  <c r="P1314"/>
  <c r="P1315"/>
  <c r="P1316"/>
  <c r="P1317"/>
  <c r="P1318"/>
  <c r="P1319"/>
  <c r="P1320"/>
  <c r="P1321"/>
  <c r="P1322"/>
  <c r="P1323"/>
  <c r="P1324"/>
  <c r="P1325"/>
  <c r="P1326"/>
  <c r="P1327"/>
  <c r="P1328"/>
  <c r="P1329"/>
  <c r="P1330"/>
  <c r="P1331"/>
  <c r="P1332"/>
  <c r="P1333"/>
  <c r="P1334"/>
  <c r="P1335"/>
  <c r="P1336"/>
  <c r="P1337"/>
  <c r="P1338"/>
  <c r="P1339"/>
  <c r="P1340"/>
  <c r="P1341"/>
  <c r="P1342"/>
  <c r="P1343"/>
  <c r="P1344"/>
  <c r="P1345"/>
  <c r="P1346"/>
  <c r="P1347"/>
  <c r="P1348"/>
  <c r="P1349"/>
  <c r="P1350"/>
  <c r="P1351"/>
  <c r="P1352"/>
  <c r="P1353"/>
  <c r="P1354"/>
  <c r="P1355"/>
  <c r="P1356"/>
  <c r="P1357"/>
  <c r="P1358"/>
  <c r="P1359"/>
  <c r="P1360"/>
  <c r="P1361"/>
  <c r="P1362"/>
  <c r="P1363"/>
  <c r="P1364"/>
  <c r="P1365"/>
  <c r="P1366"/>
  <c r="P1367"/>
  <c r="P1368"/>
  <c r="P1369"/>
  <c r="P1370"/>
  <c r="P1371"/>
  <c r="P1372"/>
  <c r="P1373"/>
  <c r="P1374"/>
  <c r="P1375"/>
  <c r="P1376"/>
  <c r="P1377"/>
  <c r="P1378"/>
  <c r="P1379"/>
  <c r="P1380"/>
  <c r="P1381"/>
  <c r="P1382"/>
  <c r="P1383"/>
  <c r="P1384"/>
  <c r="P1385"/>
  <c r="P1386"/>
  <c r="P1387"/>
  <c r="P1388"/>
  <c r="P1389"/>
  <c r="P1390"/>
  <c r="P1391"/>
  <c r="P1392"/>
  <c r="P1393"/>
  <c r="P1394"/>
  <c r="P1395"/>
  <c r="P1396"/>
  <c r="P1397"/>
  <c r="P1398"/>
  <c r="P1399"/>
  <c r="P1400"/>
  <c r="P1401"/>
  <c r="P1402"/>
  <c r="P1403"/>
  <c r="P1404"/>
  <c r="P1405"/>
  <c r="P1406"/>
  <c r="P1407"/>
  <c r="P1408"/>
  <c r="P1409"/>
  <c r="P1410"/>
  <c r="P1411"/>
  <c r="P1412"/>
  <c r="P1413"/>
  <c r="P1414"/>
  <c r="P1415"/>
  <c r="P1416"/>
  <c r="P1417"/>
  <c r="P1418"/>
  <c r="P1419"/>
  <c r="P1420"/>
  <c r="P1421"/>
  <c r="P1422"/>
  <c r="P1423"/>
  <c r="P1424"/>
  <c r="P1425"/>
  <c r="P1426"/>
  <c r="P1427"/>
  <c r="P1428"/>
  <c r="P1429"/>
  <c r="P1430"/>
  <c r="P1431"/>
  <c r="P1432"/>
  <c r="P1433"/>
  <c r="P1434"/>
  <c r="P1435"/>
  <c r="P1436"/>
  <c r="P1437"/>
  <c r="P1438"/>
  <c r="P1439"/>
  <c r="P1440"/>
  <c r="P1441"/>
  <c r="P1442"/>
  <c r="P1443"/>
  <c r="P1444"/>
  <c r="P1445"/>
  <c r="P1446"/>
  <c r="P1447"/>
  <c r="P1448"/>
  <c r="P1449"/>
  <c r="P1450"/>
  <c r="P1451"/>
  <c r="P1452"/>
  <c r="P1453"/>
  <c r="P1454"/>
  <c r="P1455"/>
  <c r="P1456"/>
  <c r="P1457"/>
  <c r="P1458"/>
  <c r="P1459"/>
  <c r="P1460"/>
  <c r="P1461"/>
  <c r="P1462"/>
  <c r="P1463"/>
  <c r="P1464"/>
  <c r="P1465"/>
  <c r="P1466"/>
  <c r="P1467"/>
  <c r="P1468"/>
  <c r="P1469"/>
  <c r="P1470"/>
  <c r="P1471"/>
  <c r="P1472"/>
  <c r="P1473"/>
  <c r="P1474"/>
  <c r="P1475"/>
  <c r="P1476"/>
  <c r="P1477"/>
  <c r="P1478"/>
  <c r="P1479"/>
  <c r="P1480"/>
  <c r="P1481"/>
  <c r="P1482"/>
  <c r="P1483"/>
  <c r="P1484"/>
  <c r="P1485"/>
  <c r="P1486"/>
  <c r="P1487"/>
  <c r="P1488"/>
  <c r="P1489"/>
  <c r="P1490"/>
  <c r="P1491"/>
  <c r="P1492"/>
  <c r="P1493"/>
  <c r="P1494"/>
  <c r="P1495"/>
  <c r="P1496"/>
  <c r="P1497"/>
  <c r="P1498"/>
  <c r="P1499"/>
  <c r="P1500"/>
  <c r="P1501"/>
  <c r="P1502"/>
  <c r="P1503"/>
  <c r="P1504"/>
  <c r="P1505"/>
  <c r="P1506"/>
  <c r="P1507"/>
  <c r="P1508"/>
  <c r="P1509"/>
  <c r="P1510"/>
  <c r="P1511"/>
  <c r="P1512"/>
  <c r="P1513"/>
  <c r="P1514"/>
  <c r="P1515"/>
  <c r="P1516"/>
  <c r="P1517"/>
  <c r="P1518"/>
  <c r="P1519"/>
  <c r="P1520"/>
  <c r="P1521"/>
  <c r="P1522"/>
  <c r="P1523"/>
  <c r="P1524"/>
  <c r="P1525"/>
  <c r="P1526"/>
  <c r="P1527"/>
  <c r="P1528"/>
  <c r="P1529"/>
  <c r="P1530"/>
  <c r="P1531"/>
  <c r="P1532"/>
  <c r="P1533"/>
  <c r="P1534"/>
  <c r="P1535"/>
  <c r="P1536"/>
  <c r="P1537"/>
  <c r="P1538"/>
  <c r="P1539"/>
  <c r="P1540"/>
  <c r="P1541"/>
  <c r="P1542"/>
  <c r="P1543"/>
  <c r="P1544"/>
  <c r="P1545"/>
  <c r="P1546"/>
  <c r="P1547"/>
  <c r="P1548"/>
  <c r="P1549"/>
  <c r="P1550"/>
  <c r="P1551"/>
  <c r="P1552"/>
  <c r="P1553"/>
  <c r="P1554"/>
  <c r="P1555"/>
  <c r="P1556"/>
  <c r="P1557"/>
  <c r="P1558"/>
  <c r="P1559"/>
  <c r="P1560"/>
  <c r="P1561"/>
  <c r="P1562"/>
  <c r="P1563"/>
  <c r="P1564"/>
  <c r="P1565"/>
  <c r="P1566"/>
  <c r="P1567"/>
  <c r="P1568"/>
  <c r="P1569"/>
  <c r="P1570"/>
  <c r="P1571"/>
  <c r="P1572"/>
  <c r="P1573"/>
  <c r="P1574"/>
  <c r="P1575"/>
  <c r="P1576"/>
  <c r="P1577"/>
  <c r="P1578"/>
  <c r="P1579"/>
  <c r="P1580"/>
  <c r="P1581"/>
  <c r="P1582"/>
  <c r="P1583"/>
  <c r="P1584"/>
  <c r="P1585"/>
  <c r="P1586"/>
  <c r="P1587"/>
  <c r="P1588"/>
  <c r="P1589"/>
  <c r="P1590"/>
  <c r="P1591"/>
  <c r="P1592"/>
  <c r="P1593"/>
  <c r="P1594"/>
  <c r="P1595"/>
  <c r="P1596"/>
  <c r="P1597"/>
  <c r="P1598"/>
  <c r="P1599"/>
  <c r="P1600"/>
  <c r="P1601"/>
  <c r="P1602"/>
  <c r="P1603"/>
  <c r="P1604"/>
  <c r="P1605"/>
  <c r="P1606"/>
  <c r="P1607"/>
  <c r="P1608"/>
  <c r="P1609"/>
  <c r="P1610"/>
  <c r="P1611"/>
  <c r="P1612"/>
  <c r="P1613"/>
  <c r="P1614"/>
  <c r="P1615"/>
  <c r="P1616"/>
  <c r="P1617"/>
  <c r="P1618"/>
  <c r="P1619"/>
  <c r="P1620"/>
  <c r="P1621"/>
  <c r="P1622"/>
  <c r="P1623"/>
  <c r="P1624"/>
  <c r="P1625"/>
  <c r="P1626"/>
  <c r="P1627"/>
  <c r="P1628"/>
  <c r="P1629"/>
  <c r="P1630"/>
  <c r="P1631"/>
  <c r="P1632"/>
  <c r="P1633"/>
  <c r="P1634"/>
  <c r="P1635"/>
  <c r="P1636"/>
  <c r="P1637"/>
  <c r="P1638"/>
  <c r="P1639"/>
  <c r="P1640"/>
  <c r="P1641"/>
  <c r="P1642"/>
  <c r="P1643"/>
  <c r="P1644"/>
  <c r="P1645"/>
  <c r="P1646"/>
  <c r="P1647"/>
  <c r="P1648"/>
  <c r="P1649"/>
  <c r="P1650"/>
  <c r="P1651"/>
  <c r="P1652"/>
  <c r="P1653"/>
  <c r="P1654"/>
  <c r="P1655"/>
  <c r="P1656"/>
  <c r="P1657"/>
  <c r="P1658"/>
  <c r="P1659"/>
  <c r="P1660"/>
  <c r="P1661"/>
  <c r="P1662"/>
  <c r="P1663"/>
  <c r="P1664"/>
  <c r="P1665"/>
  <c r="P1666"/>
  <c r="P1667"/>
  <c r="P1668"/>
  <c r="P1669"/>
  <c r="P1670"/>
  <c r="P1671"/>
  <c r="P1672"/>
  <c r="P1673"/>
  <c r="P1674"/>
  <c r="P1675"/>
  <c r="P1676"/>
  <c r="P1677"/>
  <c r="P1678"/>
  <c r="P1679"/>
  <c r="P1680"/>
  <c r="P1681"/>
  <c r="P1682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4"/>
  <c r="Y53" l="1"/>
  <c r="I53" s="1"/>
  <c r="U566"/>
  <c r="W565"/>
  <c r="X565"/>
  <c r="X55"/>
  <c r="X57"/>
  <c r="X59"/>
  <c r="X61"/>
  <c r="X63"/>
  <c r="X65"/>
  <c r="X67"/>
  <c r="X69"/>
  <c r="X71"/>
  <c r="X73"/>
  <c r="X75"/>
  <c r="X77"/>
  <c r="X79"/>
  <c r="X81"/>
  <c r="X83"/>
  <c r="X85"/>
  <c r="X87"/>
  <c r="X89"/>
  <c r="X91"/>
  <c r="X93"/>
  <c r="X95"/>
  <c r="X97"/>
  <c r="X99"/>
  <c r="X101"/>
  <c r="X103"/>
  <c r="X105"/>
  <c r="X107"/>
  <c r="X109"/>
  <c r="X111"/>
  <c r="X113"/>
  <c r="X115"/>
  <c r="X117"/>
  <c r="X119"/>
  <c r="X121"/>
  <c r="X123"/>
  <c r="X125"/>
  <c r="X127"/>
  <c r="X129"/>
  <c r="X131"/>
  <c r="X133"/>
  <c r="X135"/>
  <c r="X137"/>
  <c r="X139"/>
  <c r="X141"/>
  <c r="X143"/>
  <c r="X145"/>
  <c r="X147"/>
  <c r="X149"/>
  <c r="X151"/>
  <c r="X153"/>
  <c r="X155"/>
  <c r="X157"/>
  <c r="X159"/>
  <c r="X161"/>
  <c r="X163"/>
  <c r="X165"/>
  <c r="X167"/>
  <c r="X169"/>
  <c r="X171"/>
  <c r="X173"/>
  <c r="X175"/>
  <c r="X177"/>
  <c r="X179"/>
  <c r="X181"/>
  <c r="X183"/>
  <c r="X185"/>
  <c r="X187"/>
  <c r="X189"/>
  <c r="X191"/>
  <c r="X193"/>
  <c r="X195"/>
  <c r="X197"/>
  <c r="X199"/>
  <c r="X201"/>
  <c r="X203"/>
  <c r="X205"/>
  <c r="X207"/>
  <c r="X209"/>
  <c r="X211"/>
  <c r="X213"/>
  <c r="X215"/>
  <c r="X217"/>
  <c r="X219"/>
  <c r="X221"/>
  <c r="X223"/>
  <c r="X225"/>
  <c r="X227"/>
  <c r="X229"/>
  <c r="X231"/>
  <c r="X233"/>
  <c r="X235"/>
  <c r="X237"/>
  <c r="X239"/>
  <c r="X241"/>
  <c r="X243"/>
  <c r="X245"/>
  <c r="X247"/>
  <c r="X249"/>
  <c r="X251"/>
  <c r="X253"/>
  <c r="X255"/>
  <c r="X257"/>
  <c r="X259"/>
  <c r="X261"/>
  <c r="X263"/>
  <c r="X265"/>
  <c r="X267"/>
  <c r="X269"/>
  <c r="X271"/>
  <c r="X273"/>
  <c r="X275"/>
  <c r="X277"/>
  <c r="X279"/>
  <c r="X281"/>
  <c r="X283"/>
  <c r="X285"/>
  <c r="X287"/>
  <c r="X289"/>
  <c r="X291"/>
  <c r="X293"/>
  <c r="X295"/>
  <c r="X297"/>
  <c r="X299"/>
  <c r="X301"/>
  <c r="X303"/>
  <c r="X305"/>
  <c r="X307"/>
  <c r="X309"/>
  <c r="X311"/>
  <c r="X313"/>
  <c r="X315"/>
  <c r="X317"/>
  <c r="X319"/>
  <c r="X321"/>
  <c r="X323"/>
  <c r="X325"/>
  <c r="X327"/>
  <c r="X329"/>
  <c r="X331"/>
  <c r="X333"/>
  <c r="X335"/>
  <c r="X337"/>
  <c r="X339"/>
  <c r="X341"/>
  <c r="X343"/>
  <c r="X345"/>
  <c r="X347"/>
  <c r="X349"/>
  <c r="X351"/>
  <c r="X353"/>
  <c r="X355"/>
  <c r="X357"/>
  <c r="X359"/>
  <c r="X361"/>
  <c r="X363"/>
  <c r="X365"/>
  <c r="X367"/>
  <c r="X369"/>
  <c r="X371"/>
  <c r="X373"/>
  <c r="X375"/>
  <c r="X377"/>
  <c r="X379"/>
  <c r="X381"/>
  <c r="X383"/>
  <c r="X385"/>
  <c r="X387"/>
  <c r="X389"/>
  <c r="X391"/>
  <c r="X393"/>
  <c r="X395"/>
  <c r="X397"/>
  <c r="X399"/>
  <c r="X401"/>
  <c r="X403"/>
  <c r="X405"/>
  <c r="X407"/>
  <c r="X409"/>
  <c r="X411"/>
  <c r="X413"/>
  <c r="X415"/>
  <c r="X417"/>
  <c r="X419"/>
  <c r="X421"/>
  <c r="X423"/>
  <c r="X425"/>
  <c r="X427"/>
  <c r="X429"/>
  <c r="X431"/>
  <c r="X433"/>
  <c r="X435"/>
  <c r="X437"/>
  <c r="X439"/>
  <c r="X441"/>
  <c r="X443"/>
  <c r="X445"/>
  <c r="X447"/>
  <c r="X449"/>
  <c r="X451"/>
  <c r="X453"/>
  <c r="X455"/>
  <c r="X457"/>
  <c r="X459"/>
  <c r="X461"/>
  <c r="X463"/>
  <c r="X465"/>
  <c r="X467"/>
  <c r="X469"/>
  <c r="X471"/>
  <c r="X473"/>
  <c r="X475"/>
  <c r="X477"/>
  <c r="X479"/>
  <c r="X481"/>
  <c r="X483"/>
  <c r="X485"/>
  <c r="X487"/>
  <c r="X489"/>
  <c r="X491"/>
  <c r="X493"/>
  <c r="X495"/>
  <c r="X497"/>
  <c r="X499"/>
  <c r="X501"/>
  <c r="X503"/>
  <c r="X505"/>
  <c r="X507"/>
  <c r="X509"/>
  <c r="X511"/>
  <c r="X513"/>
  <c r="X515"/>
  <c r="X517"/>
  <c r="X519"/>
  <c r="X521"/>
  <c r="X523"/>
  <c r="X525"/>
  <c r="X527"/>
  <c r="X529"/>
  <c r="X531"/>
  <c r="X533"/>
  <c r="X535"/>
  <c r="X537"/>
  <c r="X539"/>
  <c r="X541"/>
  <c r="X543"/>
  <c r="X545"/>
  <c r="X547"/>
  <c r="X549"/>
  <c r="X551"/>
  <c r="X553"/>
  <c r="X555"/>
  <c r="X557"/>
  <c r="X559"/>
  <c r="X561"/>
  <c r="X563"/>
  <c r="X54"/>
  <c r="X56"/>
  <c r="X58"/>
  <c r="X60"/>
  <c r="X62"/>
  <c r="X64"/>
  <c r="X66"/>
  <c r="X68"/>
  <c r="X70"/>
  <c r="X72"/>
  <c r="X74"/>
  <c r="X76"/>
  <c r="X78"/>
  <c r="X80"/>
  <c r="X82"/>
  <c r="X84"/>
  <c r="X86"/>
  <c r="X88"/>
  <c r="X90"/>
  <c r="X92"/>
  <c r="X94"/>
  <c r="X96"/>
  <c r="X98"/>
  <c r="X100"/>
  <c r="X102"/>
  <c r="X104"/>
  <c r="X106"/>
  <c r="X108"/>
  <c r="X110"/>
  <c r="X112"/>
  <c r="X114"/>
  <c r="X116"/>
  <c r="X118"/>
  <c r="X120"/>
  <c r="X122"/>
  <c r="X124"/>
  <c r="X126"/>
  <c r="X128"/>
  <c r="X130"/>
  <c r="X132"/>
  <c r="X134"/>
  <c r="X136"/>
  <c r="X138"/>
  <c r="X140"/>
  <c r="X142"/>
  <c r="X144"/>
  <c r="X146"/>
  <c r="X148"/>
  <c r="X150"/>
  <c r="X152"/>
  <c r="X154"/>
  <c r="X156"/>
  <c r="X158"/>
  <c r="X160"/>
  <c r="X162"/>
  <c r="X164"/>
  <c r="X166"/>
  <c r="X168"/>
  <c r="X170"/>
  <c r="X172"/>
  <c r="X174"/>
  <c r="X176"/>
  <c r="X178"/>
  <c r="X180"/>
  <c r="X182"/>
  <c r="X184"/>
  <c r="X186"/>
  <c r="X188"/>
  <c r="X190"/>
  <c r="X192"/>
  <c r="X194"/>
  <c r="Y195" s="1"/>
  <c r="X196"/>
  <c r="X198"/>
  <c r="X200"/>
  <c r="X202"/>
  <c r="X204"/>
  <c r="X206"/>
  <c r="X208"/>
  <c r="X210"/>
  <c r="X212"/>
  <c r="X214"/>
  <c r="X216"/>
  <c r="X218"/>
  <c r="X220"/>
  <c r="X222"/>
  <c r="X224"/>
  <c r="X226"/>
  <c r="X228"/>
  <c r="X230"/>
  <c r="X232"/>
  <c r="X234"/>
  <c r="X236"/>
  <c r="X238"/>
  <c r="X240"/>
  <c r="X242"/>
  <c r="X244"/>
  <c r="X246"/>
  <c r="X248"/>
  <c r="X250"/>
  <c r="X252"/>
  <c r="X254"/>
  <c r="X256"/>
  <c r="X258"/>
  <c r="X260"/>
  <c r="X262"/>
  <c r="X264"/>
  <c r="X266"/>
  <c r="X268"/>
  <c r="X270"/>
  <c r="X272"/>
  <c r="X274"/>
  <c r="X276"/>
  <c r="X278"/>
  <c r="X280"/>
  <c r="X282"/>
  <c r="X284"/>
  <c r="X286"/>
  <c r="X288"/>
  <c r="X290"/>
  <c r="X292"/>
  <c r="X294"/>
  <c r="X296"/>
  <c r="X298"/>
  <c r="X300"/>
  <c r="X302"/>
  <c r="X304"/>
  <c r="X306"/>
  <c r="X308"/>
  <c r="X310"/>
  <c r="X312"/>
  <c r="X314"/>
  <c r="X316"/>
  <c r="X318"/>
  <c r="X320"/>
  <c r="X322"/>
  <c r="X324"/>
  <c r="X326"/>
  <c r="X328"/>
  <c r="X330"/>
  <c r="X332"/>
  <c r="X334"/>
  <c r="X336"/>
  <c r="X338"/>
  <c r="X340"/>
  <c r="X342"/>
  <c r="X344"/>
  <c r="X346"/>
  <c r="X348"/>
  <c r="X350"/>
  <c r="X352"/>
  <c r="X354"/>
  <c r="X356"/>
  <c r="X358"/>
  <c r="X360"/>
  <c r="X362"/>
  <c r="X364"/>
  <c r="X366"/>
  <c r="X368"/>
  <c r="X370"/>
  <c r="X372"/>
  <c r="X374"/>
  <c r="X376"/>
  <c r="X378"/>
  <c r="X380"/>
  <c r="X382"/>
  <c r="X384"/>
  <c r="X386"/>
  <c r="X388"/>
  <c r="X390"/>
  <c r="X392"/>
  <c r="X394"/>
  <c r="X396"/>
  <c r="X398"/>
  <c r="X400"/>
  <c r="X402"/>
  <c r="X404"/>
  <c r="X406"/>
  <c r="X408"/>
  <c r="X410"/>
  <c r="X412"/>
  <c r="X414"/>
  <c r="X416"/>
  <c r="X418"/>
  <c r="X420"/>
  <c r="X422"/>
  <c r="X424"/>
  <c r="X426"/>
  <c r="X428"/>
  <c r="X430"/>
  <c r="X432"/>
  <c r="X434"/>
  <c r="X436"/>
  <c r="X438"/>
  <c r="X440"/>
  <c r="X442"/>
  <c r="X444"/>
  <c r="X446"/>
  <c r="X448"/>
  <c r="X450"/>
  <c r="X452"/>
  <c r="X454"/>
  <c r="X456"/>
  <c r="X458"/>
  <c r="X460"/>
  <c r="X462"/>
  <c r="X464"/>
  <c r="X466"/>
  <c r="X468"/>
  <c r="X470"/>
  <c r="X472"/>
  <c r="X474"/>
  <c r="X476"/>
  <c r="X478"/>
  <c r="X480"/>
  <c r="X482"/>
  <c r="X484"/>
  <c r="X486"/>
  <c r="X488"/>
  <c r="X490"/>
  <c r="X492"/>
  <c r="X494"/>
  <c r="X496"/>
  <c r="X498"/>
  <c r="X500"/>
  <c r="X502"/>
  <c r="X504"/>
  <c r="X506"/>
  <c r="X508"/>
  <c r="X510"/>
  <c r="X512"/>
  <c r="X514"/>
  <c r="X516"/>
  <c r="X518"/>
  <c r="X520"/>
  <c r="X522"/>
  <c r="X524"/>
  <c r="X526"/>
  <c r="X528"/>
  <c r="X530"/>
  <c r="X532"/>
  <c r="Y533" s="1"/>
  <c r="X534"/>
  <c r="X536"/>
  <c r="X538"/>
  <c r="X540"/>
  <c r="X542"/>
  <c r="X544"/>
  <c r="X546"/>
  <c r="X548"/>
  <c r="X550"/>
  <c r="X552"/>
  <c r="X554"/>
  <c r="X556"/>
  <c r="X558"/>
  <c r="X560"/>
  <c r="X562"/>
  <c r="X564"/>
  <c r="W55"/>
  <c r="W57"/>
  <c r="W59"/>
  <c r="W61"/>
  <c r="W63"/>
  <c r="W65"/>
  <c r="W67"/>
  <c r="W69"/>
  <c r="W71"/>
  <c r="W73"/>
  <c r="W75"/>
  <c r="W77"/>
  <c r="W79"/>
  <c r="W81"/>
  <c r="W83"/>
  <c r="W85"/>
  <c r="W87"/>
  <c r="W89"/>
  <c r="W91"/>
  <c r="W93"/>
  <c r="W95"/>
  <c r="W97"/>
  <c r="W99"/>
  <c r="W101"/>
  <c r="W103"/>
  <c r="W105"/>
  <c r="W107"/>
  <c r="W109"/>
  <c r="W111"/>
  <c r="W113"/>
  <c r="W115"/>
  <c r="W117"/>
  <c r="W119"/>
  <c r="W121"/>
  <c r="W123"/>
  <c r="W125"/>
  <c r="W127"/>
  <c r="W129"/>
  <c r="W131"/>
  <c r="W133"/>
  <c r="W135"/>
  <c r="W137"/>
  <c r="W139"/>
  <c r="W141"/>
  <c r="W143"/>
  <c r="W145"/>
  <c r="W147"/>
  <c r="W149"/>
  <c r="W151"/>
  <c r="W153"/>
  <c r="W155"/>
  <c r="W157"/>
  <c r="W159"/>
  <c r="W161"/>
  <c r="W163"/>
  <c r="W165"/>
  <c r="W167"/>
  <c r="W169"/>
  <c r="W171"/>
  <c r="W173"/>
  <c r="W175"/>
  <c r="W177"/>
  <c r="W179"/>
  <c r="W181"/>
  <c r="W183"/>
  <c r="W185"/>
  <c r="W187"/>
  <c r="W189"/>
  <c r="W191"/>
  <c r="W193"/>
  <c r="W195"/>
  <c r="W197"/>
  <c r="W199"/>
  <c r="W201"/>
  <c r="W203"/>
  <c r="W205"/>
  <c r="W207"/>
  <c r="W209"/>
  <c r="W211"/>
  <c r="W213"/>
  <c r="W215"/>
  <c r="W217"/>
  <c r="W219"/>
  <c r="W221"/>
  <c r="W223"/>
  <c r="W225"/>
  <c r="W227"/>
  <c r="W229"/>
  <c r="W231"/>
  <c r="W233"/>
  <c r="W235"/>
  <c r="W237"/>
  <c r="W239"/>
  <c r="W241"/>
  <c r="W243"/>
  <c r="W245"/>
  <c r="W247"/>
  <c r="W249"/>
  <c r="W251"/>
  <c r="W253"/>
  <c r="W255"/>
  <c r="W257"/>
  <c r="W259"/>
  <c r="W261"/>
  <c r="W263"/>
  <c r="W265"/>
  <c r="W267"/>
  <c r="W269"/>
  <c r="W271"/>
  <c r="W273"/>
  <c r="W275"/>
  <c r="W277"/>
  <c r="W279"/>
  <c r="W281"/>
  <c r="W283"/>
  <c r="W285"/>
  <c r="W287"/>
  <c r="W289"/>
  <c r="W291"/>
  <c r="W293"/>
  <c r="W295"/>
  <c r="W297"/>
  <c r="W299"/>
  <c r="W301"/>
  <c r="W303"/>
  <c r="W305"/>
  <c r="W307"/>
  <c r="W309"/>
  <c r="W311"/>
  <c r="W313"/>
  <c r="W315"/>
  <c r="W317"/>
  <c r="W319"/>
  <c r="W321"/>
  <c r="W323"/>
  <c r="W325"/>
  <c r="W327"/>
  <c r="W329"/>
  <c r="W331"/>
  <c r="W333"/>
  <c r="W335"/>
  <c r="W337"/>
  <c r="W339"/>
  <c r="W341"/>
  <c r="W343"/>
  <c r="W345"/>
  <c r="W347"/>
  <c r="W349"/>
  <c r="W351"/>
  <c r="W353"/>
  <c r="W355"/>
  <c r="W357"/>
  <c r="W359"/>
  <c r="W361"/>
  <c r="W363"/>
  <c r="W365"/>
  <c r="W367"/>
  <c r="W369"/>
  <c r="W371"/>
  <c r="W373"/>
  <c r="W375"/>
  <c r="W377"/>
  <c r="W379"/>
  <c r="W381"/>
  <c r="W383"/>
  <c r="W385"/>
  <c r="W387"/>
  <c r="W389"/>
  <c r="W391"/>
  <c r="W393"/>
  <c r="W395"/>
  <c r="W397"/>
  <c r="W399"/>
  <c r="W401"/>
  <c r="W403"/>
  <c r="W405"/>
  <c r="W407"/>
  <c r="W409"/>
  <c r="W411"/>
  <c r="W413"/>
  <c r="W415"/>
  <c r="W417"/>
  <c r="W419"/>
  <c r="W421"/>
  <c r="W423"/>
  <c r="W425"/>
  <c r="W427"/>
  <c r="W429"/>
  <c r="W431"/>
  <c r="W433"/>
  <c r="W435"/>
  <c r="W437"/>
  <c r="W439"/>
  <c r="W441"/>
  <c r="W443"/>
  <c r="W445"/>
  <c r="W447"/>
  <c r="W449"/>
  <c r="W451"/>
  <c r="W453"/>
  <c r="W455"/>
  <c r="W457"/>
  <c r="W459"/>
  <c r="W461"/>
  <c r="W463"/>
  <c r="W465"/>
  <c r="W467"/>
  <c r="W469"/>
  <c r="W471"/>
  <c r="W473"/>
  <c r="W475"/>
  <c r="W477"/>
  <c r="W479"/>
  <c r="W481"/>
  <c r="W483"/>
  <c r="W485"/>
  <c r="W487"/>
  <c r="W489"/>
  <c r="W491"/>
  <c r="W493"/>
  <c r="W495"/>
  <c r="W497"/>
  <c r="W499"/>
  <c r="W501"/>
  <c r="W503"/>
  <c r="W505"/>
  <c r="W507"/>
  <c r="W509"/>
  <c r="W511"/>
  <c r="W513"/>
  <c r="W515"/>
  <c r="W517"/>
  <c r="W519"/>
  <c r="W521"/>
  <c r="W523"/>
  <c r="W525"/>
  <c r="W527"/>
  <c r="W529"/>
  <c r="W531"/>
  <c r="W533"/>
  <c r="W535"/>
  <c r="W537"/>
  <c r="W539"/>
  <c r="W541"/>
  <c r="W543"/>
  <c r="W545"/>
  <c r="W547"/>
  <c r="W549"/>
  <c r="W551"/>
  <c r="W553"/>
  <c r="W555"/>
  <c r="W557"/>
  <c r="W559"/>
  <c r="W561"/>
  <c r="W563"/>
  <c r="W54"/>
  <c r="W56"/>
  <c r="W58"/>
  <c r="W60"/>
  <c r="W62"/>
  <c r="W64"/>
  <c r="W66"/>
  <c r="W68"/>
  <c r="W70"/>
  <c r="W72"/>
  <c r="W74"/>
  <c r="W76"/>
  <c r="W78"/>
  <c r="W80"/>
  <c r="W82"/>
  <c r="W84"/>
  <c r="W86"/>
  <c r="W88"/>
  <c r="W90"/>
  <c r="W92"/>
  <c r="W94"/>
  <c r="W96"/>
  <c r="W98"/>
  <c r="W100"/>
  <c r="W102"/>
  <c r="W104"/>
  <c r="W106"/>
  <c r="W108"/>
  <c r="W110"/>
  <c r="W112"/>
  <c r="W114"/>
  <c r="W116"/>
  <c r="W118"/>
  <c r="W120"/>
  <c r="W122"/>
  <c r="W124"/>
  <c r="W126"/>
  <c r="W128"/>
  <c r="W130"/>
  <c r="W132"/>
  <c r="W134"/>
  <c r="W136"/>
  <c r="W138"/>
  <c r="W140"/>
  <c r="W142"/>
  <c r="W144"/>
  <c r="W146"/>
  <c r="W148"/>
  <c r="W150"/>
  <c r="W152"/>
  <c r="W154"/>
  <c r="W156"/>
  <c r="W158"/>
  <c r="W160"/>
  <c r="W162"/>
  <c r="W164"/>
  <c r="W166"/>
  <c r="W168"/>
  <c r="W170"/>
  <c r="W172"/>
  <c r="W174"/>
  <c r="W176"/>
  <c r="W178"/>
  <c r="W180"/>
  <c r="W182"/>
  <c r="W184"/>
  <c r="W186"/>
  <c r="W188"/>
  <c r="W190"/>
  <c r="W192"/>
  <c r="W194"/>
  <c r="W196"/>
  <c r="W198"/>
  <c r="W200"/>
  <c r="W202"/>
  <c r="W204"/>
  <c r="W206"/>
  <c r="W208"/>
  <c r="W210"/>
  <c r="W212"/>
  <c r="W214"/>
  <c r="W216"/>
  <c r="W218"/>
  <c r="W220"/>
  <c r="W222"/>
  <c r="W224"/>
  <c r="W226"/>
  <c r="W228"/>
  <c r="W230"/>
  <c r="W232"/>
  <c r="W234"/>
  <c r="W236"/>
  <c r="W238"/>
  <c r="W240"/>
  <c r="W242"/>
  <c r="W244"/>
  <c r="W246"/>
  <c r="W248"/>
  <c r="W250"/>
  <c r="W252"/>
  <c r="W254"/>
  <c r="W256"/>
  <c r="W258"/>
  <c r="W260"/>
  <c r="W262"/>
  <c r="W264"/>
  <c r="W266"/>
  <c r="W268"/>
  <c r="W270"/>
  <c r="W272"/>
  <c r="W274"/>
  <c r="W276"/>
  <c r="W278"/>
  <c r="W280"/>
  <c r="W282"/>
  <c r="W284"/>
  <c r="W286"/>
  <c r="W288"/>
  <c r="W290"/>
  <c r="W292"/>
  <c r="W294"/>
  <c r="W296"/>
  <c r="W298"/>
  <c r="W300"/>
  <c r="W302"/>
  <c r="W304"/>
  <c r="W306"/>
  <c r="W308"/>
  <c r="W310"/>
  <c r="W312"/>
  <c r="W314"/>
  <c r="W316"/>
  <c r="W318"/>
  <c r="W320"/>
  <c r="W322"/>
  <c r="W324"/>
  <c r="W326"/>
  <c r="W328"/>
  <c r="W330"/>
  <c r="W332"/>
  <c r="W334"/>
  <c r="W336"/>
  <c r="W338"/>
  <c r="W340"/>
  <c r="W342"/>
  <c r="W344"/>
  <c r="W346"/>
  <c r="W348"/>
  <c r="W350"/>
  <c r="W352"/>
  <c r="W354"/>
  <c r="W356"/>
  <c r="W358"/>
  <c r="W360"/>
  <c r="W362"/>
  <c r="W364"/>
  <c r="W366"/>
  <c r="W368"/>
  <c r="W370"/>
  <c r="W372"/>
  <c r="W374"/>
  <c r="W376"/>
  <c r="W378"/>
  <c r="W380"/>
  <c r="W382"/>
  <c r="W384"/>
  <c r="W386"/>
  <c r="W388"/>
  <c r="W390"/>
  <c r="W392"/>
  <c r="W394"/>
  <c r="W396"/>
  <c r="W398"/>
  <c r="W400"/>
  <c r="W402"/>
  <c r="W404"/>
  <c r="W406"/>
  <c r="W408"/>
  <c r="W410"/>
  <c r="W412"/>
  <c r="W414"/>
  <c r="W416"/>
  <c r="W418"/>
  <c r="W420"/>
  <c r="W422"/>
  <c r="W424"/>
  <c r="W426"/>
  <c r="W428"/>
  <c r="W430"/>
  <c r="W432"/>
  <c r="W434"/>
  <c r="W436"/>
  <c r="W438"/>
  <c r="W440"/>
  <c r="W442"/>
  <c r="W444"/>
  <c r="W446"/>
  <c r="W448"/>
  <c r="W450"/>
  <c r="W452"/>
  <c r="W454"/>
  <c r="W456"/>
  <c r="W458"/>
  <c r="W460"/>
  <c r="W462"/>
  <c r="W464"/>
  <c r="W466"/>
  <c r="W468"/>
  <c r="W470"/>
  <c r="W472"/>
  <c r="W474"/>
  <c r="W476"/>
  <c r="W478"/>
  <c r="W480"/>
  <c r="W482"/>
  <c r="W484"/>
  <c r="W486"/>
  <c r="W488"/>
  <c r="W490"/>
  <c r="W492"/>
  <c r="W494"/>
  <c r="W496"/>
  <c r="W498"/>
  <c r="W500"/>
  <c r="W502"/>
  <c r="W504"/>
  <c r="W506"/>
  <c r="W508"/>
  <c r="W510"/>
  <c r="W512"/>
  <c r="W514"/>
  <c r="W516"/>
  <c r="W518"/>
  <c r="W520"/>
  <c r="W522"/>
  <c r="W524"/>
  <c r="W526"/>
  <c r="W528"/>
  <c r="W530"/>
  <c r="W532"/>
  <c r="W534"/>
  <c r="W536"/>
  <c r="W538"/>
  <c r="W540"/>
  <c r="W542"/>
  <c r="W544"/>
  <c r="W546"/>
  <c r="W548"/>
  <c r="W550"/>
  <c r="W552"/>
  <c r="W554"/>
  <c r="W556"/>
  <c r="W558"/>
  <c r="W560"/>
  <c r="W562"/>
  <c r="W564"/>
  <c r="R1682"/>
  <c r="Q1662"/>
  <c r="R1678"/>
  <c r="Q1658"/>
  <c r="R1674"/>
  <c r="Q1654"/>
  <c r="R1672"/>
  <c r="Q1652"/>
  <c r="R1668"/>
  <c r="Q1648"/>
  <c r="R1664"/>
  <c r="Q1644"/>
  <c r="R1660"/>
  <c r="Q1640"/>
  <c r="R1656"/>
  <c r="Q1636"/>
  <c r="R1652"/>
  <c r="Q1632"/>
  <c r="R1648"/>
  <c r="Q1628"/>
  <c r="R1644"/>
  <c r="Q1624"/>
  <c r="R1640"/>
  <c r="Q1620"/>
  <c r="R1636"/>
  <c r="Q1616"/>
  <c r="R1632"/>
  <c r="Q1612"/>
  <c r="R1628"/>
  <c r="Q1608"/>
  <c r="R1624"/>
  <c r="Q1604"/>
  <c r="R1620"/>
  <c r="Q1600"/>
  <c r="R1616"/>
  <c r="Q1596"/>
  <c r="R1612"/>
  <c r="Q1592"/>
  <c r="R1608"/>
  <c r="Q1588"/>
  <c r="R1604"/>
  <c r="Q1584"/>
  <c r="R1600"/>
  <c r="Q1580"/>
  <c r="R1596"/>
  <c r="Q1576"/>
  <c r="R1592"/>
  <c r="Q1572"/>
  <c r="R1588"/>
  <c r="Q1568"/>
  <c r="R1584"/>
  <c r="Q1564"/>
  <c r="R1580"/>
  <c r="Q1560"/>
  <c r="R1576"/>
  <c r="Q1556"/>
  <c r="R1572"/>
  <c r="Q1552"/>
  <c r="R1568"/>
  <c r="Q1548"/>
  <c r="R1564"/>
  <c r="Q1544"/>
  <c r="R1560"/>
  <c r="Q1540"/>
  <c r="R1556"/>
  <c r="Q1536"/>
  <c r="R1552"/>
  <c r="Q1532"/>
  <c r="R1544"/>
  <c r="Q1524"/>
  <c r="R1681"/>
  <c r="Q1661"/>
  <c r="R1679"/>
  <c r="Q1659"/>
  <c r="R1677"/>
  <c r="Q1657"/>
  <c r="R1675"/>
  <c r="Q1655"/>
  <c r="R1673"/>
  <c r="Q1653"/>
  <c r="R1671"/>
  <c r="Q1651"/>
  <c r="R1669"/>
  <c r="Q1649"/>
  <c r="R1667"/>
  <c r="Q1647"/>
  <c r="R1665"/>
  <c r="Q1645"/>
  <c r="R1663"/>
  <c r="Q1643"/>
  <c r="R1661"/>
  <c r="Q1641"/>
  <c r="R1659"/>
  <c r="Q1639"/>
  <c r="R1657"/>
  <c r="Q1637"/>
  <c r="R1655"/>
  <c r="Q1635"/>
  <c r="R1653"/>
  <c r="Q1633"/>
  <c r="R1651"/>
  <c r="Q1631"/>
  <c r="R1649"/>
  <c r="Q1629"/>
  <c r="R1647"/>
  <c r="Q1627"/>
  <c r="R1645"/>
  <c r="Q1625"/>
  <c r="R1643"/>
  <c r="Q1623"/>
  <c r="R1641"/>
  <c r="Q1621"/>
  <c r="R1639"/>
  <c r="Q1619"/>
  <c r="R1637"/>
  <c r="Q1617"/>
  <c r="R1635"/>
  <c r="Q1615"/>
  <c r="R1633"/>
  <c r="Q1613"/>
  <c r="R1631"/>
  <c r="Q1611"/>
  <c r="R1629"/>
  <c r="Q1609"/>
  <c r="R1627"/>
  <c r="Q1607"/>
  <c r="R1625"/>
  <c r="Q1605"/>
  <c r="R1623"/>
  <c r="Q1603"/>
  <c r="R1621"/>
  <c r="Q1601"/>
  <c r="R1619"/>
  <c r="Q1599"/>
  <c r="R1617"/>
  <c r="Q1597"/>
  <c r="R1615"/>
  <c r="Q1595"/>
  <c r="R1613"/>
  <c r="Q1593"/>
  <c r="R1611"/>
  <c r="Q1591"/>
  <c r="R1609"/>
  <c r="Q1589"/>
  <c r="R1607"/>
  <c r="Q1587"/>
  <c r="R1605"/>
  <c r="Q1585"/>
  <c r="R1603"/>
  <c r="Q1583"/>
  <c r="R1601"/>
  <c r="Q1581"/>
  <c r="R1599"/>
  <c r="Q1579"/>
  <c r="R1597"/>
  <c r="Q1577"/>
  <c r="R1595"/>
  <c r="Q1575"/>
  <c r="R1593"/>
  <c r="Q1573"/>
  <c r="R1591"/>
  <c r="Q1571"/>
  <c r="R1589"/>
  <c r="Q1569"/>
  <c r="R1587"/>
  <c r="Q1567"/>
  <c r="R1585"/>
  <c r="Q1565"/>
  <c r="R1583"/>
  <c r="Q1563"/>
  <c r="R1581"/>
  <c r="Q1561"/>
  <c r="R1579"/>
  <c r="Q1559"/>
  <c r="R1577"/>
  <c r="Q1557"/>
  <c r="R1575"/>
  <c r="Q1555"/>
  <c r="R1573"/>
  <c r="Q1553"/>
  <c r="R1571"/>
  <c r="Q1551"/>
  <c r="R1569"/>
  <c r="Q1549"/>
  <c r="R1567"/>
  <c r="Q1547"/>
  <c r="R1565"/>
  <c r="Q1545"/>
  <c r="R1563"/>
  <c r="Q1543"/>
  <c r="R1561"/>
  <c r="Q1541"/>
  <c r="R1559"/>
  <c r="Q1539"/>
  <c r="R1557"/>
  <c r="Q1537"/>
  <c r="R1555"/>
  <c r="Q1535"/>
  <c r="R1553"/>
  <c r="Q1533"/>
  <c r="R1551"/>
  <c r="Q1531"/>
  <c r="R1549"/>
  <c r="Q1529"/>
  <c r="R1547"/>
  <c r="Q1527"/>
  <c r="R1545"/>
  <c r="Q1525"/>
  <c r="R1543"/>
  <c r="Q1523"/>
  <c r="R1541"/>
  <c r="Q1521"/>
  <c r="R1539"/>
  <c r="Q1519"/>
  <c r="R1537"/>
  <c r="Q1517"/>
  <c r="R1535"/>
  <c r="Q1515"/>
  <c r="R1533"/>
  <c r="Q1513"/>
  <c r="R1531"/>
  <c r="Q1511"/>
  <c r="R1529"/>
  <c r="Q1509"/>
  <c r="R1527"/>
  <c r="Q1507"/>
  <c r="R1525"/>
  <c r="Q1505"/>
  <c r="R1523"/>
  <c r="Q1503"/>
  <c r="R1521"/>
  <c r="Q1501"/>
  <c r="R1519"/>
  <c r="Q1499"/>
  <c r="R1517"/>
  <c r="Q1497"/>
  <c r="R1515"/>
  <c r="Q1495"/>
  <c r="R1513"/>
  <c r="Q1493"/>
  <c r="R1511"/>
  <c r="Q1491"/>
  <c r="R1509"/>
  <c r="Q1489"/>
  <c r="R1507"/>
  <c r="Q1487"/>
  <c r="R1505"/>
  <c r="Q1485"/>
  <c r="R1503"/>
  <c r="Q1483"/>
  <c r="R1501"/>
  <c r="Q1481"/>
  <c r="R1499"/>
  <c r="Q1479"/>
  <c r="R1497"/>
  <c r="Q1477"/>
  <c r="R1495"/>
  <c r="Q1475"/>
  <c r="R1493"/>
  <c r="Q1473"/>
  <c r="R1491"/>
  <c r="Q1471"/>
  <c r="R1489"/>
  <c r="Q1469"/>
  <c r="R1487"/>
  <c r="Q1467"/>
  <c r="R1485"/>
  <c r="Q1465"/>
  <c r="R1483"/>
  <c r="Q1463"/>
  <c r="R1481"/>
  <c r="Q1461"/>
  <c r="R1479"/>
  <c r="Q1459"/>
  <c r="R1477"/>
  <c r="Q1457"/>
  <c r="R1475"/>
  <c r="Q1455"/>
  <c r="R1473"/>
  <c r="Q1453"/>
  <c r="R1471"/>
  <c r="Q1451"/>
  <c r="R1469"/>
  <c r="Q1449"/>
  <c r="R1467"/>
  <c r="Q1447"/>
  <c r="R1465"/>
  <c r="Q1445"/>
  <c r="R1463"/>
  <c r="Q1443"/>
  <c r="R1461"/>
  <c r="Q1441"/>
  <c r="R1459"/>
  <c r="Q1439"/>
  <c r="R1457"/>
  <c r="Q1437"/>
  <c r="R1455"/>
  <c r="Q1435"/>
  <c r="R1453"/>
  <c r="Q1433"/>
  <c r="R1451"/>
  <c r="Q1431"/>
  <c r="R1449"/>
  <c r="Q1429"/>
  <c r="R1447"/>
  <c r="Q1427"/>
  <c r="R1445"/>
  <c r="Q1425"/>
  <c r="R1443"/>
  <c r="Q1423"/>
  <c r="R1441"/>
  <c r="Q1421"/>
  <c r="R1439"/>
  <c r="Q1419"/>
  <c r="R1437"/>
  <c r="Q1417"/>
  <c r="R1435"/>
  <c r="Q1415"/>
  <c r="R1433"/>
  <c r="Q1413"/>
  <c r="R1431"/>
  <c r="Q1411"/>
  <c r="R1429"/>
  <c r="Q1409"/>
  <c r="R1427"/>
  <c r="Q1407"/>
  <c r="R1425"/>
  <c r="Q1405"/>
  <c r="R1423"/>
  <c r="Q1403"/>
  <c r="R1421"/>
  <c r="Q1401"/>
  <c r="R1419"/>
  <c r="Q1399"/>
  <c r="R1417"/>
  <c r="Q1397"/>
  <c r="R1415"/>
  <c r="Q1395"/>
  <c r="R1413"/>
  <c r="Q1393"/>
  <c r="R1411"/>
  <c r="Q1391"/>
  <c r="R1409"/>
  <c r="Q1389"/>
  <c r="R1407"/>
  <c r="Q1387"/>
  <c r="R1405"/>
  <c r="Q1385"/>
  <c r="R1403"/>
  <c r="Q1383"/>
  <c r="R1401"/>
  <c r="Q1381"/>
  <c r="R1399"/>
  <c r="Q1379"/>
  <c r="R1397"/>
  <c r="Q1377"/>
  <c r="R1395"/>
  <c r="Q1375"/>
  <c r="R1393"/>
  <c r="Q1373"/>
  <c r="R1391"/>
  <c r="Q1371"/>
  <c r="R1389"/>
  <c r="Q1369"/>
  <c r="R1387"/>
  <c r="Q1367"/>
  <c r="R1385"/>
  <c r="Q1365"/>
  <c r="R1383"/>
  <c r="Q1363"/>
  <c r="R1381"/>
  <c r="Q1361"/>
  <c r="R1379"/>
  <c r="Q1359"/>
  <c r="R1377"/>
  <c r="Q1357"/>
  <c r="R1375"/>
  <c r="Q1355"/>
  <c r="R1373"/>
  <c r="Q1353"/>
  <c r="R1371"/>
  <c r="Q1351"/>
  <c r="R1369"/>
  <c r="Q1349"/>
  <c r="R1367"/>
  <c r="Q1347"/>
  <c r="R1365"/>
  <c r="Q1345"/>
  <c r="R1363"/>
  <c r="Q1343"/>
  <c r="R1361"/>
  <c r="Q1341"/>
  <c r="R1359"/>
  <c r="Q1339"/>
  <c r="R1357"/>
  <c r="Q1337"/>
  <c r="R1355"/>
  <c r="Q1335"/>
  <c r="R1353"/>
  <c r="Q1333"/>
  <c r="R1351"/>
  <c r="Q1331"/>
  <c r="R1349"/>
  <c r="Q1329"/>
  <c r="R1347"/>
  <c r="Q1327"/>
  <c r="R1345"/>
  <c r="Q1325"/>
  <c r="R1343"/>
  <c r="Q1323"/>
  <c r="R1341"/>
  <c r="Q1321"/>
  <c r="R1339"/>
  <c r="Q1319"/>
  <c r="R1337"/>
  <c r="Q1317"/>
  <c r="R1335"/>
  <c r="Q1315"/>
  <c r="R1333"/>
  <c r="Q1313"/>
  <c r="R1331"/>
  <c r="Q1311"/>
  <c r="R1329"/>
  <c r="Q1309"/>
  <c r="R1327"/>
  <c r="Q1307"/>
  <c r="R1325"/>
  <c r="Q1305"/>
  <c r="R1323"/>
  <c r="Q1303"/>
  <c r="R1321"/>
  <c r="Q1301"/>
  <c r="R1319"/>
  <c r="Q1299"/>
  <c r="R1317"/>
  <c r="Q1297"/>
  <c r="R1315"/>
  <c r="Q1295"/>
  <c r="R1313"/>
  <c r="Q1293"/>
  <c r="R1311"/>
  <c r="Q1291"/>
  <c r="R1309"/>
  <c r="Q1289"/>
  <c r="R1307"/>
  <c r="Q1287"/>
  <c r="R1305"/>
  <c r="Q1285"/>
  <c r="R1303"/>
  <c r="Q1283"/>
  <c r="R1301"/>
  <c r="Q1281"/>
  <c r="R1299"/>
  <c r="Q1279"/>
  <c r="R1297"/>
  <c r="Q1277"/>
  <c r="R1295"/>
  <c r="Q1275"/>
  <c r="R1293"/>
  <c r="Q1273"/>
  <c r="R1291"/>
  <c r="Q1271"/>
  <c r="R1289"/>
  <c r="Q1269"/>
  <c r="R1287"/>
  <c r="Q1267"/>
  <c r="R1285"/>
  <c r="Q1265"/>
  <c r="R1283"/>
  <c r="Q1263"/>
  <c r="R1281"/>
  <c r="Q1261"/>
  <c r="R1279"/>
  <c r="Q1259"/>
  <c r="R1277"/>
  <c r="Q1257"/>
  <c r="R1275"/>
  <c r="Q1255"/>
  <c r="R1273"/>
  <c r="Q1253"/>
  <c r="R1271"/>
  <c r="Q1251"/>
  <c r="R1269"/>
  <c r="Q1249"/>
  <c r="R1267"/>
  <c r="Q1247"/>
  <c r="R1265"/>
  <c r="Q1245"/>
  <c r="R1263"/>
  <c r="Q1243"/>
  <c r="R1261"/>
  <c r="Q1241"/>
  <c r="R1259"/>
  <c r="Q1239"/>
  <c r="R1257"/>
  <c r="Q1237"/>
  <c r="R1255"/>
  <c r="Q1235"/>
  <c r="R1253"/>
  <c r="Q1233"/>
  <c r="R1251"/>
  <c r="Q1231"/>
  <c r="R1249"/>
  <c r="Q1229"/>
  <c r="R1247"/>
  <c r="Q1227"/>
  <c r="R1245"/>
  <c r="Q1225"/>
  <c r="R1243"/>
  <c r="Q1223"/>
  <c r="R1241"/>
  <c r="Q1221"/>
  <c r="R1239"/>
  <c r="Q1219"/>
  <c r="R1237"/>
  <c r="Q1217"/>
  <c r="R1235"/>
  <c r="Q1215"/>
  <c r="R1233"/>
  <c r="Q1213"/>
  <c r="R1231"/>
  <c r="Q1211"/>
  <c r="R1229"/>
  <c r="Q1209"/>
  <c r="R1227"/>
  <c r="Q1207"/>
  <c r="R1225"/>
  <c r="Q1205"/>
  <c r="R1223"/>
  <c r="Q1203"/>
  <c r="R1221"/>
  <c r="Q1201"/>
  <c r="R1219"/>
  <c r="Q1199"/>
  <c r="R1217"/>
  <c r="Q1197"/>
  <c r="R1215"/>
  <c r="Q1195"/>
  <c r="R1213"/>
  <c r="Q1193"/>
  <c r="R1211"/>
  <c r="Q1191"/>
  <c r="R1209"/>
  <c r="Q1189"/>
  <c r="R1207"/>
  <c r="Q1187"/>
  <c r="R1205"/>
  <c r="Q1185"/>
  <c r="R1203"/>
  <c r="Q1183"/>
  <c r="R1201"/>
  <c r="Q1181"/>
  <c r="R1199"/>
  <c r="Q1179"/>
  <c r="R1197"/>
  <c r="Q1177"/>
  <c r="R1195"/>
  <c r="Q1175"/>
  <c r="R1193"/>
  <c r="Q1173"/>
  <c r="R1191"/>
  <c r="Q1171"/>
  <c r="R1189"/>
  <c r="Q1169"/>
  <c r="R1187"/>
  <c r="Q1167"/>
  <c r="R1185"/>
  <c r="Q1165"/>
  <c r="R1183"/>
  <c r="Q1163"/>
  <c r="R1181"/>
  <c r="Q1161"/>
  <c r="R1179"/>
  <c r="Q1159"/>
  <c r="R1177"/>
  <c r="Q1157"/>
  <c r="R1175"/>
  <c r="Q1155"/>
  <c r="R1173"/>
  <c r="Q1153"/>
  <c r="R1171"/>
  <c r="Q1151"/>
  <c r="R1169"/>
  <c r="Q1149"/>
  <c r="R1167"/>
  <c r="Q1147"/>
  <c r="R1165"/>
  <c r="Q1145"/>
  <c r="R1163"/>
  <c r="Q1143"/>
  <c r="R1161"/>
  <c r="Q1141"/>
  <c r="R1159"/>
  <c r="Q1139"/>
  <c r="R1157"/>
  <c r="Q1137"/>
  <c r="R1155"/>
  <c r="Q1135"/>
  <c r="R1153"/>
  <c r="Q1133"/>
  <c r="R1151"/>
  <c r="Q1131"/>
  <c r="R1149"/>
  <c r="Q1129"/>
  <c r="R1147"/>
  <c r="Q1127"/>
  <c r="R1145"/>
  <c r="Q1125"/>
  <c r="R1143"/>
  <c r="Q1123"/>
  <c r="R1141"/>
  <c r="Q1121"/>
  <c r="R1139"/>
  <c r="Q1119"/>
  <c r="R1137"/>
  <c r="Q1117"/>
  <c r="R1135"/>
  <c r="Q1115"/>
  <c r="R1133"/>
  <c r="Q1113"/>
  <c r="Q1680"/>
  <c r="Q1676"/>
  <c r="Q1672"/>
  <c r="Q1668"/>
  <c r="Q1666"/>
  <c r="Q1681"/>
  <c r="Q1679"/>
  <c r="Q1677"/>
  <c r="Q1675"/>
  <c r="Q1673"/>
  <c r="Q1671"/>
  <c r="Q1669"/>
  <c r="Q1667"/>
  <c r="Q1665"/>
  <c r="Q1663"/>
  <c r="R1680"/>
  <c r="Q1660"/>
  <c r="R1676"/>
  <c r="Q1656"/>
  <c r="R1670"/>
  <c r="Q1650"/>
  <c r="R1666"/>
  <c r="Q1646"/>
  <c r="R1662"/>
  <c r="Q1642"/>
  <c r="R1658"/>
  <c r="Q1638"/>
  <c r="R1654"/>
  <c r="Q1634"/>
  <c r="R1650"/>
  <c r="Q1630"/>
  <c r="R1646"/>
  <c r="Q1626"/>
  <c r="R1642"/>
  <c r="Q1622"/>
  <c r="R1638"/>
  <c r="Q1618"/>
  <c r="R1634"/>
  <c r="Q1614"/>
  <c r="R1630"/>
  <c r="Q1610"/>
  <c r="R1626"/>
  <c r="Q1606"/>
  <c r="R1622"/>
  <c r="Q1602"/>
  <c r="R1618"/>
  <c r="Q1598"/>
  <c r="R1614"/>
  <c r="Q1594"/>
  <c r="R1610"/>
  <c r="Q1590"/>
  <c r="R1606"/>
  <c r="Q1586"/>
  <c r="R1602"/>
  <c r="Q1582"/>
  <c r="R1598"/>
  <c r="Q1578"/>
  <c r="R1594"/>
  <c r="Q1574"/>
  <c r="R1590"/>
  <c r="Q1570"/>
  <c r="R1586"/>
  <c r="Q1566"/>
  <c r="R1582"/>
  <c r="Q1562"/>
  <c r="R1578"/>
  <c r="Q1558"/>
  <c r="R1574"/>
  <c r="Q1554"/>
  <c r="R1570"/>
  <c r="Q1550"/>
  <c r="R1566"/>
  <c r="Q1546"/>
  <c r="R1562"/>
  <c r="Q1542"/>
  <c r="R1558"/>
  <c r="Q1538"/>
  <c r="R1554"/>
  <c r="Q1534"/>
  <c r="R1550"/>
  <c r="Q1530"/>
  <c r="R1548"/>
  <c r="Q1528"/>
  <c r="R1546"/>
  <c r="Q1526"/>
  <c r="R1542"/>
  <c r="Q1522"/>
  <c r="R1540"/>
  <c r="Q1520"/>
  <c r="R1538"/>
  <c r="Q1518"/>
  <c r="R1536"/>
  <c r="Q1516"/>
  <c r="R1534"/>
  <c r="Q1514"/>
  <c r="R1532"/>
  <c r="Q1512"/>
  <c r="R1530"/>
  <c r="Q1510"/>
  <c r="R1528"/>
  <c r="Q1508"/>
  <c r="R1526"/>
  <c r="Q1506"/>
  <c r="R1524"/>
  <c r="Q1504"/>
  <c r="R1522"/>
  <c r="Q1502"/>
  <c r="R1520"/>
  <c r="Q1500"/>
  <c r="R1518"/>
  <c r="Q1498"/>
  <c r="R1516"/>
  <c r="Q1496"/>
  <c r="R1514"/>
  <c r="Q1494"/>
  <c r="R1512"/>
  <c r="Q1492"/>
  <c r="R1510"/>
  <c r="Q1490"/>
  <c r="R1508"/>
  <c r="Q1488"/>
  <c r="R1506"/>
  <c r="Q1486"/>
  <c r="R1504"/>
  <c r="Q1484"/>
  <c r="R1502"/>
  <c r="Q1482"/>
  <c r="R1500"/>
  <c r="Q1480"/>
  <c r="R1498"/>
  <c r="Q1478"/>
  <c r="R1496"/>
  <c r="Q1476"/>
  <c r="R1494"/>
  <c r="Q1474"/>
  <c r="R1492"/>
  <c r="Q1472"/>
  <c r="R1490"/>
  <c r="Q1470"/>
  <c r="R1488"/>
  <c r="Q1468"/>
  <c r="R1486"/>
  <c r="Q1466"/>
  <c r="R1484"/>
  <c r="Q1464"/>
  <c r="R1482"/>
  <c r="Q1462"/>
  <c r="R1480"/>
  <c r="Q1460"/>
  <c r="R1478"/>
  <c r="Q1458"/>
  <c r="R1476"/>
  <c r="Q1456"/>
  <c r="R1474"/>
  <c r="Q1454"/>
  <c r="R1472"/>
  <c r="Q1452"/>
  <c r="R1470"/>
  <c r="Q1450"/>
  <c r="R1468"/>
  <c r="Q1448"/>
  <c r="R1466"/>
  <c r="Q1446"/>
  <c r="R1464"/>
  <c r="Q1444"/>
  <c r="R1462"/>
  <c r="Q1442"/>
  <c r="R1460"/>
  <c r="Q1440"/>
  <c r="R1458"/>
  <c r="Q1438"/>
  <c r="R1456"/>
  <c r="Q1436"/>
  <c r="R1454"/>
  <c r="Q1434"/>
  <c r="R1452"/>
  <c r="Q1432"/>
  <c r="R1450"/>
  <c r="Q1430"/>
  <c r="R1448"/>
  <c r="Q1428"/>
  <c r="R1446"/>
  <c r="Q1426"/>
  <c r="R1444"/>
  <c r="Q1424"/>
  <c r="R1442"/>
  <c r="Q1422"/>
  <c r="R1440"/>
  <c r="Q1420"/>
  <c r="R1438"/>
  <c r="Q1418"/>
  <c r="R1436"/>
  <c r="Q1416"/>
  <c r="R1434"/>
  <c r="Q1414"/>
  <c r="R1432"/>
  <c r="Q1412"/>
  <c r="R1430"/>
  <c r="Q1410"/>
  <c r="R1428"/>
  <c r="Q1408"/>
  <c r="R1426"/>
  <c r="Q1406"/>
  <c r="R1424"/>
  <c r="Q1404"/>
  <c r="R1422"/>
  <c r="Q1402"/>
  <c r="R1420"/>
  <c r="Q1400"/>
  <c r="R1418"/>
  <c r="Q1398"/>
  <c r="R1416"/>
  <c r="Q1396"/>
  <c r="R1414"/>
  <c r="Q1394"/>
  <c r="R1412"/>
  <c r="Q1392"/>
  <c r="R1410"/>
  <c r="Q1390"/>
  <c r="R1408"/>
  <c r="Q1388"/>
  <c r="R1406"/>
  <c r="Q1386"/>
  <c r="R1404"/>
  <c r="Q1384"/>
  <c r="R1402"/>
  <c r="Q1382"/>
  <c r="R1400"/>
  <c r="Q1380"/>
  <c r="R1398"/>
  <c r="Q1378"/>
  <c r="R1396"/>
  <c r="Q1376"/>
  <c r="R1394"/>
  <c r="Q1374"/>
  <c r="R1392"/>
  <c r="Q1372"/>
  <c r="R1390"/>
  <c r="Q1370"/>
  <c r="R1388"/>
  <c r="Q1368"/>
  <c r="R1386"/>
  <c r="Q1366"/>
  <c r="R1384"/>
  <c r="Q1364"/>
  <c r="R1382"/>
  <c r="Q1362"/>
  <c r="R1380"/>
  <c r="Q1360"/>
  <c r="R1378"/>
  <c r="Q1358"/>
  <c r="R1376"/>
  <c r="Q1356"/>
  <c r="R1374"/>
  <c r="Q1354"/>
  <c r="R1372"/>
  <c r="Q1352"/>
  <c r="R1370"/>
  <c r="Q1350"/>
  <c r="R1368"/>
  <c r="Q1348"/>
  <c r="R1366"/>
  <c r="Q1346"/>
  <c r="R1364"/>
  <c r="Q1344"/>
  <c r="R1362"/>
  <c r="Q1342"/>
  <c r="R1360"/>
  <c r="Q1340"/>
  <c r="R1358"/>
  <c r="Q1338"/>
  <c r="R1356"/>
  <c r="Q1336"/>
  <c r="R1354"/>
  <c r="Q1334"/>
  <c r="R1352"/>
  <c r="Q1332"/>
  <c r="R1350"/>
  <c r="Q1330"/>
  <c r="R1348"/>
  <c r="Q1328"/>
  <c r="R1346"/>
  <c r="Q1326"/>
  <c r="R1344"/>
  <c r="Q1324"/>
  <c r="R1342"/>
  <c r="Q1322"/>
  <c r="R1340"/>
  <c r="Q1320"/>
  <c r="R1338"/>
  <c r="Q1318"/>
  <c r="R1336"/>
  <c r="Q1316"/>
  <c r="R1334"/>
  <c r="Q1314"/>
  <c r="R1332"/>
  <c r="Q1312"/>
  <c r="R1330"/>
  <c r="Q1310"/>
  <c r="R1328"/>
  <c r="Q1308"/>
  <c r="R1326"/>
  <c r="Q1306"/>
  <c r="R1324"/>
  <c r="Q1304"/>
  <c r="R1322"/>
  <c r="Q1302"/>
  <c r="R1320"/>
  <c r="Q1300"/>
  <c r="R1318"/>
  <c r="Q1298"/>
  <c r="R1316"/>
  <c r="Q1296"/>
  <c r="R1314"/>
  <c r="Q1294"/>
  <c r="R1312"/>
  <c r="Q1292"/>
  <c r="R1310"/>
  <c r="Q1290"/>
  <c r="R1308"/>
  <c r="Q1288"/>
  <c r="R1306"/>
  <c r="Q1286"/>
  <c r="R1304"/>
  <c r="Q1284"/>
  <c r="R1302"/>
  <c r="Q1282"/>
  <c r="R1300"/>
  <c r="Q1280"/>
  <c r="R1298"/>
  <c r="Q1278"/>
  <c r="R1296"/>
  <c r="Q1276"/>
  <c r="R1294"/>
  <c r="Q1274"/>
  <c r="R1292"/>
  <c r="Q1272"/>
  <c r="R1290"/>
  <c r="Q1270"/>
  <c r="R1288"/>
  <c r="Q1268"/>
  <c r="R1286"/>
  <c r="Q1266"/>
  <c r="R1284"/>
  <c r="Q1264"/>
  <c r="R1282"/>
  <c r="Q1262"/>
  <c r="R1280"/>
  <c r="Q1260"/>
  <c r="R1278"/>
  <c r="Q1258"/>
  <c r="R1276"/>
  <c r="Q1256"/>
  <c r="R1274"/>
  <c r="Q1254"/>
  <c r="R1272"/>
  <c r="Q1252"/>
  <c r="R1270"/>
  <c r="Q1250"/>
  <c r="R1268"/>
  <c r="Q1248"/>
  <c r="R1266"/>
  <c r="Q1246"/>
  <c r="R1264"/>
  <c r="Q1244"/>
  <c r="R1262"/>
  <c r="Q1242"/>
  <c r="R1260"/>
  <c r="Q1240"/>
  <c r="R1258"/>
  <c r="Q1238"/>
  <c r="R1256"/>
  <c r="Q1236"/>
  <c r="R1254"/>
  <c r="Q1234"/>
  <c r="R1252"/>
  <c r="Q1232"/>
  <c r="R1250"/>
  <c r="Q1230"/>
  <c r="R1248"/>
  <c r="Q1228"/>
  <c r="R1246"/>
  <c r="Q1226"/>
  <c r="R1244"/>
  <c r="Q1224"/>
  <c r="R1242"/>
  <c r="Q1222"/>
  <c r="R1240"/>
  <c r="Q1220"/>
  <c r="R1238"/>
  <c r="Q1218"/>
  <c r="R1236"/>
  <c r="Q1216"/>
  <c r="R1234"/>
  <c r="Q1214"/>
  <c r="R1232"/>
  <c r="Q1212"/>
  <c r="R1230"/>
  <c r="Q1210"/>
  <c r="R1228"/>
  <c r="Q1208"/>
  <c r="R1226"/>
  <c r="Q1206"/>
  <c r="R1224"/>
  <c r="Q1204"/>
  <c r="R1222"/>
  <c r="Q1202"/>
  <c r="R1220"/>
  <c r="Q1200"/>
  <c r="R1218"/>
  <c r="Q1198"/>
  <c r="R1216"/>
  <c r="Q1196"/>
  <c r="R1214"/>
  <c r="Q1194"/>
  <c r="R1212"/>
  <c r="Q1192"/>
  <c r="R1210"/>
  <c r="Q1190"/>
  <c r="R1208"/>
  <c r="Q1188"/>
  <c r="R1206"/>
  <c r="Q1186"/>
  <c r="R1204"/>
  <c r="Q1184"/>
  <c r="R1202"/>
  <c r="Q1182"/>
  <c r="R1200"/>
  <c r="Q1180"/>
  <c r="R1198"/>
  <c r="Q1178"/>
  <c r="R1196"/>
  <c r="Q1176"/>
  <c r="R1194"/>
  <c r="Q1174"/>
  <c r="R1192"/>
  <c r="Q1172"/>
  <c r="R1190"/>
  <c r="Q1170"/>
  <c r="R1188"/>
  <c r="Q1168"/>
  <c r="R1186"/>
  <c r="Q1166"/>
  <c r="R1184"/>
  <c r="Q1164"/>
  <c r="R1182"/>
  <c r="Q1162"/>
  <c r="R1180"/>
  <c r="Q1160"/>
  <c r="R1178"/>
  <c r="Q1158"/>
  <c r="R1176"/>
  <c r="Q1156"/>
  <c r="R1174"/>
  <c r="Q1154"/>
  <c r="R1172"/>
  <c r="Q1152"/>
  <c r="R1170"/>
  <c r="Q1150"/>
  <c r="R1168"/>
  <c r="Q1148"/>
  <c r="R1166"/>
  <c r="Q1146"/>
  <c r="R1164"/>
  <c r="Q1144"/>
  <c r="R1162"/>
  <c r="Q1142"/>
  <c r="R1160"/>
  <c r="Q1140"/>
  <c r="R1158"/>
  <c r="Q1138"/>
  <c r="R1156"/>
  <c r="Q1136"/>
  <c r="R1154"/>
  <c r="Q1134"/>
  <c r="R1152"/>
  <c r="Q1132"/>
  <c r="R1150"/>
  <c r="Q1130"/>
  <c r="R1148"/>
  <c r="Q1128"/>
  <c r="R1146"/>
  <c r="Q1126"/>
  <c r="R1144"/>
  <c r="Q1124"/>
  <c r="R1142"/>
  <c r="Q1122"/>
  <c r="R1140"/>
  <c r="Q1120"/>
  <c r="R1138"/>
  <c r="Q1118"/>
  <c r="R1136"/>
  <c r="Q1116"/>
  <c r="R1134"/>
  <c r="Q1114"/>
  <c r="R1132"/>
  <c r="Q1112"/>
  <c r="R1130"/>
  <c r="Q1110"/>
  <c r="R1128"/>
  <c r="Q1108"/>
  <c r="R1126"/>
  <c r="Q1106"/>
  <c r="R1124"/>
  <c r="Q1104"/>
  <c r="R1122"/>
  <c r="Q1102"/>
  <c r="R1120"/>
  <c r="Q1100"/>
  <c r="R1118"/>
  <c r="Q1098"/>
  <c r="R1116"/>
  <c r="Q1096"/>
  <c r="R1114"/>
  <c r="Q1094"/>
  <c r="R1112"/>
  <c r="Q1092"/>
  <c r="R1110"/>
  <c r="Q1090"/>
  <c r="R1108"/>
  <c r="Q1088"/>
  <c r="R1106"/>
  <c r="Q1086"/>
  <c r="R1104"/>
  <c r="Q1084"/>
  <c r="R1102"/>
  <c r="Q1082"/>
  <c r="R1100"/>
  <c r="Q1080"/>
  <c r="R1098"/>
  <c r="Q1078"/>
  <c r="R1096"/>
  <c r="Q1076"/>
  <c r="R1094"/>
  <c r="Q1074"/>
  <c r="R1092"/>
  <c r="Q1072"/>
  <c r="R1090"/>
  <c r="Q1070"/>
  <c r="R1088"/>
  <c r="Q1068"/>
  <c r="R1086"/>
  <c r="Q1066"/>
  <c r="R1084"/>
  <c r="Q1064"/>
  <c r="R1082"/>
  <c r="Q1062"/>
  <c r="R1080"/>
  <c r="Q1060"/>
  <c r="R1078"/>
  <c r="Q1058"/>
  <c r="R1076"/>
  <c r="Q1056"/>
  <c r="R1074"/>
  <c r="Q1054"/>
  <c r="R1072"/>
  <c r="Q1052"/>
  <c r="R1070"/>
  <c r="Q1050"/>
  <c r="R1068"/>
  <c r="Q1048"/>
  <c r="R1066"/>
  <c r="Q1046"/>
  <c r="R1064"/>
  <c r="Q1044"/>
  <c r="R1062"/>
  <c r="Q1042"/>
  <c r="R1060"/>
  <c r="Q1040"/>
  <c r="R1058"/>
  <c r="Q1038"/>
  <c r="R1056"/>
  <c r="Q1036"/>
  <c r="R1054"/>
  <c r="Q1034"/>
  <c r="R1052"/>
  <c r="Q1032"/>
  <c r="R1050"/>
  <c r="Q1030"/>
  <c r="R1048"/>
  <c r="Q1028"/>
  <c r="R1046"/>
  <c r="Q1026"/>
  <c r="R1044"/>
  <c r="Q1024"/>
  <c r="R1042"/>
  <c r="Q1022"/>
  <c r="R1040"/>
  <c r="Q1020"/>
  <c r="R1038"/>
  <c r="Q1018"/>
  <c r="R1036"/>
  <c r="Q1016"/>
  <c r="R1034"/>
  <c r="Q1014"/>
  <c r="R1032"/>
  <c r="Q1012"/>
  <c r="R1030"/>
  <c r="Q1010"/>
  <c r="R1028"/>
  <c r="Q1008"/>
  <c r="R1026"/>
  <c r="Q1006"/>
  <c r="R1024"/>
  <c r="Q1004"/>
  <c r="R1022"/>
  <c r="Q1002"/>
  <c r="R1020"/>
  <c r="Q1000"/>
  <c r="R1018"/>
  <c r="Q998"/>
  <c r="R1016"/>
  <c r="Q996"/>
  <c r="R1014"/>
  <c r="Q994"/>
  <c r="R1012"/>
  <c r="Q992"/>
  <c r="R1010"/>
  <c r="Q990"/>
  <c r="R1008"/>
  <c r="Q988"/>
  <c r="R1006"/>
  <c r="Q986"/>
  <c r="R1004"/>
  <c r="Q984"/>
  <c r="R1002"/>
  <c r="Q982"/>
  <c r="R1000"/>
  <c r="Q980"/>
  <c r="R998"/>
  <c r="Q978"/>
  <c r="R996"/>
  <c r="Q976"/>
  <c r="R994"/>
  <c r="Q974"/>
  <c r="R992"/>
  <c r="Q972"/>
  <c r="R990"/>
  <c r="Q970"/>
  <c r="R988"/>
  <c r="Q968"/>
  <c r="R986"/>
  <c r="Q966"/>
  <c r="R984"/>
  <c r="Q964"/>
  <c r="R982"/>
  <c r="Q962"/>
  <c r="R980"/>
  <c r="Q960"/>
  <c r="R978"/>
  <c r="Q958"/>
  <c r="R976"/>
  <c r="Q956"/>
  <c r="R974"/>
  <c r="Q954"/>
  <c r="R972"/>
  <c r="Q952"/>
  <c r="R970"/>
  <c r="Q950"/>
  <c r="R968"/>
  <c r="Q948"/>
  <c r="R966"/>
  <c r="Q946"/>
  <c r="R964"/>
  <c r="Q944"/>
  <c r="R962"/>
  <c r="Q942"/>
  <c r="R960"/>
  <c r="Q940"/>
  <c r="R958"/>
  <c r="Q938"/>
  <c r="R956"/>
  <c r="Q936"/>
  <c r="R954"/>
  <c r="Q934"/>
  <c r="R952"/>
  <c r="Q932"/>
  <c r="R950"/>
  <c r="Q930"/>
  <c r="R948"/>
  <c r="Q928"/>
  <c r="R946"/>
  <c r="Q926"/>
  <c r="R944"/>
  <c r="Q924"/>
  <c r="R942"/>
  <c r="Q922"/>
  <c r="R940"/>
  <c r="Q920"/>
  <c r="R938"/>
  <c r="Q918"/>
  <c r="R936"/>
  <c r="Q916"/>
  <c r="R934"/>
  <c r="Q914"/>
  <c r="R932"/>
  <c r="Q912"/>
  <c r="R930"/>
  <c r="Q910"/>
  <c r="R928"/>
  <c r="Q908"/>
  <c r="R926"/>
  <c r="Q906"/>
  <c r="R924"/>
  <c r="Q904"/>
  <c r="R922"/>
  <c r="Q902"/>
  <c r="R920"/>
  <c r="Q900"/>
  <c r="R918"/>
  <c r="Q898"/>
  <c r="R916"/>
  <c r="Q896"/>
  <c r="R914"/>
  <c r="Q894"/>
  <c r="R912"/>
  <c r="Q892"/>
  <c r="R910"/>
  <c r="Q890"/>
  <c r="R908"/>
  <c r="Q888"/>
  <c r="R906"/>
  <c r="Q886"/>
  <c r="R904"/>
  <c r="Q884"/>
  <c r="R902"/>
  <c r="Q882"/>
  <c r="R900"/>
  <c r="Q880"/>
  <c r="R898"/>
  <c r="Q878"/>
  <c r="R896"/>
  <c r="Q876"/>
  <c r="Q1682"/>
  <c r="Q1678"/>
  <c r="Q1674"/>
  <c r="Q1670"/>
  <c r="Q1664"/>
  <c r="R1131"/>
  <c r="Q1111"/>
  <c r="R1129"/>
  <c r="Q1109"/>
  <c r="R1127"/>
  <c r="Q1107"/>
  <c r="R1125"/>
  <c r="Q1105"/>
  <c r="R1123"/>
  <c r="Q1103"/>
  <c r="R1121"/>
  <c r="Q1101"/>
  <c r="R1119"/>
  <c r="Q1099"/>
  <c r="R1117"/>
  <c r="Q1097"/>
  <c r="R1115"/>
  <c r="Q1095"/>
  <c r="R1113"/>
  <c r="Q1093"/>
  <c r="R1111"/>
  <c r="Q1091"/>
  <c r="R1109"/>
  <c r="Q1089"/>
  <c r="R1107"/>
  <c r="Q1087"/>
  <c r="R1105"/>
  <c r="Q1085"/>
  <c r="R1103"/>
  <c r="Q1083"/>
  <c r="R1101"/>
  <c r="Q1081"/>
  <c r="R1099"/>
  <c r="Q1079"/>
  <c r="R1097"/>
  <c r="Q1077"/>
  <c r="R1095"/>
  <c r="Q1075"/>
  <c r="R1093"/>
  <c r="Q1073"/>
  <c r="R1091"/>
  <c r="Q1071"/>
  <c r="R1089"/>
  <c r="Q1069"/>
  <c r="R1087"/>
  <c r="Q1067"/>
  <c r="R1085"/>
  <c r="Q1065"/>
  <c r="R1083"/>
  <c r="Q1063"/>
  <c r="R1081"/>
  <c r="Q1061"/>
  <c r="R1079"/>
  <c r="Q1059"/>
  <c r="R1077"/>
  <c r="Q1057"/>
  <c r="R1075"/>
  <c r="Q1055"/>
  <c r="R1073"/>
  <c r="Q1053"/>
  <c r="R1071"/>
  <c r="Q1051"/>
  <c r="R1069"/>
  <c r="Q1049"/>
  <c r="R1067"/>
  <c r="Q1047"/>
  <c r="R1065"/>
  <c r="Q1045"/>
  <c r="R1063"/>
  <c r="Q1043"/>
  <c r="R1061"/>
  <c r="Q1041"/>
  <c r="R1059"/>
  <c r="Q1039"/>
  <c r="R1057"/>
  <c r="Q1037"/>
  <c r="R1055"/>
  <c r="Q1035"/>
  <c r="R1053"/>
  <c r="Q1033"/>
  <c r="R1051"/>
  <c r="Q1031"/>
  <c r="R1049"/>
  <c r="Q1029"/>
  <c r="R1047"/>
  <c r="Q1027"/>
  <c r="R1045"/>
  <c r="Q1025"/>
  <c r="R1043"/>
  <c r="Q1023"/>
  <c r="R1041"/>
  <c r="Q1021"/>
  <c r="R1039"/>
  <c r="Q1019"/>
  <c r="R1037"/>
  <c r="Q1017"/>
  <c r="R1035"/>
  <c r="Q1015"/>
  <c r="R1033"/>
  <c r="Q1013"/>
  <c r="R1031"/>
  <c r="Q1011"/>
  <c r="R1029"/>
  <c r="Q1009"/>
  <c r="R1027"/>
  <c r="Q1007"/>
  <c r="R1025"/>
  <c r="Q1005"/>
  <c r="R1023"/>
  <c r="Q1003"/>
  <c r="R1021"/>
  <c r="Q1001"/>
  <c r="R1019"/>
  <c r="Q999"/>
  <c r="R1017"/>
  <c r="Q997"/>
  <c r="R1015"/>
  <c r="Q995"/>
  <c r="R1013"/>
  <c r="Q993"/>
  <c r="R1011"/>
  <c r="Q991"/>
  <c r="R1009"/>
  <c r="Q989"/>
  <c r="R1007"/>
  <c r="Q987"/>
  <c r="R1005"/>
  <c r="Q985"/>
  <c r="R1003"/>
  <c r="Q983"/>
  <c r="R1001"/>
  <c r="Q981"/>
  <c r="R999"/>
  <c r="Q979"/>
  <c r="R997"/>
  <c r="Q977"/>
  <c r="R995"/>
  <c r="Q975"/>
  <c r="R993"/>
  <c r="Q973"/>
  <c r="R991"/>
  <c r="Q971"/>
  <c r="R989"/>
  <c r="Q969"/>
  <c r="R987"/>
  <c r="Q967"/>
  <c r="R985"/>
  <c r="Q965"/>
  <c r="R983"/>
  <c r="Q963"/>
  <c r="R981"/>
  <c r="Q961"/>
  <c r="R979"/>
  <c r="Q959"/>
  <c r="R977"/>
  <c r="Q957"/>
  <c r="R975"/>
  <c r="Q955"/>
  <c r="R973"/>
  <c r="Q953"/>
  <c r="R971"/>
  <c r="Q951"/>
  <c r="R969"/>
  <c r="Q949"/>
  <c r="R967"/>
  <c r="Q947"/>
  <c r="R965"/>
  <c r="Q945"/>
  <c r="R963"/>
  <c r="Q943"/>
  <c r="R961"/>
  <c r="Q941"/>
  <c r="R959"/>
  <c r="Q939"/>
  <c r="R957"/>
  <c r="Q937"/>
  <c r="R955"/>
  <c r="Q935"/>
  <c r="R953"/>
  <c r="Q933"/>
  <c r="R951"/>
  <c r="Q931"/>
  <c r="R949"/>
  <c r="Q929"/>
  <c r="R947"/>
  <c r="Q927"/>
  <c r="R945"/>
  <c r="Q925"/>
  <c r="R943"/>
  <c r="Q923"/>
  <c r="R941"/>
  <c r="Q921"/>
  <c r="R939"/>
  <c r="Q919"/>
  <c r="R937"/>
  <c r="Q917"/>
  <c r="R935"/>
  <c r="Q915"/>
  <c r="R933"/>
  <c r="Q913"/>
  <c r="R931"/>
  <c r="Q911"/>
  <c r="R929"/>
  <c r="Q909"/>
  <c r="R927"/>
  <c r="Q907"/>
  <c r="R925"/>
  <c r="Q905"/>
  <c r="R923"/>
  <c r="Q903"/>
  <c r="R921"/>
  <c r="Q901"/>
  <c r="R919"/>
  <c r="Q899"/>
  <c r="R917"/>
  <c r="Q897"/>
  <c r="R915"/>
  <c r="Q895"/>
  <c r="R913"/>
  <c r="Q893"/>
  <c r="R911"/>
  <c r="Q891"/>
  <c r="R909"/>
  <c r="Q889"/>
  <c r="R907"/>
  <c r="Q887"/>
  <c r="R905"/>
  <c r="Q885"/>
  <c r="R903"/>
  <c r="Q883"/>
  <c r="R901"/>
  <c r="Q881"/>
  <c r="R899"/>
  <c r="Q879"/>
  <c r="R897"/>
  <c r="Q877"/>
  <c r="R895"/>
  <c r="Q875"/>
  <c r="R893"/>
  <c r="Q873"/>
  <c r="R891"/>
  <c r="Q871"/>
  <c r="R889"/>
  <c r="Q869"/>
  <c r="R887"/>
  <c r="Q867"/>
  <c r="R885"/>
  <c r="Q865"/>
  <c r="R883"/>
  <c r="Q863"/>
  <c r="R881"/>
  <c r="Q861"/>
  <c r="R879"/>
  <c r="Q859"/>
  <c r="R877"/>
  <c r="Q857"/>
  <c r="R875"/>
  <c r="Q855"/>
  <c r="R873"/>
  <c r="Q853"/>
  <c r="R871"/>
  <c r="Q851"/>
  <c r="R869"/>
  <c r="Q849"/>
  <c r="R867"/>
  <c r="Q847"/>
  <c r="R865"/>
  <c r="Q845"/>
  <c r="R863"/>
  <c r="Q843"/>
  <c r="R861"/>
  <c r="Q841"/>
  <c r="R859"/>
  <c r="Q839"/>
  <c r="R857"/>
  <c r="Q837"/>
  <c r="R855"/>
  <c r="Q835"/>
  <c r="R853"/>
  <c r="Q833"/>
  <c r="R851"/>
  <c r="Q831"/>
  <c r="R849"/>
  <c r="Q829"/>
  <c r="R847"/>
  <c r="Q827"/>
  <c r="R845"/>
  <c r="Q825"/>
  <c r="R843"/>
  <c r="Q823"/>
  <c r="R841"/>
  <c r="Q821"/>
  <c r="R839"/>
  <c r="Q819"/>
  <c r="R837"/>
  <c r="Q817"/>
  <c r="R835"/>
  <c r="Q815"/>
  <c r="R833"/>
  <c r="Q813"/>
  <c r="R831"/>
  <c r="Q811"/>
  <c r="R829"/>
  <c r="Q809"/>
  <c r="R827"/>
  <c r="Q807"/>
  <c r="R825"/>
  <c r="Q805"/>
  <c r="R823"/>
  <c r="Q803"/>
  <c r="R821"/>
  <c r="Q801"/>
  <c r="R819"/>
  <c r="Q799"/>
  <c r="R817"/>
  <c r="Q797"/>
  <c r="R815"/>
  <c r="Q795"/>
  <c r="R813"/>
  <c r="Q793"/>
  <c r="R811"/>
  <c r="Q791"/>
  <c r="R809"/>
  <c r="Q789"/>
  <c r="R807"/>
  <c r="Q787"/>
  <c r="R805"/>
  <c r="Q785"/>
  <c r="R803"/>
  <c r="Q783"/>
  <c r="R801"/>
  <c r="Q781"/>
  <c r="R799"/>
  <c r="Q779"/>
  <c r="R797"/>
  <c r="Q777"/>
  <c r="R795"/>
  <c r="Q775"/>
  <c r="R793"/>
  <c r="Q773"/>
  <c r="R791"/>
  <c r="Q771"/>
  <c r="R789"/>
  <c r="Q769"/>
  <c r="R787"/>
  <c r="Q767"/>
  <c r="R785"/>
  <c r="Q765"/>
  <c r="R783"/>
  <c r="Q763"/>
  <c r="R781"/>
  <c r="Q761"/>
  <c r="R779"/>
  <c r="Q759"/>
  <c r="R777"/>
  <c r="Q757"/>
  <c r="R775"/>
  <c r="Q755"/>
  <c r="R773"/>
  <c r="Q753"/>
  <c r="R771"/>
  <c r="Q751"/>
  <c r="R769"/>
  <c r="Q749"/>
  <c r="R767"/>
  <c r="Q747"/>
  <c r="R765"/>
  <c r="Q745"/>
  <c r="R763"/>
  <c r="Q743"/>
  <c r="R761"/>
  <c r="Q741"/>
  <c r="R759"/>
  <c r="Q739"/>
  <c r="R757"/>
  <c r="Q737"/>
  <c r="R755"/>
  <c r="Q735"/>
  <c r="R753"/>
  <c r="Q733"/>
  <c r="R751"/>
  <c r="Q731"/>
  <c r="R749"/>
  <c r="Q729"/>
  <c r="R747"/>
  <c r="Q727"/>
  <c r="R745"/>
  <c r="Q725"/>
  <c r="R743"/>
  <c r="Q723"/>
  <c r="R741"/>
  <c r="Q721"/>
  <c r="R739"/>
  <c r="Q719"/>
  <c r="R737"/>
  <c r="Q717"/>
  <c r="R735"/>
  <c r="Q715"/>
  <c r="R733"/>
  <c r="Q713"/>
  <c r="R731"/>
  <c r="Q711"/>
  <c r="R729"/>
  <c r="Q709"/>
  <c r="R727"/>
  <c r="Q707"/>
  <c r="R725"/>
  <c r="Q705"/>
  <c r="R723"/>
  <c r="Q703"/>
  <c r="R721"/>
  <c r="Q701"/>
  <c r="R719"/>
  <c r="Q699"/>
  <c r="R717"/>
  <c r="Q697"/>
  <c r="R715"/>
  <c r="Q695"/>
  <c r="R713"/>
  <c r="Q693"/>
  <c r="R711"/>
  <c r="Q691"/>
  <c r="R709"/>
  <c r="Q689"/>
  <c r="R707"/>
  <c r="Q687"/>
  <c r="R705"/>
  <c r="Q685"/>
  <c r="R703"/>
  <c r="Q683"/>
  <c r="R701"/>
  <c r="Q681"/>
  <c r="R699"/>
  <c r="Q679"/>
  <c r="R697"/>
  <c r="Q677"/>
  <c r="R695"/>
  <c r="Q675"/>
  <c r="R693"/>
  <c r="Q673"/>
  <c r="R691"/>
  <c r="Q671"/>
  <c r="R689"/>
  <c r="Q669"/>
  <c r="R687"/>
  <c r="Q667"/>
  <c r="R685"/>
  <c r="Q665"/>
  <c r="R683"/>
  <c r="Q663"/>
  <c r="R681"/>
  <c r="Q661"/>
  <c r="R679"/>
  <c r="Q659"/>
  <c r="R677"/>
  <c r="Q657"/>
  <c r="R675"/>
  <c r="Q655"/>
  <c r="R673"/>
  <c r="Q653"/>
  <c r="R671"/>
  <c r="Q651"/>
  <c r="R669"/>
  <c r="Q649"/>
  <c r="R667"/>
  <c r="Q647"/>
  <c r="R665"/>
  <c r="Q645"/>
  <c r="R663"/>
  <c r="Q643"/>
  <c r="R661"/>
  <c r="Q641"/>
  <c r="R659"/>
  <c r="Q639"/>
  <c r="R657"/>
  <c r="Q637"/>
  <c r="R655"/>
  <c r="Q635"/>
  <c r="R653"/>
  <c r="Q633"/>
  <c r="R651"/>
  <c r="Q631"/>
  <c r="R649"/>
  <c r="Q629"/>
  <c r="R647"/>
  <c r="Q627"/>
  <c r="R645"/>
  <c r="Q625"/>
  <c r="R643"/>
  <c r="Q623"/>
  <c r="R641"/>
  <c r="Q621"/>
  <c r="R639"/>
  <c r="Q619"/>
  <c r="R637"/>
  <c r="Q617"/>
  <c r="R635"/>
  <c r="Q615"/>
  <c r="R633"/>
  <c r="Q613"/>
  <c r="R631"/>
  <c r="Q611"/>
  <c r="R629"/>
  <c r="Q609"/>
  <c r="R627"/>
  <c r="Q607"/>
  <c r="R625"/>
  <c r="Q605"/>
  <c r="R623"/>
  <c r="Q603"/>
  <c r="R621"/>
  <c r="Q601"/>
  <c r="R894"/>
  <c r="Q874"/>
  <c r="R892"/>
  <c r="Q872"/>
  <c r="R890"/>
  <c r="Q870"/>
  <c r="R888"/>
  <c r="Q868"/>
  <c r="R886"/>
  <c r="Q866"/>
  <c r="R884"/>
  <c r="Q864"/>
  <c r="R882"/>
  <c r="Q862"/>
  <c r="R880"/>
  <c r="Q860"/>
  <c r="R878"/>
  <c r="Q858"/>
  <c r="R876"/>
  <c r="Q856"/>
  <c r="R874"/>
  <c r="Q854"/>
  <c r="R872"/>
  <c r="Q852"/>
  <c r="R870"/>
  <c r="Q850"/>
  <c r="R868"/>
  <c r="Q848"/>
  <c r="R866"/>
  <c r="Q846"/>
  <c r="R864"/>
  <c r="Q844"/>
  <c r="R862"/>
  <c r="Q842"/>
  <c r="R860"/>
  <c r="Q840"/>
  <c r="R858"/>
  <c r="Q838"/>
  <c r="R856"/>
  <c r="Q836"/>
  <c r="R854"/>
  <c r="Q834"/>
  <c r="R852"/>
  <c r="Q832"/>
  <c r="R850"/>
  <c r="Q830"/>
  <c r="R848"/>
  <c r="Q828"/>
  <c r="R846"/>
  <c r="Q826"/>
  <c r="R844"/>
  <c r="Q824"/>
  <c r="R842"/>
  <c r="Q822"/>
  <c r="R840"/>
  <c r="Q820"/>
  <c r="R838"/>
  <c r="Q818"/>
  <c r="R836"/>
  <c r="Q816"/>
  <c r="R834"/>
  <c r="Q814"/>
  <c r="R832"/>
  <c r="Q812"/>
  <c r="R830"/>
  <c r="Q810"/>
  <c r="R828"/>
  <c r="Q808"/>
  <c r="R826"/>
  <c r="Q806"/>
  <c r="R824"/>
  <c r="Q804"/>
  <c r="R822"/>
  <c r="Q802"/>
  <c r="R820"/>
  <c r="Q800"/>
  <c r="R818"/>
  <c r="Q798"/>
  <c r="R816"/>
  <c r="Q796"/>
  <c r="R814"/>
  <c r="Q794"/>
  <c r="R812"/>
  <c r="Q792"/>
  <c r="R810"/>
  <c r="Q790"/>
  <c r="R808"/>
  <c r="Q788"/>
  <c r="R806"/>
  <c r="Q786"/>
  <c r="R804"/>
  <c r="Q784"/>
  <c r="R802"/>
  <c r="Q782"/>
  <c r="R800"/>
  <c r="Q780"/>
  <c r="R798"/>
  <c r="Q778"/>
  <c r="R796"/>
  <c r="Q776"/>
  <c r="R794"/>
  <c r="Q774"/>
  <c r="R792"/>
  <c r="Q772"/>
  <c r="R790"/>
  <c r="Q770"/>
  <c r="R788"/>
  <c r="Q768"/>
  <c r="R786"/>
  <c r="Q766"/>
  <c r="R784"/>
  <c r="Q764"/>
  <c r="R782"/>
  <c r="Q762"/>
  <c r="R780"/>
  <c r="Q760"/>
  <c r="R778"/>
  <c r="Q758"/>
  <c r="R776"/>
  <c r="Q756"/>
  <c r="R774"/>
  <c r="Q754"/>
  <c r="R772"/>
  <c r="Q752"/>
  <c r="R770"/>
  <c r="Q750"/>
  <c r="R768"/>
  <c r="Q748"/>
  <c r="R766"/>
  <c r="Q746"/>
  <c r="R764"/>
  <c r="Q744"/>
  <c r="R762"/>
  <c r="Q742"/>
  <c r="R760"/>
  <c r="Q740"/>
  <c r="R758"/>
  <c r="Q738"/>
  <c r="R756"/>
  <c r="Q736"/>
  <c r="R754"/>
  <c r="Q734"/>
  <c r="R752"/>
  <c r="Q732"/>
  <c r="R750"/>
  <c r="Q730"/>
  <c r="R748"/>
  <c r="Q728"/>
  <c r="R746"/>
  <c r="Q726"/>
  <c r="R744"/>
  <c r="Q724"/>
  <c r="R742"/>
  <c r="Q722"/>
  <c r="R740"/>
  <c r="Q720"/>
  <c r="R738"/>
  <c r="Q718"/>
  <c r="R736"/>
  <c r="Q716"/>
  <c r="R734"/>
  <c r="Q714"/>
  <c r="R732"/>
  <c r="Q712"/>
  <c r="R730"/>
  <c r="Q710"/>
  <c r="R728"/>
  <c r="Q708"/>
  <c r="R726"/>
  <c r="Q706"/>
  <c r="R724"/>
  <c r="Q704"/>
  <c r="R722"/>
  <c r="Q702"/>
  <c r="R720"/>
  <c r="Q700"/>
  <c r="R718"/>
  <c r="Q698"/>
  <c r="R716"/>
  <c r="Q696"/>
  <c r="R714"/>
  <c r="Q694"/>
  <c r="R712"/>
  <c r="Q692"/>
  <c r="R710"/>
  <c r="Q690"/>
  <c r="R708"/>
  <c r="Q688"/>
  <c r="R706"/>
  <c r="Q686"/>
  <c r="R704"/>
  <c r="Q684"/>
  <c r="R702"/>
  <c r="Q682"/>
  <c r="R700"/>
  <c r="Q680"/>
  <c r="R698"/>
  <c r="Q678"/>
  <c r="R696"/>
  <c r="Q676"/>
  <c r="R694"/>
  <c r="Q674"/>
  <c r="R692"/>
  <c r="Q672"/>
  <c r="R690"/>
  <c r="Q670"/>
  <c r="R688"/>
  <c r="Q668"/>
  <c r="R686"/>
  <c r="Q666"/>
  <c r="R684"/>
  <c r="Q664"/>
  <c r="R682"/>
  <c r="Q662"/>
  <c r="R680"/>
  <c r="Q660"/>
  <c r="R678"/>
  <c r="Q658"/>
  <c r="R676"/>
  <c r="Q656"/>
  <c r="R674"/>
  <c r="Q654"/>
  <c r="R672"/>
  <c r="Q652"/>
  <c r="R670"/>
  <c r="Q650"/>
  <c r="R668"/>
  <c r="Q648"/>
  <c r="R666"/>
  <c r="Q646"/>
  <c r="R664"/>
  <c r="Q644"/>
  <c r="R662"/>
  <c r="Q642"/>
  <c r="R660"/>
  <c r="Q640"/>
  <c r="R658"/>
  <c r="Q638"/>
  <c r="R656"/>
  <c r="Q636"/>
  <c r="R654"/>
  <c r="Q634"/>
  <c r="R652"/>
  <c r="Q632"/>
  <c r="R650"/>
  <c r="Q630"/>
  <c r="R648"/>
  <c r="Q628"/>
  <c r="R646"/>
  <c r="Q626"/>
  <c r="R644"/>
  <c r="Q624"/>
  <c r="R642"/>
  <c r="Q622"/>
  <c r="R640"/>
  <c r="Q620"/>
  <c r="R638"/>
  <c r="Q618"/>
  <c r="R636"/>
  <c r="Q616"/>
  <c r="R634"/>
  <c r="Q614"/>
  <c r="R632"/>
  <c r="Q612"/>
  <c r="R630"/>
  <c r="Q610"/>
  <c r="R628"/>
  <c r="Q608"/>
  <c r="R626"/>
  <c r="Q606"/>
  <c r="R624"/>
  <c r="Q604"/>
  <c r="R622"/>
  <c r="Q602"/>
  <c r="R620"/>
  <c r="Q600"/>
  <c r="R618"/>
  <c r="Q598"/>
  <c r="R616"/>
  <c r="Q596"/>
  <c r="R614"/>
  <c r="Q594"/>
  <c r="R612"/>
  <c r="Q592"/>
  <c r="R610"/>
  <c r="Q590"/>
  <c r="R608"/>
  <c r="Q588"/>
  <c r="R606"/>
  <c r="Q586"/>
  <c r="R604"/>
  <c r="Q584"/>
  <c r="R602"/>
  <c r="Q582"/>
  <c r="R600"/>
  <c r="Q580"/>
  <c r="R598"/>
  <c r="Q578"/>
  <c r="R596"/>
  <c r="Q576"/>
  <c r="R594"/>
  <c r="Q574"/>
  <c r="R592"/>
  <c r="Q572"/>
  <c r="R590"/>
  <c r="Q570"/>
  <c r="R588"/>
  <c r="Q568"/>
  <c r="R586"/>
  <c r="Q566"/>
  <c r="R584"/>
  <c r="Q564"/>
  <c r="R582"/>
  <c r="Q562"/>
  <c r="R580"/>
  <c r="Q560"/>
  <c r="R578"/>
  <c r="Q558"/>
  <c r="R576"/>
  <c r="Q556"/>
  <c r="R574"/>
  <c r="Q554"/>
  <c r="R572"/>
  <c r="Q552"/>
  <c r="R570"/>
  <c r="Q550"/>
  <c r="R568"/>
  <c r="Q548"/>
  <c r="R566"/>
  <c r="Q546"/>
  <c r="R564"/>
  <c r="Q544"/>
  <c r="R562"/>
  <c r="Q542"/>
  <c r="R560"/>
  <c r="Q540"/>
  <c r="R558"/>
  <c r="Q538"/>
  <c r="R556"/>
  <c r="Q536"/>
  <c r="R554"/>
  <c r="Q534"/>
  <c r="R552"/>
  <c r="Q532"/>
  <c r="R550"/>
  <c r="Q530"/>
  <c r="R548"/>
  <c r="Q528"/>
  <c r="R546"/>
  <c r="Q526"/>
  <c r="R544"/>
  <c r="Q524"/>
  <c r="R542"/>
  <c r="Q522"/>
  <c r="R540"/>
  <c r="Q520"/>
  <c r="R538"/>
  <c r="Q518"/>
  <c r="R536"/>
  <c r="Q516"/>
  <c r="R534"/>
  <c r="Q514"/>
  <c r="R532"/>
  <c r="Q512"/>
  <c r="R530"/>
  <c r="Q510"/>
  <c r="R528"/>
  <c r="Q508"/>
  <c r="R526"/>
  <c r="Q506"/>
  <c r="R524"/>
  <c r="Q504"/>
  <c r="R522"/>
  <c r="Q502"/>
  <c r="R520"/>
  <c r="Q500"/>
  <c r="R518"/>
  <c r="Q498"/>
  <c r="R516"/>
  <c r="Q496"/>
  <c r="R514"/>
  <c r="Q494"/>
  <c r="R512"/>
  <c r="Q492"/>
  <c r="R510"/>
  <c r="Q490"/>
  <c r="R508"/>
  <c r="Q488"/>
  <c r="R506"/>
  <c r="Q486"/>
  <c r="R504"/>
  <c r="Q484"/>
  <c r="R502"/>
  <c r="Q482"/>
  <c r="R500"/>
  <c r="Q480"/>
  <c r="R498"/>
  <c r="Q478"/>
  <c r="R496"/>
  <c r="Q476"/>
  <c r="R494"/>
  <c r="Q474"/>
  <c r="R492"/>
  <c r="Q472"/>
  <c r="R490"/>
  <c r="Q470"/>
  <c r="R488"/>
  <c r="Q468"/>
  <c r="R486"/>
  <c r="Q466"/>
  <c r="R484"/>
  <c r="Q464"/>
  <c r="R482"/>
  <c r="Q462"/>
  <c r="R480"/>
  <c r="Q460"/>
  <c r="R478"/>
  <c r="Q458"/>
  <c r="R476"/>
  <c r="Q456"/>
  <c r="R474"/>
  <c r="Q454"/>
  <c r="R472"/>
  <c r="Q452"/>
  <c r="R470"/>
  <c r="Q450"/>
  <c r="R468"/>
  <c r="Q448"/>
  <c r="R466"/>
  <c r="Q446"/>
  <c r="R464"/>
  <c r="Q444"/>
  <c r="R462"/>
  <c r="Q442"/>
  <c r="R460"/>
  <c r="Q440"/>
  <c r="R458"/>
  <c r="Q438"/>
  <c r="R456"/>
  <c r="Q436"/>
  <c r="R454"/>
  <c r="Q434"/>
  <c r="R452"/>
  <c r="Q432"/>
  <c r="R450"/>
  <c r="Q430"/>
  <c r="R448"/>
  <c r="Q428"/>
  <c r="R446"/>
  <c r="Q426"/>
  <c r="R444"/>
  <c r="Q424"/>
  <c r="R442"/>
  <c r="Q422"/>
  <c r="R440"/>
  <c r="Q420"/>
  <c r="R438"/>
  <c r="Q418"/>
  <c r="R436"/>
  <c r="Q416"/>
  <c r="R434"/>
  <c r="Q414"/>
  <c r="R432"/>
  <c r="Q412"/>
  <c r="R430"/>
  <c r="Q410"/>
  <c r="R428"/>
  <c r="Q408"/>
  <c r="R426"/>
  <c r="Q406"/>
  <c r="R424"/>
  <c r="Q404"/>
  <c r="R422"/>
  <c r="Q402"/>
  <c r="R420"/>
  <c r="Q400"/>
  <c r="R418"/>
  <c r="Q398"/>
  <c r="R416"/>
  <c r="Q396"/>
  <c r="R414"/>
  <c r="Q394"/>
  <c r="R412"/>
  <c r="Q392"/>
  <c r="R410"/>
  <c r="Q390"/>
  <c r="R408"/>
  <c r="Q388"/>
  <c r="R406"/>
  <c r="Q386"/>
  <c r="R404"/>
  <c r="Q384"/>
  <c r="R402"/>
  <c r="Q382"/>
  <c r="R400"/>
  <c r="Q380"/>
  <c r="R398"/>
  <c r="Q378"/>
  <c r="R396"/>
  <c r="Q376"/>
  <c r="R394"/>
  <c r="Q374"/>
  <c r="R392"/>
  <c r="Q372"/>
  <c r="R390"/>
  <c r="Q370"/>
  <c r="R388"/>
  <c r="Q368"/>
  <c r="R386"/>
  <c r="Q366"/>
  <c r="R384"/>
  <c r="Q364"/>
  <c r="R382"/>
  <c r="Q362"/>
  <c r="R380"/>
  <c r="Q360"/>
  <c r="R378"/>
  <c r="Q358"/>
  <c r="R376"/>
  <c r="Q356"/>
  <c r="R374"/>
  <c r="Q354"/>
  <c r="R372"/>
  <c r="Q352"/>
  <c r="R370"/>
  <c r="Q350"/>
  <c r="R368"/>
  <c r="Q348"/>
  <c r="R366"/>
  <c r="Q346"/>
  <c r="R364"/>
  <c r="Q344"/>
  <c r="R362"/>
  <c r="Q342"/>
  <c r="R360"/>
  <c r="Q340"/>
  <c r="R358"/>
  <c r="Q338"/>
  <c r="R356"/>
  <c r="Q336"/>
  <c r="R354"/>
  <c r="Q334"/>
  <c r="R352"/>
  <c r="Q332"/>
  <c r="R350"/>
  <c r="Q330"/>
  <c r="R348"/>
  <c r="Q328"/>
  <c r="R346"/>
  <c r="Q326"/>
  <c r="R344"/>
  <c r="Q324"/>
  <c r="R342"/>
  <c r="Q322"/>
  <c r="R340"/>
  <c r="Q320"/>
  <c r="R338"/>
  <c r="Q318"/>
  <c r="R336"/>
  <c r="Q316"/>
  <c r="R334"/>
  <c r="Q314"/>
  <c r="R332"/>
  <c r="Q312"/>
  <c r="R330"/>
  <c r="Q310"/>
  <c r="R328"/>
  <c r="Q308"/>
  <c r="R326"/>
  <c r="Q306"/>
  <c r="R324"/>
  <c r="Q304"/>
  <c r="R322"/>
  <c r="Q302"/>
  <c r="R320"/>
  <c r="Q300"/>
  <c r="R318"/>
  <c r="Q298"/>
  <c r="R316"/>
  <c r="Q296"/>
  <c r="R314"/>
  <c r="Q294"/>
  <c r="R312"/>
  <c r="Q292"/>
  <c r="R310"/>
  <c r="Q290"/>
  <c r="R308"/>
  <c r="Q288"/>
  <c r="R306"/>
  <c r="Q286"/>
  <c r="R304"/>
  <c r="Q284"/>
  <c r="R302"/>
  <c r="Q282"/>
  <c r="R300"/>
  <c r="Q280"/>
  <c r="R298"/>
  <c r="Q278"/>
  <c r="R296"/>
  <c r="Q276"/>
  <c r="R294"/>
  <c r="Q274"/>
  <c r="R292"/>
  <c r="Q272"/>
  <c r="R290"/>
  <c r="Q270"/>
  <c r="R288"/>
  <c r="Q268"/>
  <c r="R286"/>
  <c r="Q266"/>
  <c r="R284"/>
  <c r="Q264"/>
  <c r="R282"/>
  <c r="Q262"/>
  <c r="R280"/>
  <c r="Q260"/>
  <c r="R278"/>
  <c r="Q258"/>
  <c r="R276"/>
  <c r="Q256"/>
  <c r="R274"/>
  <c r="Q254"/>
  <c r="R272"/>
  <c r="Q252"/>
  <c r="R270"/>
  <c r="Q250"/>
  <c r="R268"/>
  <c r="Q248"/>
  <c r="R266"/>
  <c r="Q246"/>
  <c r="R264"/>
  <c r="Q244"/>
  <c r="R262"/>
  <c r="Q242"/>
  <c r="R260"/>
  <c r="Q240"/>
  <c r="R258"/>
  <c r="Q238"/>
  <c r="R256"/>
  <c r="Q236"/>
  <c r="R254"/>
  <c r="Q234"/>
  <c r="R252"/>
  <c r="Q232"/>
  <c r="R250"/>
  <c r="Q230"/>
  <c r="R248"/>
  <c r="Q228"/>
  <c r="R246"/>
  <c r="Q226"/>
  <c r="R244"/>
  <c r="Q224"/>
  <c r="R242"/>
  <c r="Q222"/>
  <c r="R240"/>
  <c r="Q220"/>
  <c r="R238"/>
  <c r="Q218"/>
  <c r="R236"/>
  <c r="Q216"/>
  <c r="R234"/>
  <c r="Q214"/>
  <c r="R232"/>
  <c r="Q212"/>
  <c r="R230"/>
  <c r="Q210"/>
  <c r="R228"/>
  <c r="Q208"/>
  <c r="R226"/>
  <c r="Q206"/>
  <c r="R224"/>
  <c r="Q204"/>
  <c r="R222"/>
  <c r="Q202"/>
  <c r="R220"/>
  <c r="Q200"/>
  <c r="R218"/>
  <c r="Q198"/>
  <c r="R216"/>
  <c r="Q196"/>
  <c r="R214"/>
  <c r="Q194"/>
  <c r="R212"/>
  <c r="Q192"/>
  <c r="R210"/>
  <c r="Q190"/>
  <c r="R208"/>
  <c r="Q188"/>
  <c r="R206"/>
  <c r="Q186"/>
  <c r="R204"/>
  <c r="Q184"/>
  <c r="R202"/>
  <c r="Q182"/>
  <c r="R200"/>
  <c r="Q180"/>
  <c r="R198"/>
  <c r="Q178"/>
  <c r="R196"/>
  <c r="Q176"/>
  <c r="R194"/>
  <c r="Q174"/>
  <c r="R192"/>
  <c r="Q172"/>
  <c r="R190"/>
  <c r="Q170"/>
  <c r="R188"/>
  <c r="Q168"/>
  <c r="R186"/>
  <c r="Q166"/>
  <c r="R184"/>
  <c r="Q164"/>
  <c r="R182"/>
  <c r="Q162"/>
  <c r="R180"/>
  <c r="Q160"/>
  <c r="R178"/>
  <c r="Q158"/>
  <c r="R176"/>
  <c r="Q156"/>
  <c r="R174"/>
  <c r="Q154"/>
  <c r="R172"/>
  <c r="Q152"/>
  <c r="R170"/>
  <c r="Q150"/>
  <c r="R168"/>
  <c r="Q148"/>
  <c r="R166"/>
  <c r="Q146"/>
  <c r="R164"/>
  <c r="Q144"/>
  <c r="R162"/>
  <c r="Q142"/>
  <c r="R160"/>
  <c r="Q140"/>
  <c r="R158"/>
  <c r="Q138"/>
  <c r="R156"/>
  <c r="Q136"/>
  <c r="R154"/>
  <c r="Q134"/>
  <c r="R152"/>
  <c r="Q132"/>
  <c r="R150"/>
  <c r="Q130"/>
  <c r="R148"/>
  <c r="Q128"/>
  <c r="R146"/>
  <c r="Q126"/>
  <c r="R144"/>
  <c r="Q124"/>
  <c r="R142"/>
  <c r="Q122"/>
  <c r="R140"/>
  <c r="Q120"/>
  <c r="R138"/>
  <c r="Q118"/>
  <c r="R136"/>
  <c r="Q116"/>
  <c r="R134"/>
  <c r="Q114"/>
  <c r="R132"/>
  <c r="Q112"/>
  <c r="R130"/>
  <c r="Q110"/>
  <c r="R128"/>
  <c r="Q108"/>
  <c r="R126"/>
  <c r="Q106"/>
  <c r="R124"/>
  <c r="Q104"/>
  <c r="R122"/>
  <c r="Q102"/>
  <c r="R120"/>
  <c r="Q100"/>
  <c r="R118"/>
  <c r="Q98"/>
  <c r="R116"/>
  <c r="Q96"/>
  <c r="R114"/>
  <c r="Q94"/>
  <c r="R112"/>
  <c r="Q92"/>
  <c r="R110"/>
  <c r="Q90"/>
  <c r="R70"/>
  <c r="R72"/>
  <c r="R74"/>
  <c r="R76"/>
  <c r="R78"/>
  <c r="R80"/>
  <c r="R82"/>
  <c r="R84"/>
  <c r="R86"/>
  <c r="R88"/>
  <c r="R90"/>
  <c r="R92"/>
  <c r="R94"/>
  <c r="R96"/>
  <c r="R98"/>
  <c r="R100"/>
  <c r="R102"/>
  <c r="R104"/>
  <c r="R106"/>
  <c r="R108"/>
  <c r="R71"/>
  <c r="R75"/>
  <c r="R79"/>
  <c r="R83"/>
  <c r="R87"/>
  <c r="R91"/>
  <c r="R95"/>
  <c r="R99"/>
  <c r="R103"/>
  <c r="R107"/>
  <c r="R69"/>
  <c r="R73"/>
  <c r="R77"/>
  <c r="R81"/>
  <c r="R85"/>
  <c r="R89"/>
  <c r="R93"/>
  <c r="R97"/>
  <c r="R101"/>
  <c r="R105"/>
  <c r="Q70"/>
  <c r="Q72"/>
  <c r="Q74"/>
  <c r="Q76"/>
  <c r="Q78"/>
  <c r="Q80"/>
  <c r="Q82"/>
  <c r="Q84"/>
  <c r="Q86"/>
  <c r="Q88"/>
  <c r="Q69"/>
  <c r="Q71"/>
  <c r="Q73"/>
  <c r="Q75"/>
  <c r="Q77"/>
  <c r="Q79"/>
  <c r="Q81"/>
  <c r="Q83"/>
  <c r="Q85"/>
  <c r="Q87"/>
  <c r="R619"/>
  <c r="Q599"/>
  <c r="R617"/>
  <c r="Q597"/>
  <c r="R615"/>
  <c r="Q595"/>
  <c r="R613"/>
  <c r="Q593"/>
  <c r="R611"/>
  <c r="Q591"/>
  <c r="R609"/>
  <c r="Q589"/>
  <c r="R607"/>
  <c r="Q587"/>
  <c r="R605"/>
  <c r="Q585"/>
  <c r="R603"/>
  <c r="Q583"/>
  <c r="R601"/>
  <c r="Q581"/>
  <c r="R599"/>
  <c r="Q579"/>
  <c r="R597"/>
  <c r="Q577"/>
  <c r="R595"/>
  <c r="Q575"/>
  <c r="R593"/>
  <c r="Q573"/>
  <c r="R591"/>
  <c r="Q571"/>
  <c r="R589"/>
  <c r="Q569"/>
  <c r="R587"/>
  <c r="Q567"/>
  <c r="R585"/>
  <c r="Q565"/>
  <c r="R583"/>
  <c r="Q563"/>
  <c r="R581"/>
  <c r="Q561"/>
  <c r="R579"/>
  <c r="Q559"/>
  <c r="R577"/>
  <c r="Q557"/>
  <c r="R575"/>
  <c r="Q555"/>
  <c r="R573"/>
  <c r="Q553"/>
  <c r="R571"/>
  <c r="Q551"/>
  <c r="R569"/>
  <c r="Q549"/>
  <c r="R567"/>
  <c r="Q547"/>
  <c r="R565"/>
  <c r="Q545"/>
  <c r="R563"/>
  <c r="Q543"/>
  <c r="R561"/>
  <c r="Q541"/>
  <c r="R559"/>
  <c r="Q539"/>
  <c r="R557"/>
  <c r="Q537"/>
  <c r="R555"/>
  <c r="Q535"/>
  <c r="R553"/>
  <c r="Q533"/>
  <c r="R551"/>
  <c r="Q531"/>
  <c r="R549"/>
  <c r="Q529"/>
  <c r="R547"/>
  <c r="Q527"/>
  <c r="R545"/>
  <c r="Q525"/>
  <c r="R543"/>
  <c r="Q523"/>
  <c r="R541"/>
  <c r="Q521"/>
  <c r="R539"/>
  <c r="Q519"/>
  <c r="R537"/>
  <c r="Q517"/>
  <c r="R535"/>
  <c r="Q515"/>
  <c r="R533"/>
  <c r="Q513"/>
  <c r="R531"/>
  <c r="Q511"/>
  <c r="R529"/>
  <c r="Q509"/>
  <c r="R527"/>
  <c r="Q507"/>
  <c r="R525"/>
  <c r="Q505"/>
  <c r="R523"/>
  <c r="Q503"/>
  <c r="R521"/>
  <c r="Q501"/>
  <c r="R519"/>
  <c r="Q499"/>
  <c r="R517"/>
  <c r="Q497"/>
  <c r="R515"/>
  <c r="Q495"/>
  <c r="R513"/>
  <c r="Q493"/>
  <c r="R511"/>
  <c r="Q491"/>
  <c r="R509"/>
  <c r="Q489"/>
  <c r="R507"/>
  <c r="Q487"/>
  <c r="R505"/>
  <c r="Q485"/>
  <c r="R503"/>
  <c r="Q483"/>
  <c r="R501"/>
  <c r="Q481"/>
  <c r="R499"/>
  <c r="Q479"/>
  <c r="R497"/>
  <c r="Q477"/>
  <c r="R495"/>
  <c r="Q475"/>
  <c r="R493"/>
  <c r="Q473"/>
  <c r="R491"/>
  <c r="Q471"/>
  <c r="R489"/>
  <c r="Q469"/>
  <c r="R487"/>
  <c r="Q467"/>
  <c r="R485"/>
  <c r="Q465"/>
  <c r="R483"/>
  <c r="Q463"/>
  <c r="R481"/>
  <c r="Q461"/>
  <c r="R479"/>
  <c r="Q459"/>
  <c r="R477"/>
  <c r="Q457"/>
  <c r="R475"/>
  <c r="Q455"/>
  <c r="R473"/>
  <c r="Q453"/>
  <c r="R471"/>
  <c r="Q451"/>
  <c r="R469"/>
  <c r="Q449"/>
  <c r="R467"/>
  <c r="Q447"/>
  <c r="R465"/>
  <c r="Q445"/>
  <c r="R463"/>
  <c r="Q443"/>
  <c r="R461"/>
  <c r="Q441"/>
  <c r="R459"/>
  <c r="Q439"/>
  <c r="R457"/>
  <c r="Q437"/>
  <c r="R455"/>
  <c r="Q435"/>
  <c r="R453"/>
  <c r="Q433"/>
  <c r="R451"/>
  <c r="Q431"/>
  <c r="R449"/>
  <c r="Q429"/>
  <c r="R447"/>
  <c r="Q427"/>
  <c r="R445"/>
  <c r="Q425"/>
  <c r="R443"/>
  <c r="Q423"/>
  <c r="R441"/>
  <c r="Q421"/>
  <c r="R439"/>
  <c r="Q419"/>
  <c r="R437"/>
  <c r="Q417"/>
  <c r="R435"/>
  <c r="Q415"/>
  <c r="R433"/>
  <c r="Q413"/>
  <c r="R431"/>
  <c r="Q411"/>
  <c r="R429"/>
  <c r="Q409"/>
  <c r="R427"/>
  <c r="Q407"/>
  <c r="R425"/>
  <c r="Q405"/>
  <c r="R423"/>
  <c r="Q403"/>
  <c r="R421"/>
  <c r="Q401"/>
  <c r="R419"/>
  <c r="Q399"/>
  <c r="R417"/>
  <c r="Q397"/>
  <c r="R415"/>
  <c r="Q395"/>
  <c r="R413"/>
  <c r="Q393"/>
  <c r="R411"/>
  <c r="Q391"/>
  <c r="R409"/>
  <c r="Q389"/>
  <c r="R407"/>
  <c r="Q387"/>
  <c r="R405"/>
  <c r="Q385"/>
  <c r="R403"/>
  <c r="Q383"/>
  <c r="R401"/>
  <c r="Q381"/>
  <c r="R399"/>
  <c r="Q379"/>
  <c r="R397"/>
  <c r="Q377"/>
  <c r="R395"/>
  <c r="Q375"/>
  <c r="R393"/>
  <c r="Q373"/>
  <c r="R391"/>
  <c r="Q371"/>
  <c r="R389"/>
  <c r="Q369"/>
  <c r="R387"/>
  <c r="Q367"/>
  <c r="R385"/>
  <c r="Q365"/>
  <c r="R383"/>
  <c r="Q363"/>
  <c r="R381"/>
  <c r="Q361"/>
  <c r="R379"/>
  <c r="Q359"/>
  <c r="R377"/>
  <c r="Q357"/>
  <c r="R375"/>
  <c r="Q355"/>
  <c r="R373"/>
  <c r="Q353"/>
  <c r="R371"/>
  <c r="Q351"/>
  <c r="R369"/>
  <c r="Q349"/>
  <c r="R367"/>
  <c r="Q347"/>
  <c r="R365"/>
  <c r="Q345"/>
  <c r="R363"/>
  <c r="Q343"/>
  <c r="R361"/>
  <c r="Q341"/>
  <c r="R359"/>
  <c r="Q339"/>
  <c r="R357"/>
  <c r="Q337"/>
  <c r="R355"/>
  <c r="Q335"/>
  <c r="R353"/>
  <c r="Q333"/>
  <c r="R351"/>
  <c r="Q331"/>
  <c r="R349"/>
  <c r="Q329"/>
  <c r="R347"/>
  <c r="Q327"/>
  <c r="R345"/>
  <c r="Q325"/>
  <c r="R343"/>
  <c r="Q323"/>
  <c r="R341"/>
  <c r="Q321"/>
  <c r="R339"/>
  <c r="Q319"/>
  <c r="R337"/>
  <c r="Q317"/>
  <c r="R335"/>
  <c r="Q315"/>
  <c r="R333"/>
  <c r="Q313"/>
  <c r="R331"/>
  <c r="Q311"/>
  <c r="R329"/>
  <c r="Q309"/>
  <c r="R327"/>
  <c r="Q307"/>
  <c r="R325"/>
  <c r="Q305"/>
  <c r="R323"/>
  <c r="Q303"/>
  <c r="R321"/>
  <c r="Q301"/>
  <c r="R319"/>
  <c r="Q299"/>
  <c r="R317"/>
  <c r="Q297"/>
  <c r="R315"/>
  <c r="Q295"/>
  <c r="R313"/>
  <c r="Q293"/>
  <c r="R311"/>
  <c r="Q291"/>
  <c r="R309"/>
  <c r="Q289"/>
  <c r="R307"/>
  <c r="Q287"/>
  <c r="R305"/>
  <c r="Q285"/>
  <c r="R303"/>
  <c r="Q283"/>
  <c r="R301"/>
  <c r="Q281"/>
  <c r="R299"/>
  <c r="Q279"/>
  <c r="R297"/>
  <c r="Q277"/>
  <c r="R295"/>
  <c r="Q275"/>
  <c r="R293"/>
  <c r="Q273"/>
  <c r="R291"/>
  <c r="Q271"/>
  <c r="R289"/>
  <c r="Q269"/>
  <c r="R287"/>
  <c r="Q267"/>
  <c r="R285"/>
  <c r="Q265"/>
  <c r="R283"/>
  <c r="Q263"/>
  <c r="R281"/>
  <c r="Q261"/>
  <c r="R279"/>
  <c r="Q259"/>
  <c r="R277"/>
  <c r="Q257"/>
  <c r="R275"/>
  <c r="Q255"/>
  <c r="R273"/>
  <c r="Q253"/>
  <c r="R271"/>
  <c r="Q251"/>
  <c r="R269"/>
  <c r="Q249"/>
  <c r="R267"/>
  <c r="Q247"/>
  <c r="R265"/>
  <c r="Q245"/>
  <c r="R263"/>
  <c r="Q243"/>
  <c r="R261"/>
  <c r="Q241"/>
  <c r="R259"/>
  <c r="Q239"/>
  <c r="R257"/>
  <c r="Q237"/>
  <c r="R255"/>
  <c r="Q235"/>
  <c r="R253"/>
  <c r="Q233"/>
  <c r="R251"/>
  <c r="Q231"/>
  <c r="R249"/>
  <c r="Q229"/>
  <c r="R247"/>
  <c r="Q227"/>
  <c r="R245"/>
  <c r="Q225"/>
  <c r="R243"/>
  <c r="Q223"/>
  <c r="R241"/>
  <c r="Q221"/>
  <c r="R239"/>
  <c r="Q219"/>
  <c r="R237"/>
  <c r="Q217"/>
  <c r="R235"/>
  <c r="Q215"/>
  <c r="R233"/>
  <c r="Q213"/>
  <c r="R231"/>
  <c r="Q211"/>
  <c r="R229"/>
  <c r="Q209"/>
  <c r="R227"/>
  <c r="Q207"/>
  <c r="R225"/>
  <c r="Q205"/>
  <c r="R223"/>
  <c r="Q203"/>
  <c r="R221"/>
  <c r="Q201"/>
  <c r="R219"/>
  <c r="Q199"/>
  <c r="R217"/>
  <c r="Q197"/>
  <c r="R215"/>
  <c r="Q195"/>
  <c r="R213"/>
  <c r="Q193"/>
  <c r="R211"/>
  <c r="Q191"/>
  <c r="R209"/>
  <c r="Q189"/>
  <c r="R207"/>
  <c r="Q187"/>
  <c r="R205"/>
  <c r="Q185"/>
  <c r="R203"/>
  <c r="Q183"/>
  <c r="R201"/>
  <c r="Q181"/>
  <c r="R199"/>
  <c r="Q179"/>
  <c r="R197"/>
  <c r="Q177"/>
  <c r="R195"/>
  <c r="Q175"/>
  <c r="R193"/>
  <c r="Q173"/>
  <c r="R191"/>
  <c r="Q171"/>
  <c r="R189"/>
  <c r="Q169"/>
  <c r="R187"/>
  <c r="Q167"/>
  <c r="R185"/>
  <c r="Q165"/>
  <c r="R183"/>
  <c r="Q163"/>
  <c r="R181"/>
  <c r="Q161"/>
  <c r="R179"/>
  <c r="Q159"/>
  <c r="R177"/>
  <c r="Q157"/>
  <c r="R175"/>
  <c r="Q155"/>
  <c r="R173"/>
  <c r="Q153"/>
  <c r="R171"/>
  <c r="Q151"/>
  <c r="R169"/>
  <c r="Q149"/>
  <c r="R167"/>
  <c r="Q147"/>
  <c r="R165"/>
  <c r="Q145"/>
  <c r="R163"/>
  <c r="Q143"/>
  <c r="R161"/>
  <c r="Q141"/>
  <c r="R159"/>
  <c r="Q139"/>
  <c r="R157"/>
  <c r="Q137"/>
  <c r="R155"/>
  <c r="Q135"/>
  <c r="R153"/>
  <c r="Q133"/>
  <c r="R151"/>
  <c r="Q131"/>
  <c r="R149"/>
  <c r="Q129"/>
  <c r="R147"/>
  <c r="Q127"/>
  <c r="R145"/>
  <c r="Q125"/>
  <c r="R143"/>
  <c r="Q123"/>
  <c r="R141"/>
  <c r="Q121"/>
  <c r="R139"/>
  <c r="Q119"/>
  <c r="R137"/>
  <c r="Q117"/>
  <c r="R135"/>
  <c r="Q115"/>
  <c r="R133"/>
  <c r="Q113"/>
  <c r="R131"/>
  <c r="Q111"/>
  <c r="R129"/>
  <c r="Q109"/>
  <c r="R127"/>
  <c r="Q107"/>
  <c r="R125"/>
  <c r="Q105"/>
  <c r="R123"/>
  <c r="Q103"/>
  <c r="R121"/>
  <c r="Q101"/>
  <c r="R119"/>
  <c r="Q99"/>
  <c r="R117"/>
  <c r="Q97"/>
  <c r="R115"/>
  <c r="Q95"/>
  <c r="R113"/>
  <c r="Q93"/>
  <c r="R111"/>
  <c r="Q91"/>
  <c r="R109"/>
  <c r="Q89"/>
  <c r="L6"/>
  <c r="J53"/>
  <c r="N52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2"/>
  <c r="N493"/>
  <c r="N494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7"/>
  <c r="N518"/>
  <c r="N519"/>
  <c r="N520"/>
  <c r="N521"/>
  <c r="N522"/>
  <c r="N523"/>
  <c r="N524"/>
  <c r="N525"/>
  <c r="N526"/>
  <c r="N527"/>
  <c r="N528"/>
  <c r="N529"/>
  <c r="N530"/>
  <c r="N531"/>
  <c r="N532"/>
  <c r="N533"/>
  <c r="N534"/>
  <c r="N535"/>
  <c r="N536"/>
  <c r="N537"/>
  <c r="N538"/>
  <c r="N539"/>
  <c r="N540"/>
  <c r="N541"/>
  <c r="N542"/>
  <c r="N543"/>
  <c r="N544"/>
  <c r="N545"/>
  <c r="N546"/>
  <c r="N547"/>
  <c r="N548"/>
  <c r="N549"/>
  <c r="N550"/>
  <c r="N551"/>
  <c r="N552"/>
  <c r="N553"/>
  <c r="N554"/>
  <c r="N555"/>
  <c r="N556"/>
  <c r="N557"/>
  <c r="N558"/>
  <c r="N559"/>
  <c r="N560"/>
  <c r="N561"/>
  <c r="N562"/>
  <c r="N563"/>
  <c r="N564"/>
  <c r="N565"/>
  <c r="N566"/>
  <c r="N567"/>
  <c r="N568"/>
  <c r="N569"/>
  <c r="N570"/>
  <c r="N571"/>
  <c r="N572"/>
  <c r="N573"/>
  <c r="N574"/>
  <c r="N575"/>
  <c r="N576"/>
  <c r="N577"/>
  <c r="N578"/>
  <c r="N579"/>
  <c r="N580"/>
  <c r="N581"/>
  <c r="N582"/>
  <c r="N583"/>
  <c r="N584"/>
  <c r="N585"/>
  <c r="N586"/>
  <c r="N587"/>
  <c r="N588"/>
  <c r="N589"/>
  <c r="N590"/>
  <c r="N591"/>
  <c r="N592"/>
  <c r="N593"/>
  <c r="N594"/>
  <c r="N595"/>
  <c r="N596"/>
  <c r="N597"/>
  <c r="N598"/>
  <c r="N599"/>
  <c r="N600"/>
  <c r="N601"/>
  <c r="N602"/>
  <c r="N603"/>
  <c r="N604"/>
  <c r="N605"/>
  <c r="N606"/>
  <c r="N607"/>
  <c r="N608"/>
  <c r="N609"/>
  <c r="N610"/>
  <c r="N611"/>
  <c r="N612"/>
  <c r="N613"/>
  <c r="N614"/>
  <c r="N615"/>
  <c r="N616"/>
  <c r="N617"/>
  <c r="N618"/>
  <c r="N619"/>
  <c r="N620"/>
  <c r="N621"/>
  <c r="N622"/>
  <c r="N623"/>
  <c r="N624"/>
  <c r="N625"/>
  <c r="N626"/>
  <c r="N627"/>
  <c r="N628"/>
  <c r="N629"/>
  <c r="N630"/>
  <c r="N631"/>
  <c r="N632"/>
  <c r="N633"/>
  <c r="N634"/>
  <c r="N635"/>
  <c r="N636"/>
  <c r="N637"/>
  <c r="N638"/>
  <c r="N639"/>
  <c r="N640"/>
  <c r="N641"/>
  <c r="N642"/>
  <c r="N643"/>
  <c r="N644"/>
  <c r="N645"/>
  <c r="N646"/>
  <c r="N647"/>
  <c r="N648"/>
  <c r="N649"/>
  <c r="N650"/>
  <c r="N651"/>
  <c r="N652"/>
  <c r="N653"/>
  <c r="N654"/>
  <c r="N655"/>
  <c r="N656"/>
  <c r="N657"/>
  <c r="N658"/>
  <c r="N659"/>
  <c r="N660"/>
  <c r="N661"/>
  <c r="N662"/>
  <c r="N663"/>
  <c r="N664"/>
  <c r="N665"/>
  <c r="N666"/>
  <c r="N667"/>
  <c r="N668"/>
  <c r="N669"/>
  <c r="N670"/>
  <c r="N671"/>
  <c r="N672"/>
  <c r="N673"/>
  <c r="N674"/>
  <c r="N675"/>
  <c r="N676"/>
  <c r="N677"/>
  <c r="N678"/>
  <c r="N679"/>
  <c r="N680"/>
  <c r="N681"/>
  <c r="N682"/>
  <c r="N683"/>
  <c r="N684"/>
  <c r="N685"/>
  <c r="N686"/>
  <c r="N687"/>
  <c r="N688"/>
  <c r="N689"/>
  <c r="N690"/>
  <c r="N691"/>
  <c r="N692"/>
  <c r="N693"/>
  <c r="N694"/>
  <c r="N695"/>
  <c r="N696"/>
  <c r="N697"/>
  <c r="N698"/>
  <c r="N699"/>
  <c r="N700"/>
  <c r="N701"/>
  <c r="N702"/>
  <c r="N703"/>
  <c r="N704"/>
  <c r="N705"/>
  <c r="N706"/>
  <c r="N707"/>
  <c r="N708"/>
  <c r="N709"/>
  <c r="N710"/>
  <c r="N711"/>
  <c r="N712"/>
  <c r="N713"/>
  <c r="N714"/>
  <c r="N715"/>
  <c r="N716"/>
  <c r="N717"/>
  <c r="N718"/>
  <c r="N719"/>
  <c r="N720"/>
  <c r="N721"/>
  <c r="N722"/>
  <c r="N723"/>
  <c r="N724"/>
  <c r="N725"/>
  <c r="N726"/>
  <c r="N727"/>
  <c r="N728"/>
  <c r="N729"/>
  <c r="N730"/>
  <c r="N731"/>
  <c r="N732"/>
  <c r="N733"/>
  <c r="N734"/>
  <c r="N735"/>
  <c r="N736"/>
  <c r="N737"/>
  <c r="N738"/>
  <c r="N739"/>
  <c r="N740"/>
  <c r="N741"/>
  <c r="N742"/>
  <c r="N743"/>
  <c r="N744"/>
  <c r="N745"/>
  <c r="N746"/>
  <c r="N747"/>
  <c r="N748"/>
  <c r="N749"/>
  <c r="N750"/>
  <c r="N751"/>
  <c r="N752"/>
  <c r="N753"/>
  <c r="N754"/>
  <c r="N755"/>
  <c r="N756"/>
  <c r="N757"/>
  <c r="N758"/>
  <c r="N759"/>
  <c r="N760"/>
  <c r="N761"/>
  <c r="N762"/>
  <c r="N763"/>
  <c r="N764"/>
  <c r="N765"/>
  <c r="N766"/>
  <c r="N767"/>
  <c r="N768"/>
  <c r="N769"/>
  <c r="N770"/>
  <c r="N771"/>
  <c r="N772"/>
  <c r="N773"/>
  <c r="N774"/>
  <c r="N775"/>
  <c r="N776"/>
  <c r="N777"/>
  <c r="N778"/>
  <c r="N779"/>
  <c r="N780"/>
  <c r="N781"/>
  <c r="N782"/>
  <c r="N783"/>
  <c r="N784"/>
  <c r="N785"/>
  <c r="N786"/>
  <c r="N787"/>
  <c r="N788"/>
  <c r="N789"/>
  <c r="N790"/>
  <c r="N791"/>
  <c r="N792"/>
  <c r="N793"/>
  <c r="N794"/>
  <c r="N795"/>
  <c r="N796"/>
  <c r="N797"/>
  <c r="N798"/>
  <c r="N799"/>
  <c r="N800"/>
  <c r="N801"/>
  <c r="N802"/>
  <c r="N803"/>
  <c r="N804"/>
  <c r="N805"/>
  <c r="N806"/>
  <c r="N807"/>
  <c r="N808"/>
  <c r="N809"/>
  <c r="N810"/>
  <c r="N811"/>
  <c r="N812"/>
  <c r="N813"/>
  <c r="N814"/>
  <c r="N815"/>
  <c r="N816"/>
  <c r="N817"/>
  <c r="N818"/>
  <c r="N819"/>
  <c r="N820"/>
  <c r="N821"/>
  <c r="N822"/>
  <c r="N823"/>
  <c r="N824"/>
  <c r="N825"/>
  <c r="N826"/>
  <c r="N827"/>
  <c r="N828"/>
  <c r="N829"/>
  <c r="N830"/>
  <c r="N831"/>
  <c r="N832"/>
  <c r="N833"/>
  <c r="N834"/>
  <c r="N835"/>
  <c r="N836"/>
  <c r="N837"/>
  <c r="N838"/>
  <c r="N839"/>
  <c r="N840"/>
  <c r="N841"/>
  <c r="N842"/>
  <c r="N843"/>
  <c r="N844"/>
  <c r="N845"/>
  <c r="N846"/>
  <c r="N847"/>
  <c r="N848"/>
  <c r="N849"/>
  <c r="N850"/>
  <c r="N851"/>
  <c r="N852"/>
  <c r="N853"/>
  <c r="N854"/>
  <c r="N855"/>
  <c r="N856"/>
  <c r="N857"/>
  <c r="N858"/>
  <c r="N859"/>
  <c r="N860"/>
  <c r="N861"/>
  <c r="N862"/>
  <c r="N863"/>
  <c r="N864"/>
  <c r="N865"/>
  <c r="N866"/>
  <c r="N867"/>
  <c r="N868"/>
  <c r="N869"/>
  <c r="N870"/>
  <c r="N871"/>
  <c r="N872"/>
  <c r="N873"/>
  <c r="N874"/>
  <c r="N875"/>
  <c r="N876"/>
  <c r="N877"/>
  <c r="N878"/>
  <c r="N879"/>
  <c r="N880"/>
  <c r="N881"/>
  <c r="N882"/>
  <c r="N883"/>
  <c r="N884"/>
  <c r="N885"/>
  <c r="N886"/>
  <c r="N887"/>
  <c r="N888"/>
  <c r="N889"/>
  <c r="N890"/>
  <c r="N891"/>
  <c r="N892"/>
  <c r="N893"/>
  <c r="N894"/>
  <c r="N895"/>
  <c r="N896"/>
  <c r="N897"/>
  <c r="N898"/>
  <c r="N899"/>
  <c r="N900"/>
  <c r="N901"/>
  <c r="N902"/>
  <c r="N903"/>
  <c r="N904"/>
  <c r="N905"/>
  <c r="N906"/>
  <c r="N907"/>
  <c r="N908"/>
  <c r="N909"/>
  <c r="N910"/>
  <c r="N911"/>
  <c r="N912"/>
  <c r="N913"/>
  <c r="N914"/>
  <c r="N915"/>
  <c r="N916"/>
  <c r="N917"/>
  <c r="N918"/>
  <c r="N919"/>
  <c r="N920"/>
  <c r="N921"/>
  <c r="N922"/>
  <c r="N923"/>
  <c r="N924"/>
  <c r="N925"/>
  <c r="N926"/>
  <c r="N927"/>
  <c r="N928"/>
  <c r="N929"/>
  <c r="N930"/>
  <c r="N931"/>
  <c r="N932"/>
  <c r="N933"/>
  <c r="N934"/>
  <c r="N935"/>
  <c r="N936"/>
  <c r="N937"/>
  <c r="N938"/>
  <c r="N939"/>
  <c r="N940"/>
  <c r="N941"/>
  <c r="N942"/>
  <c r="N943"/>
  <c r="N944"/>
  <c r="N945"/>
  <c r="N946"/>
  <c r="N947"/>
  <c r="N948"/>
  <c r="N949"/>
  <c r="N950"/>
  <c r="N951"/>
  <c r="N952"/>
  <c r="N953"/>
  <c r="N954"/>
  <c r="N955"/>
  <c r="N956"/>
  <c r="N957"/>
  <c r="N958"/>
  <c r="N959"/>
  <c r="N960"/>
  <c r="N961"/>
  <c r="N962"/>
  <c r="N963"/>
  <c r="N964"/>
  <c r="N965"/>
  <c r="N966"/>
  <c r="N967"/>
  <c r="N968"/>
  <c r="N969"/>
  <c r="N970"/>
  <c r="N971"/>
  <c r="N972"/>
  <c r="N973"/>
  <c r="N974"/>
  <c r="N975"/>
  <c r="N976"/>
  <c r="N977"/>
  <c r="N978"/>
  <c r="N979"/>
  <c r="N980"/>
  <c r="N981"/>
  <c r="N982"/>
  <c r="N983"/>
  <c r="N984"/>
  <c r="N985"/>
  <c r="N986"/>
  <c r="N987"/>
  <c r="N988"/>
  <c r="N989"/>
  <c r="N990"/>
  <c r="N991"/>
  <c r="N992"/>
  <c r="N993"/>
  <c r="N994"/>
  <c r="N995"/>
  <c r="N996"/>
  <c r="N997"/>
  <c r="N998"/>
  <c r="N999"/>
  <c r="N1000"/>
  <c r="N1001"/>
  <c r="N1002"/>
  <c r="N1003"/>
  <c r="N1004"/>
  <c r="N1005"/>
  <c r="N1006"/>
  <c r="N1007"/>
  <c r="N1008"/>
  <c r="N1009"/>
  <c r="N1010"/>
  <c r="N1011"/>
  <c r="N1012"/>
  <c r="N1013"/>
  <c r="N1014"/>
  <c r="N1015"/>
  <c r="N1016"/>
  <c r="N1017"/>
  <c r="N1018"/>
  <c r="N1019"/>
  <c r="N1020"/>
  <c r="N1021"/>
  <c r="N1022"/>
  <c r="N1023"/>
  <c r="N1024"/>
  <c r="N1025"/>
  <c r="N1026"/>
  <c r="N1027"/>
  <c r="N1028"/>
  <c r="N1029"/>
  <c r="N1030"/>
  <c r="N1031"/>
  <c r="N1032"/>
  <c r="N1033"/>
  <c r="N1034"/>
  <c r="N1035"/>
  <c r="N1036"/>
  <c r="N1037"/>
  <c r="N1038"/>
  <c r="N1039"/>
  <c r="N1040"/>
  <c r="N1041"/>
  <c r="N1042"/>
  <c r="N1043"/>
  <c r="N1044"/>
  <c r="N1045"/>
  <c r="N1046"/>
  <c r="N1047"/>
  <c r="N1048"/>
  <c r="N1049"/>
  <c r="N1050"/>
  <c r="N1051"/>
  <c r="N1052"/>
  <c r="N1053"/>
  <c r="N1054"/>
  <c r="N1055"/>
  <c r="N1056"/>
  <c r="N1057"/>
  <c r="N1058"/>
  <c r="N1059"/>
  <c r="N1060"/>
  <c r="N1061"/>
  <c r="N1062"/>
  <c r="N1063"/>
  <c r="N1064"/>
  <c r="N1065"/>
  <c r="N1066"/>
  <c r="N1067"/>
  <c r="N1068"/>
  <c r="N1069"/>
  <c r="N1070"/>
  <c r="N1071"/>
  <c r="N1072"/>
  <c r="N1073"/>
  <c r="N1074"/>
  <c r="N1075"/>
  <c r="N1076"/>
  <c r="N1077"/>
  <c r="N1078"/>
  <c r="N1079"/>
  <c r="N1080"/>
  <c r="N1081"/>
  <c r="N1082"/>
  <c r="N1083"/>
  <c r="N1084"/>
  <c r="N1085"/>
  <c r="N1086"/>
  <c r="N1087"/>
  <c r="N1088"/>
  <c r="N1089"/>
  <c r="N1090"/>
  <c r="N1091"/>
  <c r="N1092"/>
  <c r="N1093"/>
  <c r="N1094"/>
  <c r="N1095"/>
  <c r="N1096"/>
  <c r="N1097"/>
  <c r="N1098"/>
  <c r="N1099"/>
  <c r="N1100"/>
  <c r="N1101"/>
  <c r="N1102"/>
  <c r="N1103"/>
  <c r="N1104"/>
  <c r="N1105"/>
  <c r="N1106"/>
  <c r="N1107"/>
  <c r="N1108"/>
  <c r="N1109"/>
  <c r="N1110"/>
  <c r="N1111"/>
  <c r="N1112"/>
  <c r="N1113"/>
  <c r="N1114"/>
  <c r="N1115"/>
  <c r="N1116"/>
  <c r="N1117"/>
  <c r="N1118"/>
  <c r="N1119"/>
  <c r="N1120"/>
  <c r="N1121"/>
  <c r="N1122"/>
  <c r="N1123"/>
  <c r="N1124"/>
  <c r="N1125"/>
  <c r="N1126"/>
  <c r="N1127"/>
  <c r="N1128"/>
  <c r="N1129"/>
  <c r="N1130"/>
  <c r="N1131"/>
  <c r="N1132"/>
  <c r="N1133"/>
  <c r="N1134"/>
  <c r="N1135"/>
  <c r="N1136"/>
  <c r="N1137"/>
  <c r="N1138"/>
  <c r="N1139"/>
  <c r="N1140"/>
  <c r="N1141"/>
  <c r="N1142"/>
  <c r="N1143"/>
  <c r="N1144"/>
  <c r="N1145"/>
  <c r="N1146"/>
  <c r="N1147"/>
  <c r="N1148"/>
  <c r="N1149"/>
  <c r="N1150"/>
  <c r="N1151"/>
  <c r="N1152"/>
  <c r="N1153"/>
  <c r="N1154"/>
  <c r="N1155"/>
  <c r="N1156"/>
  <c r="N1157"/>
  <c r="N1158"/>
  <c r="N1159"/>
  <c r="N1160"/>
  <c r="N1161"/>
  <c r="N1162"/>
  <c r="N1163"/>
  <c r="N1164"/>
  <c r="N1165"/>
  <c r="N1166"/>
  <c r="N1167"/>
  <c r="N1168"/>
  <c r="N1169"/>
  <c r="N1170"/>
  <c r="N1171"/>
  <c r="N1172"/>
  <c r="N1173"/>
  <c r="N1174"/>
  <c r="N1175"/>
  <c r="N1176"/>
  <c r="N1177"/>
  <c r="N1178"/>
  <c r="N1179"/>
  <c r="N1180"/>
  <c r="N1181"/>
  <c r="N1182"/>
  <c r="N1183"/>
  <c r="N1184"/>
  <c r="N1185"/>
  <c r="N1186"/>
  <c r="N1187"/>
  <c r="N1188"/>
  <c r="N1189"/>
  <c r="N1190"/>
  <c r="N1191"/>
  <c r="N1192"/>
  <c r="N1193"/>
  <c r="N1194"/>
  <c r="N1195"/>
  <c r="N1196"/>
  <c r="N1197"/>
  <c r="N1198"/>
  <c r="N1199"/>
  <c r="N1200"/>
  <c r="N1201"/>
  <c r="N1202"/>
  <c r="N1203"/>
  <c r="N1204"/>
  <c r="N1205"/>
  <c r="N1206"/>
  <c r="N1207"/>
  <c r="N1208"/>
  <c r="N1209"/>
  <c r="N1210"/>
  <c r="N1211"/>
  <c r="N1212"/>
  <c r="N1213"/>
  <c r="N1214"/>
  <c r="N1215"/>
  <c r="N1216"/>
  <c r="N1217"/>
  <c r="N1218"/>
  <c r="N1219"/>
  <c r="N1220"/>
  <c r="N1221"/>
  <c r="N1222"/>
  <c r="N1223"/>
  <c r="N1224"/>
  <c r="N1225"/>
  <c r="N1226"/>
  <c r="N1227"/>
  <c r="N1228"/>
  <c r="N1229"/>
  <c r="N1230"/>
  <c r="N1231"/>
  <c r="N1232"/>
  <c r="N1233"/>
  <c r="N1234"/>
  <c r="N1235"/>
  <c r="N1236"/>
  <c r="N1237"/>
  <c r="N1238"/>
  <c r="N1239"/>
  <c r="N1240"/>
  <c r="N1241"/>
  <c r="N1242"/>
  <c r="N1243"/>
  <c r="N1244"/>
  <c r="N1245"/>
  <c r="N1246"/>
  <c r="N1247"/>
  <c r="N1248"/>
  <c r="N1249"/>
  <c r="N1250"/>
  <c r="N1251"/>
  <c r="N1252"/>
  <c r="N1253"/>
  <c r="N1254"/>
  <c r="N1255"/>
  <c r="N1256"/>
  <c r="N1257"/>
  <c r="N1258"/>
  <c r="N1259"/>
  <c r="N1260"/>
  <c r="N1261"/>
  <c r="N1262"/>
  <c r="N1263"/>
  <c r="N1264"/>
  <c r="N1265"/>
  <c r="N1266"/>
  <c r="N1267"/>
  <c r="N1268"/>
  <c r="N1269"/>
  <c r="N1270"/>
  <c r="N1271"/>
  <c r="N1272"/>
  <c r="N1273"/>
  <c r="N1274"/>
  <c r="N1275"/>
  <c r="N1276"/>
  <c r="N1277"/>
  <c r="N1278"/>
  <c r="N1279"/>
  <c r="N1280"/>
  <c r="N1281"/>
  <c r="N1282"/>
  <c r="N1283"/>
  <c r="N1284"/>
  <c r="N1285"/>
  <c r="N1286"/>
  <c r="N1287"/>
  <c r="N1288"/>
  <c r="N1289"/>
  <c r="N1290"/>
  <c r="N1291"/>
  <c r="N1292"/>
  <c r="N1293"/>
  <c r="N1294"/>
  <c r="N1295"/>
  <c r="N1296"/>
  <c r="N1297"/>
  <c r="N1298"/>
  <c r="N1299"/>
  <c r="N1300"/>
  <c r="N1301"/>
  <c r="N1302"/>
  <c r="N1303"/>
  <c r="N1304"/>
  <c r="N1305"/>
  <c r="N1306"/>
  <c r="N1307"/>
  <c r="N1308"/>
  <c r="N1309"/>
  <c r="N1310"/>
  <c r="N1311"/>
  <c r="N1312"/>
  <c r="N1313"/>
  <c r="N1314"/>
  <c r="N1315"/>
  <c r="N1316"/>
  <c r="N1317"/>
  <c r="N1318"/>
  <c r="N1319"/>
  <c r="N1320"/>
  <c r="N1321"/>
  <c r="N1322"/>
  <c r="N1323"/>
  <c r="N1324"/>
  <c r="N1325"/>
  <c r="N1326"/>
  <c r="N1327"/>
  <c r="N1328"/>
  <c r="N1329"/>
  <c r="N1330"/>
  <c r="N1331"/>
  <c r="N1332"/>
  <c r="N1333"/>
  <c r="N1334"/>
  <c r="N1335"/>
  <c r="N1336"/>
  <c r="N1337"/>
  <c r="N1338"/>
  <c r="N1339"/>
  <c r="N1340"/>
  <c r="N1341"/>
  <c r="N1342"/>
  <c r="N1343"/>
  <c r="N1344"/>
  <c r="N1345"/>
  <c r="N1346"/>
  <c r="N1347"/>
  <c r="N1348"/>
  <c r="N1349"/>
  <c r="N1350"/>
  <c r="N1351"/>
  <c r="N1352"/>
  <c r="N1353"/>
  <c r="N1354"/>
  <c r="N1355"/>
  <c r="N1356"/>
  <c r="N1357"/>
  <c r="N1358"/>
  <c r="N1359"/>
  <c r="N1360"/>
  <c r="N1361"/>
  <c r="N1362"/>
  <c r="N1363"/>
  <c r="N1364"/>
  <c r="N1365"/>
  <c r="N1366"/>
  <c r="N1367"/>
  <c r="N1368"/>
  <c r="N1369"/>
  <c r="N1370"/>
  <c r="N1371"/>
  <c r="N1372"/>
  <c r="N1373"/>
  <c r="N1374"/>
  <c r="N1375"/>
  <c r="N1376"/>
  <c r="N1377"/>
  <c r="N1378"/>
  <c r="N1379"/>
  <c r="N1380"/>
  <c r="N1381"/>
  <c r="N1382"/>
  <c r="N1383"/>
  <c r="N1384"/>
  <c r="N1385"/>
  <c r="N1386"/>
  <c r="N1387"/>
  <c r="N1388"/>
  <c r="N1389"/>
  <c r="N1390"/>
  <c r="N1391"/>
  <c r="N1392"/>
  <c r="N1393"/>
  <c r="N1394"/>
  <c r="N1395"/>
  <c r="N1396"/>
  <c r="N1397"/>
  <c r="N1398"/>
  <c r="N1399"/>
  <c r="N1400"/>
  <c r="N1401"/>
  <c r="N1402"/>
  <c r="N1403"/>
  <c r="N1404"/>
  <c r="N1405"/>
  <c r="N1406"/>
  <c r="N1407"/>
  <c r="N1408"/>
  <c r="N1409"/>
  <c r="N1410"/>
  <c r="N1411"/>
  <c r="N1412"/>
  <c r="N1413"/>
  <c r="N1414"/>
  <c r="N1415"/>
  <c r="N1416"/>
  <c r="N1417"/>
  <c r="N1418"/>
  <c r="N1419"/>
  <c r="N1420"/>
  <c r="N1421"/>
  <c r="N1422"/>
  <c r="N1423"/>
  <c r="N1424"/>
  <c r="N1425"/>
  <c r="N1426"/>
  <c r="N1427"/>
  <c r="N1428"/>
  <c r="N1429"/>
  <c r="N1430"/>
  <c r="N1431"/>
  <c r="N1432"/>
  <c r="N1433"/>
  <c r="N1434"/>
  <c r="N1435"/>
  <c r="N1436"/>
  <c r="N1437"/>
  <c r="N1438"/>
  <c r="N1439"/>
  <c r="N1440"/>
  <c r="N1441"/>
  <c r="N1442"/>
  <c r="N1443"/>
  <c r="N1444"/>
  <c r="N1445"/>
  <c r="N1446"/>
  <c r="N1447"/>
  <c r="N1448"/>
  <c r="N1449"/>
  <c r="N1450"/>
  <c r="N1451"/>
  <c r="N1452"/>
  <c r="N1453"/>
  <c r="N1454"/>
  <c r="N1455"/>
  <c r="N1456"/>
  <c r="N1457"/>
  <c r="N1458"/>
  <c r="N1459"/>
  <c r="N1460"/>
  <c r="N1461"/>
  <c r="N1462"/>
  <c r="N1463"/>
  <c r="N1464"/>
  <c r="N1465"/>
  <c r="N1466"/>
  <c r="N1467"/>
  <c r="N1468"/>
  <c r="N1469"/>
  <c r="N1470"/>
  <c r="N1471"/>
  <c r="N1472"/>
  <c r="N1473"/>
  <c r="N1474"/>
  <c r="N1475"/>
  <c r="N1476"/>
  <c r="N1477"/>
  <c r="N1478"/>
  <c r="N1479"/>
  <c r="N1480"/>
  <c r="N1481"/>
  <c r="N1482"/>
  <c r="N1483"/>
  <c r="N1484"/>
  <c r="N1485"/>
  <c r="N1486"/>
  <c r="N1487"/>
  <c r="N1488"/>
  <c r="N1489"/>
  <c r="N1490"/>
  <c r="N1491"/>
  <c r="N1492"/>
  <c r="N1493"/>
  <c r="N1494"/>
  <c r="N1495"/>
  <c r="N1496"/>
  <c r="N1497"/>
  <c r="N1498"/>
  <c r="N1499"/>
  <c r="N1500"/>
  <c r="N1501"/>
  <c r="N1502"/>
  <c r="N1503"/>
  <c r="N1504"/>
  <c r="N1505"/>
  <c r="N1506"/>
  <c r="N1507"/>
  <c r="N1508"/>
  <c r="N1509"/>
  <c r="N1510"/>
  <c r="N1511"/>
  <c r="N1512"/>
  <c r="N1513"/>
  <c r="N1514"/>
  <c r="N1515"/>
  <c r="N1516"/>
  <c r="N1517"/>
  <c r="N1518"/>
  <c r="N1519"/>
  <c r="N1520"/>
  <c r="N1521"/>
  <c r="N1522"/>
  <c r="N1523"/>
  <c r="N1524"/>
  <c r="N1525"/>
  <c r="N1526"/>
  <c r="N1527"/>
  <c r="N1528"/>
  <c r="N1529"/>
  <c r="N1530"/>
  <c r="N1531"/>
  <c r="N1532"/>
  <c r="N1533"/>
  <c r="N1534"/>
  <c r="N1535"/>
  <c r="N1536"/>
  <c r="N1537"/>
  <c r="N1538"/>
  <c r="N1539"/>
  <c r="N1540"/>
  <c r="N1541"/>
  <c r="N1542"/>
  <c r="N1543"/>
  <c r="N1544"/>
  <c r="N1545"/>
  <c r="N1546"/>
  <c r="N1547"/>
  <c r="N1548"/>
  <c r="N1549"/>
  <c r="N1550"/>
  <c r="N1551"/>
  <c r="N1552"/>
  <c r="N1553"/>
  <c r="N1554"/>
  <c r="N1555"/>
  <c r="N1556"/>
  <c r="N1557"/>
  <c r="N1558"/>
  <c r="N1559"/>
  <c r="N1560"/>
  <c r="N1561"/>
  <c r="N1562"/>
  <c r="N1563"/>
  <c r="N1564"/>
  <c r="N1565"/>
  <c r="N1566"/>
  <c r="N1567"/>
  <c r="N1568"/>
  <c r="N1569"/>
  <c r="N1570"/>
  <c r="N1571"/>
  <c r="N1572"/>
  <c r="N1573"/>
  <c r="N1574"/>
  <c r="N1575"/>
  <c r="N1576"/>
  <c r="N1577"/>
  <c r="N1578"/>
  <c r="N1579"/>
  <c r="N1580"/>
  <c r="N1581"/>
  <c r="N1582"/>
  <c r="N1583"/>
  <c r="N1584"/>
  <c r="N1585"/>
  <c r="N1586"/>
  <c r="N1587"/>
  <c r="N1588"/>
  <c r="N1589"/>
  <c r="N1590"/>
  <c r="N1591"/>
  <c r="N1592"/>
  <c r="N1593"/>
  <c r="N1594"/>
  <c r="N1595"/>
  <c r="N1596"/>
  <c r="N1597"/>
  <c r="N1598"/>
  <c r="N1599"/>
  <c r="N1600"/>
  <c r="N1601"/>
  <c r="N1602"/>
  <c r="N1603"/>
  <c r="N1604"/>
  <c r="N1605"/>
  <c r="N1606"/>
  <c r="N1607"/>
  <c r="N1608"/>
  <c r="N1609"/>
  <c r="N1610"/>
  <c r="N1611"/>
  <c r="N1612"/>
  <c r="N1613"/>
  <c r="N1614"/>
  <c r="N1615"/>
  <c r="N1616"/>
  <c r="N1617"/>
  <c r="N1618"/>
  <c r="N1619"/>
  <c r="N1620"/>
  <c r="N1621"/>
  <c r="N1622"/>
  <c r="N1623"/>
  <c r="N1624"/>
  <c r="N1625"/>
  <c r="N1626"/>
  <c r="N1627"/>
  <c r="N1628"/>
  <c r="N1629"/>
  <c r="N1630"/>
  <c r="N1631"/>
  <c r="N1632"/>
  <c r="N1633"/>
  <c r="N1634"/>
  <c r="N1635"/>
  <c r="N1636"/>
  <c r="N1637"/>
  <c r="N1638"/>
  <c r="N1639"/>
  <c r="N1640"/>
  <c r="N1641"/>
  <c r="N1642"/>
  <c r="N1643"/>
  <c r="N1644"/>
  <c r="N1645"/>
  <c r="N1646"/>
  <c r="N1647"/>
  <c r="N1648"/>
  <c r="N1649"/>
  <c r="N1650"/>
  <c r="N1651"/>
  <c r="N1652"/>
  <c r="N1653"/>
  <c r="N1654"/>
  <c r="N1655"/>
  <c r="N1656"/>
  <c r="N1657"/>
  <c r="N1658"/>
  <c r="N1659"/>
  <c r="N1660"/>
  <c r="N1661"/>
  <c r="N1662"/>
  <c r="N1663"/>
  <c r="N1664"/>
  <c r="N1665"/>
  <c r="N1666"/>
  <c r="N1667"/>
  <c r="N1668"/>
  <c r="N1669"/>
  <c r="N1670"/>
  <c r="N1671"/>
  <c r="N1672"/>
  <c r="N1673"/>
  <c r="N1674"/>
  <c r="N1675"/>
  <c r="N1676"/>
  <c r="N1677"/>
  <c r="N1678"/>
  <c r="N1679"/>
  <c r="N1680"/>
  <c r="N1681"/>
  <c r="N1682"/>
  <c r="N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516"/>
  <c r="M517"/>
  <c r="M518"/>
  <c r="M519"/>
  <c r="M520"/>
  <c r="M521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43"/>
  <c r="M544"/>
  <c r="M545"/>
  <c r="M546"/>
  <c r="M547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M576"/>
  <c r="M577"/>
  <c r="M578"/>
  <c r="M579"/>
  <c r="M580"/>
  <c r="M581"/>
  <c r="M582"/>
  <c r="M583"/>
  <c r="M584"/>
  <c r="M585"/>
  <c r="M586"/>
  <c r="M587"/>
  <c r="M588"/>
  <c r="M589"/>
  <c r="M590"/>
  <c r="M591"/>
  <c r="M592"/>
  <c r="M593"/>
  <c r="M594"/>
  <c r="M595"/>
  <c r="M596"/>
  <c r="M597"/>
  <c r="M598"/>
  <c r="M599"/>
  <c r="M600"/>
  <c r="M601"/>
  <c r="M602"/>
  <c r="M603"/>
  <c r="M604"/>
  <c r="M605"/>
  <c r="M606"/>
  <c r="M607"/>
  <c r="M608"/>
  <c r="M609"/>
  <c r="M610"/>
  <c r="M611"/>
  <c r="M612"/>
  <c r="M613"/>
  <c r="M614"/>
  <c r="M615"/>
  <c r="M616"/>
  <c r="M617"/>
  <c r="M618"/>
  <c r="M619"/>
  <c r="M620"/>
  <c r="M621"/>
  <c r="M622"/>
  <c r="M623"/>
  <c r="M624"/>
  <c r="M625"/>
  <c r="M626"/>
  <c r="M627"/>
  <c r="M628"/>
  <c r="M629"/>
  <c r="M630"/>
  <c r="M631"/>
  <c r="M632"/>
  <c r="M633"/>
  <c r="M634"/>
  <c r="M635"/>
  <c r="M636"/>
  <c r="M637"/>
  <c r="M638"/>
  <c r="M639"/>
  <c r="M640"/>
  <c r="M641"/>
  <c r="M642"/>
  <c r="M643"/>
  <c r="M644"/>
  <c r="M645"/>
  <c r="M646"/>
  <c r="M647"/>
  <c r="M648"/>
  <c r="M649"/>
  <c r="M650"/>
  <c r="M651"/>
  <c r="M652"/>
  <c r="M653"/>
  <c r="M654"/>
  <c r="M655"/>
  <c r="M656"/>
  <c r="M657"/>
  <c r="M658"/>
  <c r="M659"/>
  <c r="M660"/>
  <c r="M661"/>
  <c r="M662"/>
  <c r="M663"/>
  <c r="M664"/>
  <c r="M665"/>
  <c r="M666"/>
  <c r="M667"/>
  <c r="M668"/>
  <c r="M669"/>
  <c r="M670"/>
  <c r="M671"/>
  <c r="M672"/>
  <c r="M673"/>
  <c r="M674"/>
  <c r="M675"/>
  <c r="M676"/>
  <c r="M677"/>
  <c r="M678"/>
  <c r="M679"/>
  <c r="M680"/>
  <c r="M681"/>
  <c r="M682"/>
  <c r="M683"/>
  <c r="M684"/>
  <c r="M685"/>
  <c r="M686"/>
  <c r="M687"/>
  <c r="M688"/>
  <c r="M689"/>
  <c r="M690"/>
  <c r="M691"/>
  <c r="M692"/>
  <c r="M693"/>
  <c r="M694"/>
  <c r="M695"/>
  <c r="M696"/>
  <c r="M697"/>
  <c r="M698"/>
  <c r="M699"/>
  <c r="M700"/>
  <c r="M701"/>
  <c r="M702"/>
  <c r="M703"/>
  <c r="M704"/>
  <c r="M705"/>
  <c r="M706"/>
  <c r="M707"/>
  <c r="M708"/>
  <c r="M709"/>
  <c r="M710"/>
  <c r="M711"/>
  <c r="M712"/>
  <c r="M713"/>
  <c r="M714"/>
  <c r="M715"/>
  <c r="M716"/>
  <c r="M717"/>
  <c r="M718"/>
  <c r="M719"/>
  <c r="M720"/>
  <c r="M721"/>
  <c r="M722"/>
  <c r="M723"/>
  <c r="M724"/>
  <c r="M725"/>
  <c r="M726"/>
  <c r="M727"/>
  <c r="M728"/>
  <c r="M729"/>
  <c r="M730"/>
  <c r="M731"/>
  <c r="M732"/>
  <c r="M733"/>
  <c r="M734"/>
  <c r="M735"/>
  <c r="M736"/>
  <c r="M737"/>
  <c r="M738"/>
  <c r="M739"/>
  <c r="M740"/>
  <c r="M741"/>
  <c r="M742"/>
  <c r="M743"/>
  <c r="M744"/>
  <c r="M745"/>
  <c r="M746"/>
  <c r="M747"/>
  <c r="M748"/>
  <c r="M749"/>
  <c r="M750"/>
  <c r="M751"/>
  <c r="M752"/>
  <c r="M753"/>
  <c r="M754"/>
  <c r="M755"/>
  <c r="M756"/>
  <c r="M757"/>
  <c r="M758"/>
  <c r="M759"/>
  <c r="M760"/>
  <c r="M761"/>
  <c r="M762"/>
  <c r="M763"/>
  <c r="M764"/>
  <c r="M765"/>
  <c r="M766"/>
  <c r="M767"/>
  <c r="M768"/>
  <c r="M769"/>
  <c r="M770"/>
  <c r="M771"/>
  <c r="M772"/>
  <c r="M773"/>
  <c r="M774"/>
  <c r="M775"/>
  <c r="M776"/>
  <c r="M777"/>
  <c r="M778"/>
  <c r="M779"/>
  <c r="M780"/>
  <c r="M781"/>
  <c r="M782"/>
  <c r="M783"/>
  <c r="M784"/>
  <c r="M785"/>
  <c r="M786"/>
  <c r="M787"/>
  <c r="M788"/>
  <c r="M789"/>
  <c r="M790"/>
  <c r="M791"/>
  <c r="M792"/>
  <c r="M793"/>
  <c r="M794"/>
  <c r="M795"/>
  <c r="M796"/>
  <c r="M797"/>
  <c r="M798"/>
  <c r="M799"/>
  <c r="M800"/>
  <c r="M801"/>
  <c r="M802"/>
  <c r="M803"/>
  <c r="M804"/>
  <c r="M805"/>
  <c r="M806"/>
  <c r="M807"/>
  <c r="M808"/>
  <c r="M809"/>
  <c r="M810"/>
  <c r="M811"/>
  <c r="M812"/>
  <c r="M813"/>
  <c r="M814"/>
  <c r="M815"/>
  <c r="M816"/>
  <c r="M817"/>
  <c r="M818"/>
  <c r="M819"/>
  <c r="M820"/>
  <c r="M821"/>
  <c r="M822"/>
  <c r="M823"/>
  <c r="M824"/>
  <c r="M825"/>
  <c r="M826"/>
  <c r="M827"/>
  <c r="M828"/>
  <c r="M829"/>
  <c r="M830"/>
  <c r="M831"/>
  <c r="M832"/>
  <c r="M833"/>
  <c r="M834"/>
  <c r="M835"/>
  <c r="M836"/>
  <c r="M837"/>
  <c r="M838"/>
  <c r="M839"/>
  <c r="M840"/>
  <c r="M841"/>
  <c r="M842"/>
  <c r="M843"/>
  <c r="M844"/>
  <c r="M845"/>
  <c r="M846"/>
  <c r="M847"/>
  <c r="M848"/>
  <c r="M849"/>
  <c r="M850"/>
  <c r="M851"/>
  <c r="M852"/>
  <c r="M853"/>
  <c r="M854"/>
  <c r="M855"/>
  <c r="M856"/>
  <c r="M857"/>
  <c r="M858"/>
  <c r="M859"/>
  <c r="M860"/>
  <c r="M861"/>
  <c r="M862"/>
  <c r="M863"/>
  <c r="M864"/>
  <c r="M865"/>
  <c r="M866"/>
  <c r="M867"/>
  <c r="M868"/>
  <c r="M869"/>
  <c r="M870"/>
  <c r="M871"/>
  <c r="M872"/>
  <c r="M873"/>
  <c r="M874"/>
  <c r="M875"/>
  <c r="M876"/>
  <c r="M877"/>
  <c r="M878"/>
  <c r="M879"/>
  <c r="M880"/>
  <c r="M881"/>
  <c r="M882"/>
  <c r="M883"/>
  <c r="M884"/>
  <c r="M885"/>
  <c r="M886"/>
  <c r="M887"/>
  <c r="M888"/>
  <c r="M889"/>
  <c r="M890"/>
  <c r="M891"/>
  <c r="M892"/>
  <c r="M893"/>
  <c r="M894"/>
  <c r="M895"/>
  <c r="M896"/>
  <c r="M897"/>
  <c r="M898"/>
  <c r="M899"/>
  <c r="M900"/>
  <c r="M901"/>
  <c r="M902"/>
  <c r="M903"/>
  <c r="M904"/>
  <c r="M905"/>
  <c r="M906"/>
  <c r="M907"/>
  <c r="M908"/>
  <c r="M909"/>
  <c r="M910"/>
  <c r="M911"/>
  <c r="M912"/>
  <c r="M913"/>
  <c r="M914"/>
  <c r="M915"/>
  <c r="M916"/>
  <c r="M917"/>
  <c r="M918"/>
  <c r="M919"/>
  <c r="M920"/>
  <c r="M921"/>
  <c r="M922"/>
  <c r="M923"/>
  <c r="M924"/>
  <c r="M925"/>
  <c r="M926"/>
  <c r="M927"/>
  <c r="M928"/>
  <c r="M929"/>
  <c r="M930"/>
  <c r="M931"/>
  <c r="M932"/>
  <c r="M933"/>
  <c r="M934"/>
  <c r="M935"/>
  <c r="M936"/>
  <c r="M937"/>
  <c r="M938"/>
  <c r="M939"/>
  <c r="M940"/>
  <c r="M941"/>
  <c r="M942"/>
  <c r="M943"/>
  <c r="M944"/>
  <c r="M945"/>
  <c r="M946"/>
  <c r="M947"/>
  <c r="M948"/>
  <c r="M949"/>
  <c r="M950"/>
  <c r="M951"/>
  <c r="M952"/>
  <c r="M953"/>
  <c r="M954"/>
  <c r="M955"/>
  <c r="M956"/>
  <c r="M957"/>
  <c r="M958"/>
  <c r="M959"/>
  <c r="M960"/>
  <c r="M961"/>
  <c r="M962"/>
  <c r="M963"/>
  <c r="M964"/>
  <c r="M965"/>
  <c r="M966"/>
  <c r="M967"/>
  <c r="M968"/>
  <c r="M969"/>
  <c r="M970"/>
  <c r="M971"/>
  <c r="M972"/>
  <c r="M973"/>
  <c r="M974"/>
  <c r="M975"/>
  <c r="M976"/>
  <c r="M977"/>
  <c r="M978"/>
  <c r="M979"/>
  <c r="M980"/>
  <c r="M981"/>
  <c r="M982"/>
  <c r="M983"/>
  <c r="M984"/>
  <c r="M985"/>
  <c r="M986"/>
  <c r="M987"/>
  <c r="M988"/>
  <c r="M989"/>
  <c r="M990"/>
  <c r="M991"/>
  <c r="M992"/>
  <c r="M993"/>
  <c r="M994"/>
  <c r="M995"/>
  <c r="M996"/>
  <c r="M997"/>
  <c r="M998"/>
  <c r="M999"/>
  <c r="M1000"/>
  <c r="M1001"/>
  <c r="M1002"/>
  <c r="M1003"/>
  <c r="M1004"/>
  <c r="M1005"/>
  <c r="M1006"/>
  <c r="M1007"/>
  <c r="M1008"/>
  <c r="M1009"/>
  <c r="M1010"/>
  <c r="M1011"/>
  <c r="M1012"/>
  <c r="M1013"/>
  <c r="M1014"/>
  <c r="M1015"/>
  <c r="M1016"/>
  <c r="M1017"/>
  <c r="M1018"/>
  <c r="M1019"/>
  <c r="M1020"/>
  <c r="M1021"/>
  <c r="M1022"/>
  <c r="M1023"/>
  <c r="M1024"/>
  <c r="M1025"/>
  <c r="M1026"/>
  <c r="M1027"/>
  <c r="M1028"/>
  <c r="M1029"/>
  <c r="M1030"/>
  <c r="M1031"/>
  <c r="M1032"/>
  <c r="M1033"/>
  <c r="M1034"/>
  <c r="M1035"/>
  <c r="M1036"/>
  <c r="M1037"/>
  <c r="M1038"/>
  <c r="M1039"/>
  <c r="M1040"/>
  <c r="M1041"/>
  <c r="M1042"/>
  <c r="M1043"/>
  <c r="M1044"/>
  <c r="M1045"/>
  <c r="M1046"/>
  <c r="M1047"/>
  <c r="M1048"/>
  <c r="M1049"/>
  <c r="M1050"/>
  <c r="M1051"/>
  <c r="M1052"/>
  <c r="M1053"/>
  <c r="M1054"/>
  <c r="M1055"/>
  <c r="M1056"/>
  <c r="M1057"/>
  <c r="M1058"/>
  <c r="M1059"/>
  <c r="M1060"/>
  <c r="M1061"/>
  <c r="M1062"/>
  <c r="M1063"/>
  <c r="M1064"/>
  <c r="M1065"/>
  <c r="M1066"/>
  <c r="M1067"/>
  <c r="M1068"/>
  <c r="M1069"/>
  <c r="M1070"/>
  <c r="M1071"/>
  <c r="M1072"/>
  <c r="M1073"/>
  <c r="M1074"/>
  <c r="M1075"/>
  <c r="M1076"/>
  <c r="M1077"/>
  <c r="M1078"/>
  <c r="M1079"/>
  <c r="M1080"/>
  <c r="M1081"/>
  <c r="M1082"/>
  <c r="M1083"/>
  <c r="M1084"/>
  <c r="M1085"/>
  <c r="M1086"/>
  <c r="M1087"/>
  <c r="M1088"/>
  <c r="M1089"/>
  <c r="M1090"/>
  <c r="M1091"/>
  <c r="M1092"/>
  <c r="M1093"/>
  <c r="M1094"/>
  <c r="M1095"/>
  <c r="M1096"/>
  <c r="M1097"/>
  <c r="M1098"/>
  <c r="M1099"/>
  <c r="M1100"/>
  <c r="M1101"/>
  <c r="M1102"/>
  <c r="M1103"/>
  <c r="M1104"/>
  <c r="M1105"/>
  <c r="M1106"/>
  <c r="M1107"/>
  <c r="M1108"/>
  <c r="M1109"/>
  <c r="M1110"/>
  <c r="M1111"/>
  <c r="M1112"/>
  <c r="M1113"/>
  <c r="M1114"/>
  <c r="M1115"/>
  <c r="M1116"/>
  <c r="M1117"/>
  <c r="M1118"/>
  <c r="M1119"/>
  <c r="M1120"/>
  <c r="M1121"/>
  <c r="M1122"/>
  <c r="M1123"/>
  <c r="M1124"/>
  <c r="M1125"/>
  <c r="M1126"/>
  <c r="M1127"/>
  <c r="M1128"/>
  <c r="M1129"/>
  <c r="M1130"/>
  <c r="M1131"/>
  <c r="M1132"/>
  <c r="M1133"/>
  <c r="M1134"/>
  <c r="M1135"/>
  <c r="M1136"/>
  <c r="M1137"/>
  <c r="M1138"/>
  <c r="M1139"/>
  <c r="M1140"/>
  <c r="M1141"/>
  <c r="M1142"/>
  <c r="M1143"/>
  <c r="M1144"/>
  <c r="M1145"/>
  <c r="M1146"/>
  <c r="M1147"/>
  <c r="M1148"/>
  <c r="M1149"/>
  <c r="M1150"/>
  <c r="M1151"/>
  <c r="M1152"/>
  <c r="M1153"/>
  <c r="M1154"/>
  <c r="M1155"/>
  <c r="M1156"/>
  <c r="M1157"/>
  <c r="M1158"/>
  <c r="M1159"/>
  <c r="M1160"/>
  <c r="M1161"/>
  <c r="M1162"/>
  <c r="M1163"/>
  <c r="M1164"/>
  <c r="M1165"/>
  <c r="M1166"/>
  <c r="M1167"/>
  <c r="M1168"/>
  <c r="M1169"/>
  <c r="M1170"/>
  <c r="M1171"/>
  <c r="M1172"/>
  <c r="M1173"/>
  <c r="M1174"/>
  <c r="M1175"/>
  <c r="M1176"/>
  <c r="M1177"/>
  <c r="M1178"/>
  <c r="M1179"/>
  <c r="M1180"/>
  <c r="M1181"/>
  <c r="M1182"/>
  <c r="M1183"/>
  <c r="M1184"/>
  <c r="M1185"/>
  <c r="M1186"/>
  <c r="M1187"/>
  <c r="M1188"/>
  <c r="M1189"/>
  <c r="M1190"/>
  <c r="M1191"/>
  <c r="M1192"/>
  <c r="M1193"/>
  <c r="M1194"/>
  <c r="M1195"/>
  <c r="M1196"/>
  <c r="M1197"/>
  <c r="M1198"/>
  <c r="M1199"/>
  <c r="M1200"/>
  <c r="M1201"/>
  <c r="M1202"/>
  <c r="M1203"/>
  <c r="M1204"/>
  <c r="M1205"/>
  <c r="M1206"/>
  <c r="M1207"/>
  <c r="M1208"/>
  <c r="M1209"/>
  <c r="M1210"/>
  <c r="M1211"/>
  <c r="M1212"/>
  <c r="M1213"/>
  <c r="M1214"/>
  <c r="M1215"/>
  <c r="M1216"/>
  <c r="M1217"/>
  <c r="M1218"/>
  <c r="M1219"/>
  <c r="M1220"/>
  <c r="M1221"/>
  <c r="M1222"/>
  <c r="M1223"/>
  <c r="M1224"/>
  <c r="M1225"/>
  <c r="M1226"/>
  <c r="M1227"/>
  <c r="M1228"/>
  <c r="M1229"/>
  <c r="M1230"/>
  <c r="M1231"/>
  <c r="M1232"/>
  <c r="M1233"/>
  <c r="M1234"/>
  <c r="M1235"/>
  <c r="M1236"/>
  <c r="M1237"/>
  <c r="M1238"/>
  <c r="M1239"/>
  <c r="M1240"/>
  <c r="M1241"/>
  <c r="M1242"/>
  <c r="M1243"/>
  <c r="M1244"/>
  <c r="M1245"/>
  <c r="M1246"/>
  <c r="M1247"/>
  <c r="M1248"/>
  <c r="M1249"/>
  <c r="M1250"/>
  <c r="M1251"/>
  <c r="M1252"/>
  <c r="M1253"/>
  <c r="M1254"/>
  <c r="M1255"/>
  <c r="M1256"/>
  <c r="M1257"/>
  <c r="M1258"/>
  <c r="M1259"/>
  <c r="M1260"/>
  <c r="M1261"/>
  <c r="M1262"/>
  <c r="M1263"/>
  <c r="M1264"/>
  <c r="M1265"/>
  <c r="M1266"/>
  <c r="M1267"/>
  <c r="M1268"/>
  <c r="M1269"/>
  <c r="M1270"/>
  <c r="M1271"/>
  <c r="M1272"/>
  <c r="M1273"/>
  <c r="M1274"/>
  <c r="M1275"/>
  <c r="M1276"/>
  <c r="M1277"/>
  <c r="M1278"/>
  <c r="M1279"/>
  <c r="M1280"/>
  <c r="M1281"/>
  <c r="M1282"/>
  <c r="M1283"/>
  <c r="M1284"/>
  <c r="M1285"/>
  <c r="M1286"/>
  <c r="M1287"/>
  <c r="M1288"/>
  <c r="M1289"/>
  <c r="M1290"/>
  <c r="M1291"/>
  <c r="M1292"/>
  <c r="M1293"/>
  <c r="M1294"/>
  <c r="M1295"/>
  <c r="M1296"/>
  <c r="M1297"/>
  <c r="M1298"/>
  <c r="M1299"/>
  <c r="M1300"/>
  <c r="M1301"/>
  <c r="M1302"/>
  <c r="M1303"/>
  <c r="M1304"/>
  <c r="M1305"/>
  <c r="M1306"/>
  <c r="M1307"/>
  <c r="M1308"/>
  <c r="M1309"/>
  <c r="M1310"/>
  <c r="M1311"/>
  <c r="M1312"/>
  <c r="M1313"/>
  <c r="M1314"/>
  <c r="M1315"/>
  <c r="M1316"/>
  <c r="M1317"/>
  <c r="M1318"/>
  <c r="M1319"/>
  <c r="M1320"/>
  <c r="M1321"/>
  <c r="M1322"/>
  <c r="M1323"/>
  <c r="M1324"/>
  <c r="M1325"/>
  <c r="M1326"/>
  <c r="M1327"/>
  <c r="M1328"/>
  <c r="M1329"/>
  <c r="M1330"/>
  <c r="M1331"/>
  <c r="M1332"/>
  <c r="M1333"/>
  <c r="M1334"/>
  <c r="M1335"/>
  <c r="M1336"/>
  <c r="M1337"/>
  <c r="M1338"/>
  <c r="M1339"/>
  <c r="M1340"/>
  <c r="M1341"/>
  <c r="M1342"/>
  <c r="M1343"/>
  <c r="M1344"/>
  <c r="M1345"/>
  <c r="M1346"/>
  <c r="M1347"/>
  <c r="M1348"/>
  <c r="M1349"/>
  <c r="M1350"/>
  <c r="M1351"/>
  <c r="M1352"/>
  <c r="M1353"/>
  <c r="M1354"/>
  <c r="M1355"/>
  <c r="M1356"/>
  <c r="M1357"/>
  <c r="M1358"/>
  <c r="M1359"/>
  <c r="M1360"/>
  <c r="M1361"/>
  <c r="M1362"/>
  <c r="M1363"/>
  <c r="M1364"/>
  <c r="M1365"/>
  <c r="M1366"/>
  <c r="M1367"/>
  <c r="M1368"/>
  <c r="M1369"/>
  <c r="M1370"/>
  <c r="M1371"/>
  <c r="M1372"/>
  <c r="M1373"/>
  <c r="M1374"/>
  <c r="M1375"/>
  <c r="M1376"/>
  <c r="M1377"/>
  <c r="M1378"/>
  <c r="M1379"/>
  <c r="M1380"/>
  <c r="M1381"/>
  <c r="M1382"/>
  <c r="M1383"/>
  <c r="M1384"/>
  <c r="M1385"/>
  <c r="M1386"/>
  <c r="M1387"/>
  <c r="M1388"/>
  <c r="M1389"/>
  <c r="M1390"/>
  <c r="M1391"/>
  <c r="M1392"/>
  <c r="M1393"/>
  <c r="M1394"/>
  <c r="M1395"/>
  <c r="M1396"/>
  <c r="M1397"/>
  <c r="M1398"/>
  <c r="M1399"/>
  <c r="M1400"/>
  <c r="M1401"/>
  <c r="M1402"/>
  <c r="M1403"/>
  <c r="M1404"/>
  <c r="M1405"/>
  <c r="M1406"/>
  <c r="M1407"/>
  <c r="M1408"/>
  <c r="M1409"/>
  <c r="M1410"/>
  <c r="M1411"/>
  <c r="M1412"/>
  <c r="M1413"/>
  <c r="M1414"/>
  <c r="M1415"/>
  <c r="M1416"/>
  <c r="M1417"/>
  <c r="M1418"/>
  <c r="M1419"/>
  <c r="M1420"/>
  <c r="M1421"/>
  <c r="M1422"/>
  <c r="M1423"/>
  <c r="M1424"/>
  <c r="M1425"/>
  <c r="M1426"/>
  <c r="M1427"/>
  <c r="M1428"/>
  <c r="M1429"/>
  <c r="M1430"/>
  <c r="M1431"/>
  <c r="M1432"/>
  <c r="M1433"/>
  <c r="M1434"/>
  <c r="M1435"/>
  <c r="M1436"/>
  <c r="M1437"/>
  <c r="M1438"/>
  <c r="M1439"/>
  <c r="M1440"/>
  <c r="M1441"/>
  <c r="M1442"/>
  <c r="M1443"/>
  <c r="M1444"/>
  <c r="M1445"/>
  <c r="M1446"/>
  <c r="M1447"/>
  <c r="M1448"/>
  <c r="M1449"/>
  <c r="M1450"/>
  <c r="M1451"/>
  <c r="M1452"/>
  <c r="M1453"/>
  <c r="M1454"/>
  <c r="M1455"/>
  <c r="M1456"/>
  <c r="M1457"/>
  <c r="M1458"/>
  <c r="M1459"/>
  <c r="M1460"/>
  <c r="M1461"/>
  <c r="M1462"/>
  <c r="M1463"/>
  <c r="M1464"/>
  <c r="M1465"/>
  <c r="M1466"/>
  <c r="M1467"/>
  <c r="M1468"/>
  <c r="M1469"/>
  <c r="M1470"/>
  <c r="M1471"/>
  <c r="M1472"/>
  <c r="M1473"/>
  <c r="M1474"/>
  <c r="M1475"/>
  <c r="M1476"/>
  <c r="M1477"/>
  <c r="M1478"/>
  <c r="M1479"/>
  <c r="M1480"/>
  <c r="M1481"/>
  <c r="M1482"/>
  <c r="M1483"/>
  <c r="M1484"/>
  <c r="M1485"/>
  <c r="M1486"/>
  <c r="M1487"/>
  <c r="M1488"/>
  <c r="M1489"/>
  <c r="M1490"/>
  <c r="M1491"/>
  <c r="M1492"/>
  <c r="M1493"/>
  <c r="M1494"/>
  <c r="M1495"/>
  <c r="M1496"/>
  <c r="M1497"/>
  <c r="M1498"/>
  <c r="M1499"/>
  <c r="M1500"/>
  <c r="M1501"/>
  <c r="M1502"/>
  <c r="M1503"/>
  <c r="M1504"/>
  <c r="M1505"/>
  <c r="M1506"/>
  <c r="M1507"/>
  <c r="M1508"/>
  <c r="M1509"/>
  <c r="M1510"/>
  <c r="M1511"/>
  <c r="M1512"/>
  <c r="M1513"/>
  <c r="M1514"/>
  <c r="M1515"/>
  <c r="M1516"/>
  <c r="M1517"/>
  <c r="M1518"/>
  <c r="M1519"/>
  <c r="M1520"/>
  <c r="M1521"/>
  <c r="M1522"/>
  <c r="M1523"/>
  <c r="M1524"/>
  <c r="M1525"/>
  <c r="M1526"/>
  <c r="M1527"/>
  <c r="M1528"/>
  <c r="M1529"/>
  <c r="M1530"/>
  <c r="M1531"/>
  <c r="M1532"/>
  <c r="M1533"/>
  <c r="M1534"/>
  <c r="M1535"/>
  <c r="M1536"/>
  <c r="M1537"/>
  <c r="M1538"/>
  <c r="M1539"/>
  <c r="M1540"/>
  <c r="M1541"/>
  <c r="M1542"/>
  <c r="M1543"/>
  <c r="M1544"/>
  <c r="M1545"/>
  <c r="M1546"/>
  <c r="M1547"/>
  <c r="M1548"/>
  <c r="M1549"/>
  <c r="M1550"/>
  <c r="M1551"/>
  <c r="M1552"/>
  <c r="M1553"/>
  <c r="M1554"/>
  <c r="M1555"/>
  <c r="M1556"/>
  <c r="M1557"/>
  <c r="M1558"/>
  <c r="M1559"/>
  <c r="M1560"/>
  <c r="M1561"/>
  <c r="M1562"/>
  <c r="M1563"/>
  <c r="M1564"/>
  <c r="M1565"/>
  <c r="M1566"/>
  <c r="M1567"/>
  <c r="M1568"/>
  <c r="M1569"/>
  <c r="M1570"/>
  <c r="M1571"/>
  <c r="M1572"/>
  <c r="M1573"/>
  <c r="M1574"/>
  <c r="M1575"/>
  <c r="M1576"/>
  <c r="M1577"/>
  <c r="M1578"/>
  <c r="M1579"/>
  <c r="M1580"/>
  <c r="M1581"/>
  <c r="M1582"/>
  <c r="M1583"/>
  <c r="M1584"/>
  <c r="M1585"/>
  <c r="M1586"/>
  <c r="M1587"/>
  <c r="M1588"/>
  <c r="M1589"/>
  <c r="M1590"/>
  <c r="M1591"/>
  <c r="M1592"/>
  <c r="M1593"/>
  <c r="M1594"/>
  <c r="M1595"/>
  <c r="M1596"/>
  <c r="M1597"/>
  <c r="M1598"/>
  <c r="M1599"/>
  <c r="M1600"/>
  <c r="M1601"/>
  <c r="M1602"/>
  <c r="M1603"/>
  <c r="M1604"/>
  <c r="M1605"/>
  <c r="M1606"/>
  <c r="M1607"/>
  <c r="M1608"/>
  <c r="M1609"/>
  <c r="M1610"/>
  <c r="M1611"/>
  <c r="M1612"/>
  <c r="M1613"/>
  <c r="M1614"/>
  <c r="M1615"/>
  <c r="M1616"/>
  <c r="M1617"/>
  <c r="M1618"/>
  <c r="M1619"/>
  <c r="M1620"/>
  <c r="M1621"/>
  <c r="M1622"/>
  <c r="M1623"/>
  <c r="M1624"/>
  <c r="M1625"/>
  <c r="M1626"/>
  <c r="M1627"/>
  <c r="M1628"/>
  <c r="M1629"/>
  <c r="M1630"/>
  <c r="M1631"/>
  <c r="M1632"/>
  <c r="M1633"/>
  <c r="M1634"/>
  <c r="M1635"/>
  <c r="M1636"/>
  <c r="M1637"/>
  <c r="M1638"/>
  <c r="M1639"/>
  <c r="M1640"/>
  <c r="M1641"/>
  <c r="M1642"/>
  <c r="M1643"/>
  <c r="M1644"/>
  <c r="M1645"/>
  <c r="M1646"/>
  <c r="M1647"/>
  <c r="M1648"/>
  <c r="M1649"/>
  <c r="M1650"/>
  <c r="M1651"/>
  <c r="M1652"/>
  <c r="M1653"/>
  <c r="M1654"/>
  <c r="M1655"/>
  <c r="M1656"/>
  <c r="M1657"/>
  <c r="M1658"/>
  <c r="M1659"/>
  <c r="M1660"/>
  <c r="M1661"/>
  <c r="M1662"/>
  <c r="M1663"/>
  <c r="M1664"/>
  <c r="M1665"/>
  <c r="M1666"/>
  <c r="M1667"/>
  <c r="M1668"/>
  <c r="M1669"/>
  <c r="M1670"/>
  <c r="M1671"/>
  <c r="M1672"/>
  <c r="M1673"/>
  <c r="M1674"/>
  <c r="M1675"/>
  <c r="M1676"/>
  <c r="M1677"/>
  <c r="M1678"/>
  <c r="M1679"/>
  <c r="M1680"/>
  <c r="M1681"/>
  <c r="M1682"/>
  <c r="M5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1515"/>
  <c r="H1516"/>
  <c r="H1517"/>
  <c r="H1518"/>
  <c r="H1519"/>
  <c r="H1520"/>
  <c r="H1521"/>
  <c r="H1522"/>
  <c r="H1523"/>
  <c r="H1524"/>
  <c r="H1525"/>
  <c r="H1526"/>
  <c r="H1527"/>
  <c r="H1528"/>
  <c r="H1529"/>
  <c r="H1530"/>
  <c r="H1531"/>
  <c r="H1532"/>
  <c r="H1533"/>
  <c r="H1534"/>
  <c r="H1535"/>
  <c r="H1536"/>
  <c r="H1537"/>
  <c r="H1538"/>
  <c r="H1539"/>
  <c r="H1540"/>
  <c r="H1541"/>
  <c r="H1542"/>
  <c r="H1543"/>
  <c r="H1544"/>
  <c r="H1545"/>
  <c r="H1546"/>
  <c r="H1547"/>
  <c r="H1548"/>
  <c r="H1549"/>
  <c r="H1550"/>
  <c r="H1551"/>
  <c r="H1552"/>
  <c r="H1553"/>
  <c r="H1554"/>
  <c r="H1555"/>
  <c r="H1556"/>
  <c r="H1557"/>
  <c r="H1558"/>
  <c r="H1559"/>
  <c r="H1560"/>
  <c r="H1561"/>
  <c r="H1562"/>
  <c r="H1563"/>
  <c r="H1564"/>
  <c r="H1565"/>
  <c r="H1566"/>
  <c r="H1567"/>
  <c r="H1568"/>
  <c r="H1569"/>
  <c r="H1570"/>
  <c r="H1571"/>
  <c r="H1572"/>
  <c r="H1573"/>
  <c r="H1574"/>
  <c r="H1575"/>
  <c r="H1576"/>
  <c r="H1577"/>
  <c r="H1578"/>
  <c r="H1579"/>
  <c r="H1580"/>
  <c r="H1581"/>
  <c r="H1582"/>
  <c r="H1583"/>
  <c r="H1584"/>
  <c r="H1585"/>
  <c r="H1586"/>
  <c r="H1587"/>
  <c r="H1588"/>
  <c r="H1589"/>
  <c r="H1590"/>
  <c r="H1591"/>
  <c r="H1592"/>
  <c r="H1593"/>
  <c r="H1594"/>
  <c r="H1595"/>
  <c r="H1596"/>
  <c r="H1597"/>
  <c r="H1598"/>
  <c r="H1599"/>
  <c r="H1600"/>
  <c r="H1601"/>
  <c r="H1602"/>
  <c r="H1603"/>
  <c r="H1604"/>
  <c r="H1605"/>
  <c r="H1606"/>
  <c r="H1607"/>
  <c r="H1608"/>
  <c r="H1609"/>
  <c r="H1610"/>
  <c r="H1611"/>
  <c r="H1612"/>
  <c r="H1613"/>
  <c r="H1614"/>
  <c r="H1615"/>
  <c r="H1616"/>
  <c r="H1617"/>
  <c r="H1618"/>
  <c r="H1619"/>
  <c r="H1620"/>
  <c r="H1621"/>
  <c r="H1622"/>
  <c r="H1623"/>
  <c r="H1624"/>
  <c r="H1625"/>
  <c r="H1626"/>
  <c r="H1627"/>
  <c r="H1628"/>
  <c r="H1629"/>
  <c r="H1630"/>
  <c r="H1631"/>
  <c r="H1632"/>
  <c r="H1633"/>
  <c r="H1634"/>
  <c r="H1635"/>
  <c r="H1636"/>
  <c r="H1637"/>
  <c r="H1638"/>
  <c r="H1639"/>
  <c r="H1640"/>
  <c r="H1641"/>
  <c r="H1642"/>
  <c r="H1643"/>
  <c r="H1644"/>
  <c r="H1645"/>
  <c r="H1646"/>
  <c r="H1647"/>
  <c r="H1648"/>
  <c r="H1649"/>
  <c r="H1650"/>
  <c r="H1651"/>
  <c r="H1652"/>
  <c r="H1653"/>
  <c r="H1654"/>
  <c r="H1655"/>
  <c r="H1656"/>
  <c r="H1657"/>
  <c r="H1658"/>
  <c r="H1659"/>
  <c r="H1660"/>
  <c r="H1661"/>
  <c r="H1662"/>
  <c r="H1663"/>
  <c r="H1664"/>
  <c r="H1665"/>
  <c r="H1666"/>
  <c r="H1667"/>
  <c r="H1668"/>
  <c r="H1669"/>
  <c r="H1670"/>
  <c r="H1671"/>
  <c r="H1672"/>
  <c r="H1673"/>
  <c r="H1674"/>
  <c r="H1675"/>
  <c r="H1676"/>
  <c r="H1677"/>
  <c r="H1678"/>
  <c r="H1679"/>
  <c r="H1680"/>
  <c r="H1681"/>
  <c r="H1682"/>
  <c r="H3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1001"/>
  <c r="G1002"/>
  <c r="G1003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42"/>
  <c r="G1043"/>
  <c r="G1044"/>
  <c r="G1045"/>
  <c r="G1046"/>
  <c r="G1047"/>
  <c r="G1048"/>
  <c r="G1049"/>
  <c r="G1050"/>
  <c r="G1051"/>
  <c r="G1052"/>
  <c r="G1053"/>
  <c r="G1054"/>
  <c r="G1055"/>
  <c r="G1056"/>
  <c r="G1057"/>
  <c r="G1058"/>
  <c r="G1059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081"/>
  <c r="G1082"/>
  <c r="G1083"/>
  <c r="G1084"/>
  <c r="G1085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1123"/>
  <c r="G1124"/>
  <c r="G1125"/>
  <c r="G1126"/>
  <c r="G1127"/>
  <c r="G1128"/>
  <c r="G1129"/>
  <c r="G1130"/>
  <c r="G1131"/>
  <c r="G1132"/>
  <c r="G1133"/>
  <c r="G1134"/>
  <c r="G1135"/>
  <c r="G1136"/>
  <c r="G1137"/>
  <c r="G1138"/>
  <c r="G1139"/>
  <c r="G1140"/>
  <c r="G1141"/>
  <c r="G1142"/>
  <c r="G1143"/>
  <c r="G1144"/>
  <c r="G1145"/>
  <c r="G1146"/>
  <c r="G1147"/>
  <c r="G1148"/>
  <c r="G1149"/>
  <c r="G1150"/>
  <c r="G1151"/>
  <c r="G1152"/>
  <c r="G1153"/>
  <c r="G1154"/>
  <c r="G1155"/>
  <c r="G1156"/>
  <c r="G1157"/>
  <c r="G1158"/>
  <c r="G1159"/>
  <c r="G1160"/>
  <c r="G1161"/>
  <c r="G1162"/>
  <c r="G1163"/>
  <c r="G1164"/>
  <c r="G1165"/>
  <c r="G1166"/>
  <c r="G1167"/>
  <c r="G1168"/>
  <c r="G1169"/>
  <c r="G1170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G1218"/>
  <c r="G1219"/>
  <c r="G122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44"/>
  <c r="G1245"/>
  <c r="G1246"/>
  <c r="G1247"/>
  <c r="G1248"/>
  <c r="G1249"/>
  <c r="G1250"/>
  <c r="G1251"/>
  <c r="G1252"/>
  <c r="G1253"/>
  <c r="G1254"/>
  <c r="G1255"/>
  <c r="G1256"/>
  <c r="G1257"/>
  <c r="G1258"/>
  <c r="G1259"/>
  <c r="G1260"/>
  <c r="G1261"/>
  <c r="G1262"/>
  <c r="G1263"/>
  <c r="G1264"/>
  <c r="G1265"/>
  <c r="G1266"/>
  <c r="G1267"/>
  <c r="G1268"/>
  <c r="G1269"/>
  <c r="G1270"/>
  <c r="G1271"/>
  <c r="G1272"/>
  <c r="G1273"/>
  <c r="G1274"/>
  <c r="G1275"/>
  <c r="G1276"/>
  <c r="G1277"/>
  <c r="G1278"/>
  <c r="G1279"/>
  <c r="G1280"/>
  <c r="G1281"/>
  <c r="G1282"/>
  <c r="G1283"/>
  <c r="G1284"/>
  <c r="G1285"/>
  <c r="G1286"/>
  <c r="G1287"/>
  <c r="G1288"/>
  <c r="G1289"/>
  <c r="G1290"/>
  <c r="G1291"/>
  <c r="G1292"/>
  <c r="G1293"/>
  <c r="G1294"/>
  <c r="G1295"/>
  <c r="G1296"/>
  <c r="G1297"/>
  <c r="G1298"/>
  <c r="G1299"/>
  <c r="G1300"/>
  <c r="G1301"/>
  <c r="G1302"/>
  <c r="G1303"/>
  <c r="G1304"/>
  <c r="G1305"/>
  <c r="G1306"/>
  <c r="G1307"/>
  <c r="G1308"/>
  <c r="G1309"/>
  <c r="G1310"/>
  <c r="G1311"/>
  <c r="G1312"/>
  <c r="G1313"/>
  <c r="G1314"/>
  <c r="G1315"/>
  <c r="G1316"/>
  <c r="G1317"/>
  <c r="G1318"/>
  <c r="G1319"/>
  <c r="G1320"/>
  <c r="G1321"/>
  <c r="G1322"/>
  <c r="G1323"/>
  <c r="G1324"/>
  <c r="G1325"/>
  <c r="G1326"/>
  <c r="G1327"/>
  <c r="G1328"/>
  <c r="G1329"/>
  <c r="G1330"/>
  <c r="G1331"/>
  <c r="G1332"/>
  <c r="G1333"/>
  <c r="G1334"/>
  <c r="G1335"/>
  <c r="G1336"/>
  <c r="G1337"/>
  <c r="G1338"/>
  <c r="G1339"/>
  <c r="G1340"/>
  <c r="G1341"/>
  <c r="G1342"/>
  <c r="G1343"/>
  <c r="G1344"/>
  <c r="G1345"/>
  <c r="G1346"/>
  <c r="G1347"/>
  <c r="G1348"/>
  <c r="G1349"/>
  <c r="G1350"/>
  <c r="G1351"/>
  <c r="G1352"/>
  <c r="G1353"/>
  <c r="G1354"/>
  <c r="G1355"/>
  <c r="G1356"/>
  <c r="G1357"/>
  <c r="G1358"/>
  <c r="G1359"/>
  <c r="G1360"/>
  <c r="G1361"/>
  <c r="G1362"/>
  <c r="G1363"/>
  <c r="G1364"/>
  <c r="G1365"/>
  <c r="G1366"/>
  <c r="G1367"/>
  <c r="G1368"/>
  <c r="G1369"/>
  <c r="G1370"/>
  <c r="G1371"/>
  <c r="G1372"/>
  <c r="G1373"/>
  <c r="G1374"/>
  <c r="G1375"/>
  <c r="G1376"/>
  <c r="G1377"/>
  <c r="G1378"/>
  <c r="G1379"/>
  <c r="G1380"/>
  <c r="G1381"/>
  <c r="G1382"/>
  <c r="G1383"/>
  <c r="G1384"/>
  <c r="G1385"/>
  <c r="G1386"/>
  <c r="G1387"/>
  <c r="G1388"/>
  <c r="G1389"/>
  <c r="G1390"/>
  <c r="G1391"/>
  <c r="G1392"/>
  <c r="G1393"/>
  <c r="G1394"/>
  <c r="G1395"/>
  <c r="G1396"/>
  <c r="G1397"/>
  <c r="G1398"/>
  <c r="G1399"/>
  <c r="G1400"/>
  <c r="G1401"/>
  <c r="G1402"/>
  <c r="G1403"/>
  <c r="G1404"/>
  <c r="G1405"/>
  <c r="G1406"/>
  <c r="G1407"/>
  <c r="G1408"/>
  <c r="G1409"/>
  <c r="G1410"/>
  <c r="G1411"/>
  <c r="G1412"/>
  <c r="G1413"/>
  <c r="G1414"/>
  <c r="G1415"/>
  <c r="G1416"/>
  <c r="G1417"/>
  <c r="G1418"/>
  <c r="G1419"/>
  <c r="G1420"/>
  <c r="G1421"/>
  <c r="G1422"/>
  <c r="G1423"/>
  <c r="G1424"/>
  <c r="G1425"/>
  <c r="G1426"/>
  <c r="G1427"/>
  <c r="G1428"/>
  <c r="G1429"/>
  <c r="G1430"/>
  <c r="G1431"/>
  <c r="G1432"/>
  <c r="G1433"/>
  <c r="G1434"/>
  <c r="G1435"/>
  <c r="G1436"/>
  <c r="G1437"/>
  <c r="G1438"/>
  <c r="G1439"/>
  <c r="G1440"/>
  <c r="G1441"/>
  <c r="G1442"/>
  <c r="G1443"/>
  <c r="G1444"/>
  <c r="G1445"/>
  <c r="G1446"/>
  <c r="G1447"/>
  <c r="G1448"/>
  <c r="G1449"/>
  <c r="G1450"/>
  <c r="G1451"/>
  <c r="G1452"/>
  <c r="G1453"/>
  <c r="G1454"/>
  <c r="G1455"/>
  <c r="G1456"/>
  <c r="G1457"/>
  <c r="G1458"/>
  <c r="G1459"/>
  <c r="G1460"/>
  <c r="G1461"/>
  <c r="G1462"/>
  <c r="G1463"/>
  <c r="G1464"/>
  <c r="G1465"/>
  <c r="G1466"/>
  <c r="G1467"/>
  <c r="G1468"/>
  <c r="G1469"/>
  <c r="G1470"/>
  <c r="G1471"/>
  <c r="G1472"/>
  <c r="G1473"/>
  <c r="G1474"/>
  <c r="G1475"/>
  <c r="G1476"/>
  <c r="G1477"/>
  <c r="G1478"/>
  <c r="G1479"/>
  <c r="G1480"/>
  <c r="G1481"/>
  <c r="G1482"/>
  <c r="G1483"/>
  <c r="G1484"/>
  <c r="G1485"/>
  <c r="G1486"/>
  <c r="G1487"/>
  <c r="G1488"/>
  <c r="G1489"/>
  <c r="G1490"/>
  <c r="G1491"/>
  <c r="G1492"/>
  <c r="G1493"/>
  <c r="G1494"/>
  <c r="G1495"/>
  <c r="G1496"/>
  <c r="G1497"/>
  <c r="G1498"/>
  <c r="G1499"/>
  <c r="G1500"/>
  <c r="G1501"/>
  <c r="G1502"/>
  <c r="G1503"/>
  <c r="G1504"/>
  <c r="G1505"/>
  <c r="G1506"/>
  <c r="G1507"/>
  <c r="G1508"/>
  <c r="G1509"/>
  <c r="G1510"/>
  <c r="G1511"/>
  <c r="G1512"/>
  <c r="G1513"/>
  <c r="G1514"/>
  <c r="G1515"/>
  <c r="G1516"/>
  <c r="G1517"/>
  <c r="G1518"/>
  <c r="G1519"/>
  <c r="G1520"/>
  <c r="G1521"/>
  <c r="G1522"/>
  <c r="G1523"/>
  <c r="G1524"/>
  <c r="G1525"/>
  <c r="G1526"/>
  <c r="G1527"/>
  <c r="G1528"/>
  <c r="G1529"/>
  <c r="G1530"/>
  <c r="G1531"/>
  <c r="G1532"/>
  <c r="G1533"/>
  <c r="G1534"/>
  <c r="G1535"/>
  <c r="G1536"/>
  <c r="G1537"/>
  <c r="G1538"/>
  <c r="G1539"/>
  <c r="G1540"/>
  <c r="G1541"/>
  <c r="G1542"/>
  <c r="G1543"/>
  <c r="G1544"/>
  <c r="G1545"/>
  <c r="G1546"/>
  <c r="G1547"/>
  <c r="G1548"/>
  <c r="G1549"/>
  <c r="G1550"/>
  <c r="G1551"/>
  <c r="G1552"/>
  <c r="G1553"/>
  <c r="G1554"/>
  <c r="G1555"/>
  <c r="G1556"/>
  <c r="G1557"/>
  <c r="G1558"/>
  <c r="G1559"/>
  <c r="G1560"/>
  <c r="G1561"/>
  <c r="G1562"/>
  <c r="G1563"/>
  <c r="G1564"/>
  <c r="G1565"/>
  <c r="G1566"/>
  <c r="G1567"/>
  <c r="G1568"/>
  <c r="G1569"/>
  <c r="G1570"/>
  <c r="G1571"/>
  <c r="G1572"/>
  <c r="G1573"/>
  <c r="G1574"/>
  <c r="G1575"/>
  <c r="G1576"/>
  <c r="G1577"/>
  <c r="G1578"/>
  <c r="G1579"/>
  <c r="G1580"/>
  <c r="G1581"/>
  <c r="G1582"/>
  <c r="G1583"/>
  <c r="G1584"/>
  <c r="G1585"/>
  <c r="G1586"/>
  <c r="G1587"/>
  <c r="G1588"/>
  <c r="G1589"/>
  <c r="G1590"/>
  <c r="G1591"/>
  <c r="G1592"/>
  <c r="G1593"/>
  <c r="G1594"/>
  <c r="G1595"/>
  <c r="G1596"/>
  <c r="G1597"/>
  <c r="G1598"/>
  <c r="G1599"/>
  <c r="G1600"/>
  <c r="G1601"/>
  <c r="G1602"/>
  <c r="G1603"/>
  <c r="G1604"/>
  <c r="G1605"/>
  <c r="G1606"/>
  <c r="G1607"/>
  <c r="G1608"/>
  <c r="G1609"/>
  <c r="G1610"/>
  <c r="G1611"/>
  <c r="G1612"/>
  <c r="G1613"/>
  <c r="G1614"/>
  <c r="G1615"/>
  <c r="G1616"/>
  <c r="G1617"/>
  <c r="G1618"/>
  <c r="G1619"/>
  <c r="G1620"/>
  <c r="G1621"/>
  <c r="G1622"/>
  <c r="G1623"/>
  <c r="G1624"/>
  <c r="G1625"/>
  <c r="G1626"/>
  <c r="G1627"/>
  <c r="G1628"/>
  <c r="G1629"/>
  <c r="G1630"/>
  <c r="G1631"/>
  <c r="G1632"/>
  <c r="G1633"/>
  <c r="G1634"/>
  <c r="G1635"/>
  <c r="G1636"/>
  <c r="G1637"/>
  <c r="G1638"/>
  <c r="G1639"/>
  <c r="G1640"/>
  <c r="G1641"/>
  <c r="G1642"/>
  <c r="G1643"/>
  <c r="G1644"/>
  <c r="G1645"/>
  <c r="G1646"/>
  <c r="G1647"/>
  <c r="G1648"/>
  <c r="G1649"/>
  <c r="G1650"/>
  <c r="G1651"/>
  <c r="G1652"/>
  <c r="G1653"/>
  <c r="G1654"/>
  <c r="G1655"/>
  <c r="G1656"/>
  <c r="G1657"/>
  <c r="G1658"/>
  <c r="G1659"/>
  <c r="G1660"/>
  <c r="G1661"/>
  <c r="G1662"/>
  <c r="G1663"/>
  <c r="G1664"/>
  <c r="G1665"/>
  <c r="G1666"/>
  <c r="G1667"/>
  <c r="G1668"/>
  <c r="G1669"/>
  <c r="G1670"/>
  <c r="G1671"/>
  <c r="G1672"/>
  <c r="G1673"/>
  <c r="G1674"/>
  <c r="G1675"/>
  <c r="G1676"/>
  <c r="G1677"/>
  <c r="G1678"/>
  <c r="G1679"/>
  <c r="G1680"/>
  <c r="G1681"/>
  <c r="G1682"/>
  <c r="G4"/>
  <c r="Y341" l="1"/>
  <c r="Y265"/>
  <c r="Y69"/>
  <c r="Y179"/>
  <c r="Y155"/>
  <c r="Y337"/>
  <c r="Y379"/>
  <c r="Y339"/>
  <c r="Y54"/>
  <c r="Y565"/>
  <c r="Y561"/>
  <c r="Y557"/>
  <c r="Y553"/>
  <c r="Y549"/>
  <c r="Y545"/>
  <c r="Y541"/>
  <c r="Y537"/>
  <c r="Y529"/>
  <c r="Y525"/>
  <c r="Y521"/>
  <c r="Y517"/>
  <c r="Y513"/>
  <c r="Y509"/>
  <c r="Y505"/>
  <c r="Y501"/>
  <c r="Y497"/>
  <c r="Y493"/>
  <c r="Y489"/>
  <c r="Y485"/>
  <c r="Y481"/>
  <c r="Y477"/>
  <c r="Y473"/>
  <c r="Y469"/>
  <c r="Y465"/>
  <c r="Y461"/>
  <c r="Y457"/>
  <c r="Y453"/>
  <c r="Y449"/>
  <c r="Y445"/>
  <c r="Y441"/>
  <c r="Y437"/>
  <c r="Y433"/>
  <c r="Y429"/>
  <c r="Y425"/>
  <c r="Y421"/>
  <c r="Y417"/>
  <c r="Y413"/>
  <c r="Y409"/>
  <c r="Y405"/>
  <c r="Y401"/>
  <c r="Y397"/>
  <c r="Y393"/>
  <c r="Y389"/>
  <c r="Y385"/>
  <c r="Y381"/>
  <c r="Y377"/>
  <c r="Y373"/>
  <c r="Y369"/>
  <c r="Y365"/>
  <c r="Y361"/>
  <c r="Y357"/>
  <c r="Y353"/>
  <c r="Y349"/>
  <c r="Y345"/>
  <c r="Y333"/>
  <c r="I333" s="1"/>
  <c r="Y329"/>
  <c r="Y325"/>
  <c r="I325" s="1"/>
  <c r="Y321"/>
  <c r="Y317"/>
  <c r="I317" s="1"/>
  <c r="Y313"/>
  <c r="Y309"/>
  <c r="I309" s="1"/>
  <c r="Y305"/>
  <c r="Y301"/>
  <c r="I301" s="1"/>
  <c r="Y297"/>
  <c r="Y293"/>
  <c r="I293" s="1"/>
  <c r="Y289"/>
  <c r="Y285"/>
  <c r="I285" s="1"/>
  <c r="Y281"/>
  <c r="Y277"/>
  <c r="I277" s="1"/>
  <c r="Y273"/>
  <c r="Y269"/>
  <c r="I269" s="1"/>
  <c r="Y261"/>
  <c r="Y257"/>
  <c r="I257" s="1"/>
  <c r="Y253"/>
  <c r="Y249"/>
  <c r="I249" s="1"/>
  <c r="Y245"/>
  <c r="Y241"/>
  <c r="I241" s="1"/>
  <c r="Y237"/>
  <c r="Y233"/>
  <c r="I233" s="1"/>
  <c r="Y229"/>
  <c r="Y225"/>
  <c r="I225" s="1"/>
  <c r="Y221"/>
  <c r="Y217"/>
  <c r="I217" s="1"/>
  <c r="Y213"/>
  <c r="Y209"/>
  <c r="I209" s="1"/>
  <c r="Y205"/>
  <c r="Y201"/>
  <c r="I201" s="1"/>
  <c r="Y197"/>
  <c r="Y193"/>
  <c r="I193" s="1"/>
  <c r="Y189"/>
  <c r="Y185"/>
  <c r="I185" s="1"/>
  <c r="Y181"/>
  <c r="Y177"/>
  <c r="I177" s="1"/>
  <c r="Y173"/>
  <c r="Y169"/>
  <c r="I169" s="1"/>
  <c r="Y165"/>
  <c r="Y161"/>
  <c r="I161" s="1"/>
  <c r="Y157"/>
  <c r="Y153"/>
  <c r="I153" s="1"/>
  <c r="Y149"/>
  <c r="Y145"/>
  <c r="I145" s="1"/>
  <c r="Y141"/>
  <c r="Y137"/>
  <c r="I137" s="1"/>
  <c r="Y133"/>
  <c r="Y129"/>
  <c r="I129" s="1"/>
  <c r="Y125"/>
  <c r="Y121"/>
  <c r="I121" s="1"/>
  <c r="Y117"/>
  <c r="Y113"/>
  <c r="I113" s="1"/>
  <c r="Y109"/>
  <c r="Y105"/>
  <c r="I105" s="1"/>
  <c r="Y101"/>
  <c r="Y97"/>
  <c r="I97" s="1"/>
  <c r="Y93"/>
  <c r="Y89"/>
  <c r="I89" s="1"/>
  <c r="Y85"/>
  <c r="Y81"/>
  <c r="I81" s="1"/>
  <c r="Y77"/>
  <c r="Y73"/>
  <c r="I73" s="1"/>
  <c r="Y65"/>
  <c r="Y61"/>
  <c r="I61" s="1"/>
  <c r="Y57"/>
  <c r="Y564"/>
  <c r="Y560"/>
  <c r="Y556"/>
  <c r="Y552"/>
  <c r="Y548"/>
  <c r="Y544"/>
  <c r="Y540"/>
  <c r="Y536"/>
  <c r="Y532"/>
  <c r="Y528"/>
  <c r="Y524"/>
  <c r="Y520"/>
  <c r="Y516"/>
  <c r="Y512"/>
  <c r="Y508"/>
  <c r="Y504"/>
  <c r="Y500"/>
  <c r="Y496"/>
  <c r="Y492"/>
  <c r="Y488"/>
  <c r="Y484"/>
  <c r="Y480"/>
  <c r="Y476"/>
  <c r="Y472"/>
  <c r="Y468"/>
  <c r="Y464"/>
  <c r="Y460"/>
  <c r="Y456"/>
  <c r="Y452"/>
  <c r="Y448"/>
  <c r="Y444"/>
  <c r="Y440"/>
  <c r="Y436"/>
  <c r="Y432"/>
  <c r="Y428"/>
  <c r="Y424"/>
  <c r="Y420"/>
  <c r="Y416"/>
  <c r="Y412"/>
  <c r="Y408"/>
  <c r="Y404"/>
  <c r="Y400"/>
  <c r="Y396"/>
  <c r="Y392"/>
  <c r="Y388"/>
  <c r="Y384"/>
  <c r="Y380"/>
  <c r="Y376"/>
  <c r="Y372"/>
  <c r="Y368"/>
  <c r="Y364"/>
  <c r="Y360"/>
  <c r="Y356"/>
  <c r="Y352"/>
  <c r="Y348"/>
  <c r="Y344"/>
  <c r="Y340"/>
  <c r="Y336"/>
  <c r="Y332"/>
  <c r="Y328"/>
  <c r="Y324"/>
  <c r="Y320"/>
  <c r="Y316"/>
  <c r="Y312"/>
  <c r="Y308"/>
  <c r="Y304"/>
  <c r="Y300"/>
  <c r="Y296"/>
  <c r="Y292"/>
  <c r="Y288"/>
  <c r="Y284"/>
  <c r="Y280"/>
  <c r="Y276"/>
  <c r="Y272"/>
  <c r="Y268"/>
  <c r="Y264"/>
  <c r="Y260"/>
  <c r="Y256"/>
  <c r="Y252"/>
  <c r="Y248"/>
  <c r="Y244"/>
  <c r="Y240"/>
  <c r="Y236"/>
  <c r="Y232"/>
  <c r="Y228"/>
  <c r="Y224"/>
  <c r="Y220"/>
  <c r="Y216"/>
  <c r="Y212"/>
  <c r="Y208"/>
  <c r="Y204"/>
  <c r="Y200"/>
  <c r="Y196"/>
  <c r="Y192"/>
  <c r="Y188"/>
  <c r="Y184"/>
  <c r="Y180"/>
  <c r="Y176"/>
  <c r="Y172"/>
  <c r="Y168"/>
  <c r="Y164"/>
  <c r="Y160"/>
  <c r="Y156"/>
  <c r="Y152"/>
  <c r="Y148"/>
  <c r="Y144"/>
  <c r="Y140"/>
  <c r="Y136"/>
  <c r="Y132"/>
  <c r="Y128"/>
  <c r="Y124"/>
  <c r="Y120"/>
  <c r="Y116"/>
  <c r="Y112"/>
  <c r="Y108"/>
  <c r="Y104"/>
  <c r="Y100"/>
  <c r="Y96"/>
  <c r="Y92"/>
  <c r="Y88"/>
  <c r="Y84"/>
  <c r="Y80"/>
  <c r="Y76"/>
  <c r="Y72"/>
  <c r="Y68"/>
  <c r="Y64"/>
  <c r="Y60"/>
  <c r="Y56"/>
  <c r="Y563"/>
  <c r="Y559"/>
  <c r="Y555"/>
  <c r="Y551"/>
  <c r="Y547"/>
  <c r="Y543"/>
  <c r="Y539"/>
  <c r="Y535"/>
  <c r="Y531"/>
  <c r="Y527"/>
  <c r="Y523"/>
  <c r="Y519"/>
  <c r="Y515"/>
  <c r="Y511"/>
  <c r="Y507"/>
  <c r="Y503"/>
  <c r="Y499"/>
  <c r="Y495"/>
  <c r="Y491"/>
  <c r="Y487"/>
  <c r="Y483"/>
  <c r="Y479"/>
  <c r="Y475"/>
  <c r="Y471"/>
  <c r="Y467"/>
  <c r="Y463"/>
  <c r="Y459"/>
  <c r="Y455"/>
  <c r="Y451"/>
  <c r="Y447"/>
  <c r="Y443"/>
  <c r="Y439"/>
  <c r="Y435"/>
  <c r="Y431"/>
  <c r="Y427"/>
  <c r="Y423"/>
  <c r="Y419"/>
  <c r="Y415"/>
  <c r="Y411"/>
  <c r="Y407"/>
  <c r="Y403"/>
  <c r="Y399"/>
  <c r="Y395"/>
  <c r="Y391"/>
  <c r="Y387"/>
  <c r="Y383"/>
  <c r="Y375"/>
  <c r="I375" s="1"/>
  <c r="Y371"/>
  <c r="Y367"/>
  <c r="I367" s="1"/>
  <c r="Y363"/>
  <c r="Y359"/>
  <c r="I359" s="1"/>
  <c r="Y355"/>
  <c r="Y351"/>
  <c r="I351" s="1"/>
  <c r="Y347"/>
  <c r="Y343"/>
  <c r="I343" s="1"/>
  <c r="Y335"/>
  <c r="Y331"/>
  <c r="Y327"/>
  <c r="Y323"/>
  <c r="Y319"/>
  <c r="Y315"/>
  <c r="Y311"/>
  <c r="Y307"/>
  <c r="Y303"/>
  <c r="Y299"/>
  <c r="Y295"/>
  <c r="Y291"/>
  <c r="Y287"/>
  <c r="Y283"/>
  <c r="Y279"/>
  <c r="Y275"/>
  <c r="Y271"/>
  <c r="Y267"/>
  <c r="Y263"/>
  <c r="Y259"/>
  <c r="Y255"/>
  <c r="Y251"/>
  <c r="Y247"/>
  <c r="Y243"/>
  <c r="Y239"/>
  <c r="Y235"/>
  <c r="Y231"/>
  <c r="Y227"/>
  <c r="Y223"/>
  <c r="Y219"/>
  <c r="Y215"/>
  <c r="Y211"/>
  <c r="Y207"/>
  <c r="Y203"/>
  <c r="Y199"/>
  <c r="Y191"/>
  <c r="Y187"/>
  <c r="Y183"/>
  <c r="I183" s="1"/>
  <c r="Y175"/>
  <c r="Y171"/>
  <c r="Y167"/>
  <c r="Y163"/>
  <c r="Y159"/>
  <c r="Y151"/>
  <c r="Y147"/>
  <c r="Y143"/>
  <c r="Y139"/>
  <c r="Y135"/>
  <c r="Y131"/>
  <c r="Y127"/>
  <c r="Y123"/>
  <c r="Y119"/>
  <c r="Y115"/>
  <c r="Y111"/>
  <c r="Y107"/>
  <c r="Y103"/>
  <c r="Y99"/>
  <c r="Y95"/>
  <c r="Y91"/>
  <c r="Y87"/>
  <c r="Y83"/>
  <c r="Y79"/>
  <c r="Y75"/>
  <c r="Y71"/>
  <c r="Y67"/>
  <c r="Y63"/>
  <c r="Y59"/>
  <c r="Y55"/>
  <c r="Y562"/>
  <c r="Y558"/>
  <c r="Y554"/>
  <c r="Y550"/>
  <c r="Y546"/>
  <c r="Y542"/>
  <c r="Y538"/>
  <c r="Y534"/>
  <c r="Y530"/>
  <c r="Y526"/>
  <c r="Y522"/>
  <c r="Y518"/>
  <c r="Y514"/>
  <c r="Y510"/>
  <c r="Y506"/>
  <c r="Y502"/>
  <c r="Y498"/>
  <c r="Y494"/>
  <c r="Y490"/>
  <c r="Y486"/>
  <c r="Y482"/>
  <c r="Y478"/>
  <c r="Y474"/>
  <c r="Y470"/>
  <c r="Y466"/>
  <c r="Y462"/>
  <c r="Y458"/>
  <c r="Y454"/>
  <c r="Y450"/>
  <c r="Y446"/>
  <c r="Y442"/>
  <c r="Y438"/>
  <c r="Y434"/>
  <c r="Y430"/>
  <c r="Y426"/>
  <c r="Y422"/>
  <c r="Y418"/>
  <c r="Y414"/>
  <c r="Y410"/>
  <c r="Y406"/>
  <c r="Y402"/>
  <c r="Y398"/>
  <c r="Y394"/>
  <c r="Y390"/>
  <c r="Y386"/>
  <c r="Y382"/>
  <c r="Y378"/>
  <c r="Y374"/>
  <c r="Y370"/>
  <c r="Y366"/>
  <c r="Y362"/>
  <c r="Y358"/>
  <c r="Y354"/>
  <c r="Y350"/>
  <c r="Y346"/>
  <c r="Y342"/>
  <c r="Y338"/>
  <c r="Y334"/>
  <c r="Y330"/>
  <c r="Y326"/>
  <c r="Y322"/>
  <c r="Y318"/>
  <c r="Y314"/>
  <c r="Y310"/>
  <c r="Y306"/>
  <c r="Y302"/>
  <c r="Y298"/>
  <c r="Y294"/>
  <c r="Y290"/>
  <c r="Y286"/>
  <c r="Y282"/>
  <c r="Y278"/>
  <c r="Y274"/>
  <c r="Y270"/>
  <c r="Y266"/>
  <c r="Y262"/>
  <c r="Y258"/>
  <c r="Y254"/>
  <c r="Y250"/>
  <c r="Y246"/>
  <c r="Y242"/>
  <c r="Y238"/>
  <c r="Y234"/>
  <c r="Y230"/>
  <c r="Y226"/>
  <c r="Y222"/>
  <c r="Y218"/>
  <c r="Y214"/>
  <c r="Y210"/>
  <c r="Y206"/>
  <c r="Y202"/>
  <c r="Y198"/>
  <c r="Y194"/>
  <c r="Y190"/>
  <c r="Y186"/>
  <c r="Y182"/>
  <c r="Y178"/>
  <c r="Y174"/>
  <c r="Y170"/>
  <c r="Y166"/>
  <c r="Y162"/>
  <c r="Y158"/>
  <c r="Y154"/>
  <c r="Y150"/>
  <c r="Y146"/>
  <c r="Y142"/>
  <c r="Y138"/>
  <c r="Y134"/>
  <c r="Y130"/>
  <c r="Y126"/>
  <c r="Y122"/>
  <c r="Y118"/>
  <c r="Y114"/>
  <c r="Y110"/>
  <c r="Y106"/>
  <c r="Y102"/>
  <c r="Y98"/>
  <c r="Y94"/>
  <c r="Y90"/>
  <c r="Y86"/>
  <c r="Y82"/>
  <c r="Y78"/>
  <c r="Y74"/>
  <c r="Y70"/>
  <c r="Y66"/>
  <c r="Y62"/>
  <c r="Y58"/>
  <c r="I195"/>
  <c r="I155"/>
  <c r="I533"/>
  <c r="I341"/>
  <c r="I265"/>
  <c r="I69"/>
  <c r="I57"/>
  <c r="I563"/>
  <c r="I559"/>
  <c r="I555"/>
  <c r="I551"/>
  <c r="I547"/>
  <c r="I543"/>
  <c r="I539"/>
  <c r="I535"/>
  <c r="I531"/>
  <c r="I527"/>
  <c r="I523"/>
  <c r="I519"/>
  <c r="I515"/>
  <c r="I511"/>
  <c r="I507"/>
  <c r="I503"/>
  <c r="I499"/>
  <c r="I495"/>
  <c r="I491"/>
  <c r="I487"/>
  <c r="I483"/>
  <c r="I479"/>
  <c r="I475"/>
  <c r="I471"/>
  <c r="I467"/>
  <c r="I463"/>
  <c r="I459"/>
  <c r="I455"/>
  <c r="I451"/>
  <c r="I447"/>
  <c r="I443"/>
  <c r="I439"/>
  <c r="I435"/>
  <c r="I431"/>
  <c r="I427"/>
  <c r="I423"/>
  <c r="I419"/>
  <c r="I415"/>
  <c r="I411"/>
  <c r="I407"/>
  <c r="I403"/>
  <c r="I399"/>
  <c r="I395"/>
  <c r="I391"/>
  <c r="I387"/>
  <c r="I383"/>
  <c r="I379"/>
  <c r="I371"/>
  <c r="I363"/>
  <c r="I355"/>
  <c r="I347"/>
  <c r="I339"/>
  <c r="I335"/>
  <c r="I331"/>
  <c r="I327"/>
  <c r="I323"/>
  <c r="I319"/>
  <c r="I315"/>
  <c r="I311"/>
  <c r="I307"/>
  <c r="I303"/>
  <c r="I299"/>
  <c r="I295"/>
  <c r="I291"/>
  <c r="I287"/>
  <c r="I283"/>
  <c r="I279"/>
  <c r="I275"/>
  <c r="I271"/>
  <c r="I267"/>
  <c r="I263"/>
  <c r="I259"/>
  <c r="I255"/>
  <c r="I251"/>
  <c r="I247"/>
  <c r="I243"/>
  <c r="I239"/>
  <c r="I235"/>
  <c r="I231"/>
  <c r="I227"/>
  <c r="I223"/>
  <c r="I219"/>
  <c r="I215"/>
  <c r="I211"/>
  <c r="I207"/>
  <c r="I203"/>
  <c r="I199"/>
  <c r="I191"/>
  <c r="I187"/>
  <c r="I179"/>
  <c r="I175"/>
  <c r="I171"/>
  <c r="I167"/>
  <c r="I163"/>
  <c r="I159"/>
  <c r="I151"/>
  <c r="I147"/>
  <c r="I143"/>
  <c r="I139"/>
  <c r="I135"/>
  <c r="I131"/>
  <c r="I127"/>
  <c r="I123"/>
  <c r="I119"/>
  <c r="I115"/>
  <c r="I111"/>
  <c r="I107"/>
  <c r="I103"/>
  <c r="I99"/>
  <c r="I95"/>
  <c r="I91"/>
  <c r="I87"/>
  <c r="I83"/>
  <c r="I79"/>
  <c r="I75"/>
  <c r="I71"/>
  <c r="I67"/>
  <c r="I63"/>
  <c r="I59"/>
  <c r="I55"/>
  <c r="I562"/>
  <c r="I558"/>
  <c r="I554"/>
  <c r="I550"/>
  <c r="I546"/>
  <c r="I542"/>
  <c r="I538"/>
  <c r="I534"/>
  <c r="I530"/>
  <c r="I526"/>
  <c r="I522"/>
  <c r="I518"/>
  <c r="I514"/>
  <c r="I510"/>
  <c r="I506"/>
  <c r="I502"/>
  <c r="I498"/>
  <c r="I494"/>
  <c r="I490"/>
  <c r="I486"/>
  <c r="I482"/>
  <c r="I478"/>
  <c r="I474"/>
  <c r="I470"/>
  <c r="I466"/>
  <c r="I462"/>
  <c r="I458"/>
  <c r="I454"/>
  <c r="I450"/>
  <c r="I446"/>
  <c r="I442"/>
  <c r="I438"/>
  <c r="I434"/>
  <c r="I430"/>
  <c r="I426"/>
  <c r="I422"/>
  <c r="I418"/>
  <c r="I414"/>
  <c r="I410"/>
  <c r="I406"/>
  <c r="I402"/>
  <c r="I398"/>
  <c r="I394"/>
  <c r="I390"/>
  <c r="I386"/>
  <c r="I382"/>
  <c r="I378"/>
  <c r="I374"/>
  <c r="I370"/>
  <c r="I366"/>
  <c r="I362"/>
  <c r="I358"/>
  <c r="I354"/>
  <c r="I350"/>
  <c r="I346"/>
  <c r="I342"/>
  <c r="I338"/>
  <c r="I334"/>
  <c r="I330"/>
  <c r="I326"/>
  <c r="I322"/>
  <c r="I318"/>
  <c r="I314"/>
  <c r="I310"/>
  <c r="I306"/>
  <c r="I302"/>
  <c r="I298"/>
  <c r="I294"/>
  <c r="I290"/>
  <c r="I286"/>
  <c r="I282"/>
  <c r="I278"/>
  <c r="I274"/>
  <c r="I270"/>
  <c r="I266"/>
  <c r="I262"/>
  <c r="I258"/>
  <c r="I254"/>
  <c r="I250"/>
  <c r="I246"/>
  <c r="I242"/>
  <c r="I238"/>
  <c r="I234"/>
  <c r="I230"/>
  <c r="I226"/>
  <c r="I222"/>
  <c r="I218"/>
  <c r="I214"/>
  <c r="I210"/>
  <c r="I206"/>
  <c r="I202"/>
  <c r="I198"/>
  <c r="I194"/>
  <c r="I190"/>
  <c r="I186"/>
  <c r="I182"/>
  <c r="I178"/>
  <c r="I174"/>
  <c r="I170"/>
  <c r="I166"/>
  <c r="I162"/>
  <c r="I158"/>
  <c r="I154"/>
  <c r="I150"/>
  <c r="I146"/>
  <c r="I142"/>
  <c r="I138"/>
  <c r="I134"/>
  <c r="I130"/>
  <c r="I126"/>
  <c r="I122"/>
  <c r="I118"/>
  <c r="I114"/>
  <c r="I110"/>
  <c r="I106"/>
  <c r="I102"/>
  <c r="I98"/>
  <c r="I94"/>
  <c r="I90"/>
  <c r="I86"/>
  <c r="I82"/>
  <c r="I78"/>
  <c r="I74"/>
  <c r="I70"/>
  <c r="I66"/>
  <c r="I62"/>
  <c r="I58"/>
  <c r="I54"/>
  <c r="I565"/>
  <c r="I561"/>
  <c r="I557"/>
  <c r="I553"/>
  <c r="I549"/>
  <c r="I545"/>
  <c r="I541"/>
  <c r="I537"/>
  <c r="I529"/>
  <c r="I525"/>
  <c r="I521"/>
  <c r="I517"/>
  <c r="I513"/>
  <c r="I509"/>
  <c r="I505"/>
  <c r="I501"/>
  <c r="I497"/>
  <c r="I493"/>
  <c r="I489"/>
  <c r="I485"/>
  <c r="I481"/>
  <c r="I477"/>
  <c r="I473"/>
  <c r="I469"/>
  <c r="I465"/>
  <c r="I461"/>
  <c r="I457"/>
  <c r="I453"/>
  <c r="I449"/>
  <c r="I445"/>
  <c r="I441"/>
  <c r="I437"/>
  <c r="I433"/>
  <c r="I429"/>
  <c r="I425"/>
  <c r="I421"/>
  <c r="I417"/>
  <c r="I413"/>
  <c r="I409"/>
  <c r="I405"/>
  <c r="I401"/>
  <c r="I397"/>
  <c r="I393"/>
  <c r="I389"/>
  <c r="I385"/>
  <c r="I381"/>
  <c r="I377"/>
  <c r="I373"/>
  <c r="I369"/>
  <c r="I365"/>
  <c r="I361"/>
  <c r="I357"/>
  <c r="I353"/>
  <c r="I349"/>
  <c r="I345"/>
  <c r="I337"/>
  <c r="I329"/>
  <c r="I321"/>
  <c r="I313"/>
  <c r="I305"/>
  <c r="I297"/>
  <c r="I289"/>
  <c r="I281"/>
  <c r="I273"/>
  <c r="I261"/>
  <c r="I253"/>
  <c r="I245"/>
  <c r="I237"/>
  <c r="I229"/>
  <c r="I221"/>
  <c r="I213"/>
  <c r="I205"/>
  <c r="I197"/>
  <c r="I189"/>
  <c r="I181"/>
  <c r="I173"/>
  <c r="I165"/>
  <c r="I157"/>
  <c r="I149"/>
  <c r="I141"/>
  <c r="I133"/>
  <c r="I125"/>
  <c r="I117"/>
  <c r="I109"/>
  <c r="I101"/>
  <c r="I93"/>
  <c r="I85"/>
  <c r="I77"/>
  <c r="I65"/>
  <c r="I564"/>
  <c r="I560"/>
  <c r="I556"/>
  <c r="I552"/>
  <c r="I548"/>
  <c r="I544"/>
  <c r="I540"/>
  <c r="I536"/>
  <c r="I532"/>
  <c r="I528"/>
  <c r="I524"/>
  <c r="I520"/>
  <c r="I516"/>
  <c r="I512"/>
  <c r="I508"/>
  <c r="I504"/>
  <c r="I500"/>
  <c r="I496"/>
  <c r="I492"/>
  <c r="I488"/>
  <c r="I484"/>
  <c r="I480"/>
  <c r="I476"/>
  <c r="I472"/>
  <c r="I468"/>
  <c r="I464"/>
  <c r="I460"/>
  <c r="I456"/>
  <c r="I452"/>
  <c r="I448"/>
  <c r="I444"/>
  <c r="I440"/>
  <c r="I436"/>
  <c r="I432"/>
  <c r="I428"/>
  <c r="I424"/>
  <c r="I420"/>
  <c r="I416"/>
  <c r="I412"/>
  <c r="I408"/>
  <c r="I404"/>
  <c r="I400"/>
  <c r="I396"/>
  <c r="I392"/>
  <c r="I388"/>
  <c r="I384"/>
  <c r="I380"/>
  <c r="I376"/>
  <c r="I372"/>
  <c r="I368"/>
  <c r="I364"/>
  <c r="I360"/>
  <c r="I356"/>
  <c r="I352"/>
  <c r="I348"/>
  <c r="I344"/>
  <c r="I340"/>
  <c r="I336"/>
  <c r="I332"/>
  <c r="I328"/>
  <c r="I324"/>
  <c r="I320"/>
  <c r="I316"/>
  <c r="I312"/>
  <c r="I308"/>
  <c r="I304"/>
  <c r="I300"/>
  <c r="I296"/>
  <c r="I292"/>
  <c r="I288"/>
  <c r="I284"/>
  <c r="I280"/>
  <c r="I276"/>
  <c r="I272"/>
  <c r="I268"/>
  <c r="I264"/>
  <c r="I260"/>
  <c r="I256"/>
  <c r="I252"/>
  <c r="I248"/>
  <c r="I244"/>
  <c r="I240"/>
  <c r="I236"/>
  <c r="I232"/>
  <c r="I228"/>
  <c r="I224"/>
  <c r="I220"/>
  <c r="I216"/>
  <c r="I212"/>
  <c r="I208"/>
  <c r="I204"/>
  <c r="I200"/>
  <c r="I196"/>
  <c r="I192"/>
  <c r="I188"/>
  <c r="I184"/>
  <c r="I180"/>
  <c r="I176"/>
  <c r="I172"/>
  <c r="I168"/>
  <c r="I164"/>
  <c r="I160"/>
  <c r="I156"/>
  <c r="I152"/>
  <c r="I148"/>
  <c r="I144"/>
  <c r="I140"/>
  <c r="I136"/>
  <c r="I132"/>
  <c r="I128"/>
  <c r="I124"/>
  <c r="I120"/>
  <c r="I116"/>
  <c r="I112"/>
  <c r="I108"/>
  <c r="I104"/>
  <c r="I100"/>
  <c r="I96"/>
  <c r="I92"/>
  <c r="I88"/>
  <c r="I84"/>
  <c r="I80"/>
  <c r="I76"/>
  <c r="I72"/>
  <c r="I68"/>
  <c r="I64"/>
  <c r="I60"/>
  <c r="I56"/>
  <c r="U567"/>
  <c r="W566"/>
  <c r="X566"/>
  <c r="K53"/>
  <c r="L53" s="1"/>
  <c r="O1681"/>
  <c r="O1679"/>
  <c r="O1677"/>
  <c r="O1675"/>
  <c r="O1673"/>
  <c r="O1671"/>
  <c r="O1669"/>
  <c r="O1667"/>
  <c r="O1665"/>
  <c r="O1663"/>
  <c r="O1661"/>
  <c r="O1659"/>
  <c r="O1657"/>
  <c r="O1655"/>
  <c r="O1653"/>
  <c r="O1651"/>
  <c r="O1649"/>
  <c r="O1647"/>
  <c r="O1645"/>
  <c r="O1643"/>
  <c r="O1641"/>
  <c r="O1639"/>
  <c r="O1637"/>
  <c r="O1635"/>
  <c r="O1633"/>
  <c r="O1631"/>
  <c r="O1629"/>
  <c r="O1627"/>
  <c r="O1625"/>
  <c r="O1623"/>
  <c r="O1621"/>
  <c r="O1619"/>
  <c r="O1617"/>
  <c r="O1615"/>
  <c r="O1613"/>
  <c r="O1611"/>
  <c r="O1609"/>
  <c r="O1607"/>
  <c r="O1605"/>
  <c r="O1603"/>
  <c r="O1601"/>
  <c r="O1599"/>
  <c r="O1597"/>
  <c r="O1595"/>
  <c r="O1593"/>
  <c r="O1591"/>
  <c r="O1589"/>
  <c r="O1587"/>
  <c r="O1585"/>
  <c r="O1583"/>
  <c r="O1581"/>
  <c r="O1579"/>
  <c r="O1577"/>
  <c r="O1575"/>
  <c r="O1573"/>
  <c r="O1571"/>
  <c r="O1569"/>
  <c r="O1567"/>
  <c r="O1565"/>
  <c r="O1563"/>
  <c r="O1561"/>
  <c r="O1559"/>
  <c r="O1557"/>
  <c r="O1555"/>
  <c r="O1553"/>
  <c r="O1551"/>
  <c r="O1549"/>
  <c r="O1547"/>
  <c r="O1545"/>
  <c r="O1543"/>
  <c r="O1541"/>
  <c r="O1539"/>
  <c r="O1537"/>
  <c r="O1535"/>
  <c r="O1533"/>
  <c r="O1531"/>
  <c r="O1529"/>
  <c r="O1527"/>
  <c r="O1525"/>
  <c r="O1523"/>
  <c r="O1521"/>
  <c r="O1519"/>
  <c r="O1517"/>
  <c r="O1515"/>
  <c r="O1513"/>
  <c r="O1511"/>
  <c r="O1509"/>
  <c r="O1507"/>
  <c r="O1505"/>
  <c r="O1503"/>
  <c r="O1501"/>
  <c r="O1499"/>
  <c r="O1497"/>
  <c r="O1495"/>
  <c r="O1493"/>
  <c r="O1491"/>
  <c r="O1489"/>
  <c r="O1487"/>
  <c r="O1485"/>
  <c r="O1483"/>
  <c r="O1481"/>
  <c r="O1479"/>
  <c r="O1477"/>
  <c r="O1475"/>
  <c r="O1473"/>
  <c r="O1471"/>
  <c r="O1469"/>
  <c r="O1467"/>
  <c r="O1465"/>
  <c r="O1463"/>
  <c r="O1461"/>
  <c r="O1459"/>
  <c r="O1457"/>
  <c r="O1455"/>
  <c r="O1453"/>
  <c r="O1451"/>
  <c r="O1449"/>
  <c r="O1447"/>
  <c r="O1445"/>
  <c r="O1443"/>
  <c r="O1441"/>
  <c r="O1439"/>
  <c r="O1437"/>
  <c r="O1435"/>
  <c r="O1433"/>
  <c r="O1431"/>
  <c r="O1429"/>
  <c r="O1427"/>
  <c r="O1425"/>
  <c r="O1423"/>
  <c r="O1421"/>
  <c r="O1419"/>
  <c r="O1417"/>
  <c r="O1415"/>
  <c r="O1413"/>
  <c r="O1411"/>
  <c r="O1409"/>
  <c r="O1407"/>
  <c r="O1405"/>
  <c r="O1403"/>
  <c r="O1401"/>
  <c r="O1399"/>
  <c r="O1397"/>
  <c r="O1395"/>
  <c r="O1393"/>
  <c r="O1391"/>
  <c r="O1389"/>
  <c r="O1387"/>
  <c r="O1385"/>
  <c r="O1383"/>
  <c r="O1381"/>
  <c r="O1379"/>
  <c r="O1377"/>
  <c r="O1375"/>
  <c r="O1373"/>
  <c r="O1371"/>
  <c r="O1369"/>
  <c r="O1367"/>
  <c r="O1365"/>
  <c r="O1363"/>
  <c r="O1361"/>
  <c r="O1359"/>
  <c r="O1357"/>
  <c r="O1355"/>
  <c r="O1353"/>
  <c r="O1351"/>
  <c r="O1349"/>
  <c r="O1347"/>
  <c r="O1345"/>
  <c r="O1343"/>
  <c r="O1341"/>
  <c r="O1339"/>
  <c r="O1337"/>
  <c r="O1335"/>
  <c r="O1333"/>
  <c r="O1331"/>
  <c r="O1329"/>
  <c r="O1327"/>
  <c r="O1325"/>
  <c r="O1323"/>
  <c r="O1321"/>
  <c r="O1319"/>
  <c r="O1317"/>
  <c r="O1315"/>
  <c r="O1313"/>
  <c r="O1311"/>
  <c r="O1309"/>
  <c r="O1307"/>
  <c r="O1305"/>
  <c r="O1303"/>
  <c r="O1301"/>
  <c r="O1299"/>
  <c r="O1297"/>
  <c r="O1295"/>
  <c r="O1293"/>
  <c r="O1291"/>
  <c r="O1289"/>
  <c r="O1287"/>
  <c r="O1285"/>
  <c r="O1283"/>
  <c r="O1281"/>
  <c r="O1279"/>
  <c r="O1277"/>
  <c r="O1275"/>
  <c r="O1273"/>
  <c r="O1271"/>
  <c r="O1269"/>
  <c r="O1267"/>
  <c r="O1265"/>
  <c r="O1263"/>
  <c r="O1261"/>
  <c r="O1259"/>
  <c r="O1257"/>
  <c r="O1255"/>
  <c r="O1253"/>
  <c r="O1251"/>
  <c r="O1249"/>
  <c r="O1247"/>
  <c r="O1245"/>
  <c r="O1243"/>
  <c r="O1241"/>
  <c r="O1239"/>
  <c r="O1237"/>
  <c r="O1235"/>
  <c r="O1233"/>
  <c r="O1231"/>
  <c r="O1229"/>
  <c r="O1227"/>
  <c r="O1225"/>
  <c r="O1223"/>
  <c r="O1221"/>
  <c r="O1219"/>
  <c r="O1217"/>
  <c r="O1215"/>
  <c r="O1213"/>
  <c r="O1211"/>
  <c r="O1209"/>
  <c r="O1207"/>
  <c r="O1205"/>
  <c r="O1203"/>
  <c r="O1201"/>
  <c r="O1199"/>
  <c r="O1197"/>
  <c r="O1195"/>
  <c r="O1193"/>
  <c r="O1191"/>
  <c r="O1189"/>
  <c r="O1187"/>
  <c r="O1185"/>
  <c r="O1183"/>
  <c r="O1181"/>
  <c r="O1179"/>
  <c r="O1177"/>
  <c r="O1175"/>
  <c r="O1173"/>
  <c r="O1171"/>
  <c r="O1169"/>
  <c r="O1167"/>
  <c r="O1165"/>
  <c r="O1163"/>
  <c r="O1161"/>
  <c r="O1159"/>
  <c r="O1157"/>
  <c r="O1155"/>
  <c r="O1153"/>
  <c r="O1151"/>
  <c r="O1149"/>
  <c r="O1147"/>
  <c r="O1145"/>
  <c r="O1143"/>
  <c r="O1141"/>
  <c r="O1139"/>
  <c r="O1137"/>
  <c r="O1135"/>
  <c r="O1133"/>
  <c r="O1131"/>
  <c r="O1129"/>
  <c r="O1127"/>
  <c r="O1125"/>
  <c r="O1123"/>
  <c r="O1121"/>
  <c r="O1119"/>
  <c r="O1117"/>
  <c r="O1115"/>
  <c r="O1113"/>
  <c r="O1111"/>
  <c r="O1109"/>
  <c r="O1107"/>
  <c r="O1105"/>
  <c r="O1103"/>
  <c r="O1101"/>
  <c r="O1099"/>
  <c r="O1097"/>
  <c r="O1095"/>
  <c r="O1093"/>
  <c r="O1091"/>
  <c r="O1089"/>
  <c r="O1087"/>
  <c r="O1085"/>
  <c r="O1083"/>
  <c r="O1081"/>
  <c r="O1079"/>
  <c r="O1077"/>
  <c r="O1075"/>
  <c r="O1073"/>
  <c r="O1071"/>
  <c r="O1069"/>
  <c r="O1067"/>
  <c r="O1065"/>
  <c r="O1063"/>
  <c r="O1061"/>
  <c r="O1059"/>
  <c r="O1057"/>
  <c r="O1055"/>
  <c r="O1053"/>
  <c r="O1051"/>
  <c r="O1049"/>
  <c r="O1047"/>
  <c r="O1045"/>
  <c r="O1043"/>
  <c r="O1041"/>
  <c r="O1039"/>
  <c r="O1037"/>
  <c r="O1035"/>
  <c r="O1033"/>
  <c r="O1031"/>
  <c r="O1029"/>
  <c r="O1027"/>
  <c r="O1025"/>
  <c r="O1023"/>
  <c r="O1021"/>
  <c r="O1019"/>
  <c r="O1017"/>
  <c r="O1015"/>
  <c r="O1013"/>
  <c r="O54"/>
  <c r="O1011"/>
  <c r="O1009"/>
  <c r="O1007"/>
  <c r="O1005"/>
  <c r="O1003"/>
  <c r="O1001"/>
  <c r="O999"/>
  <c r="O997"/>
  <c r="O995"/>
  <c r="O993"/>
  <c r="O991"/>
  <c r="O989"/>
  <c r="O987"/>
  <c r="O985"/>
  <c r="O983"/>
  <c r="O981"/>
  <c r="O979"/>
  <c r="O977"/>
  <c r="O975"/>
  <c r="O973"/>
  <c r="O971"/>
  <c r="O969"/>
  <c r="O967"/>
  <c r="O965"/>
  <c r="O963"/>
  <c r="O961"/>
  <c r="O959"/>
  <c r="O957"/>
  <c r="O955"/>
  <c r="O953"/>
  <c r="O951"/>
  <c r="O949"/>
  <c r="O947"/>
  <c r="O945"/>
  <c r="O943"/>
  <c r="O941"/>
  <c r="O939"/>
  <c r="O937"/>
  <c r="O935"/>
  <c r="O933"/>
  <c r="O931"/>
  <c r="O929"/>
  <c r="O927"/>
  <c r="O925"/>
  <c r="O923"/>
  <c r="O921"/>
  <c r="O919"/>
  <c r="O917"/>
  <c r="O915"/>
  <c r="O913"/>
  <c r="O911"/>
  <c r="O909"/>
  <c r="O907"/>
  <c r="O905"/>
  <c r="O903"/>
  <c r="O901"/>
  <c r="O899"/>
  <c r="O897"/>
  <c r="O895"/>
  <c r="O893"/>
  <c r="O891"/>
  <c r="O889"/>
  <c r="O887"/>
  <c r="O885"/>
  <c r="O883"/>
  <c r="O881"/>
  <c r="O879"/>
  <c r="O877"/>
  <c r="O875"/>
  <c r="O873"/>
  <c r="O871"/>
  <c r="O869"/>
  <c r="O867"/>
  <c r="O865"/>
  <c r="O863"/>
  <c r="O861"/>
  <c r="O859"/>
  <c r="O857"/>
  <c r="O855"/>
  <c r="O853"/>
  <c r="O851"/>
  <c r="O849"/>
  <c r="O847"/>
  <c r="O845"/>
  <c r="O843"/>
  <c r="O841"/>
  <c r="O839"/>
  <c r="O837"/>
  <c r="O835"/>
  <c r="O833"/>
  <c r="O831"/>
  <c r="O829"/>
  <c r="O827"/>
  <c r="O825"/>
  <c r="O823"/>
  <c r="O821"/>
  <c r="O819"/>
  <c r="O817"/>
  <c r="O815"/>
  <c r="O813"/>
  <c r="O811"/>
  <c r="O809"/>
  <c r="O807"/>
  <c r="O805"/>
  <c r="O803"/>
  <c r="O801"/>
  <c r="O799"/>
  <c r="O797"/>
  <c r="O795"/>
  <c r="O793"/>
  <c r="O791"/>
  <c r="O789"/>
  <c r="O787"/>
  <c r="O785"/>
  <c r="O783"/>
  <c r="O781"/>
  <c r="O779"/>
  <c r="O777"/>
  <c r="O775"/>
  <c r="O773"/>
  <c r="O771"/>
  <c r="O769"/>
  <c r="O767"/>
  <c r="O765"/>
  <c r="O763"/>
  <c r="O761"/>
  <c r="O759"/>
  <c r="O757"/>
  <c r="O755"/>
  <c r="O753"/>
  <c r="O751"/>
  <c r="O749"/>
  <c r="O747"/>
  <c r="O745"/>
  <c r="O743"/>
  <c r="O741"/>
  <c r="O739"/>
  <c r="O737"/>
  <c r="O735"/>
  <c r="O733"/>
  <c r="O731"/>
  <c r="O729"/>
  <c r="O727"/>
  <c r="O725"/>
  <c r="O723"/>
  <c r="O721"/>
  <c r="O719"/>
  <c r="O717"/>
  <c r="O715"/>
  <c r="O713"/>
  <c r="O711"/>
  <c r="O709"/>
  <c r="O707"/>
  <c r="O705"/>
  <c r="O703"/>
  <c r="O701"/>
  <c r="O699"/>
  <c r="O697"/>
  <c r="O695"/>
  <c r="O693"/>
  <c r="O691"/>
  <c r="O689"/>
  <c r="O687"/>
  <c r="O685"/>
  <c r="O683"/>
  <c r="O681"/>
  <c r="O679"/>
  <c r="O677"/>
  <c r="O675"/>
  <c r="O673"/>
  <c r="O671"/>
  <c r="O669"/>
  <c r="O667"/>
  <c r="O665"/>
  <c r="O663"/>
  <c r="O661"/>
  <c r="O659"/>
  <c r="O657"/>
  <c r="O655"/>
  <c r="O653"/>
  <c r="O651"/>
  <c r="O649"/>
  <c r="O647"/>
  <c r="O645"/>
  <c r="O643"/>
  <c r="O641"/>
  <c r="O639"/>
  <c r="O637"/>
  <c r="O635"/>
  <c r="O633"/>
  <c r="O631"/>
  <c r="O629"/>
  <c r="O627"/>
  <c r="O625"/>
  <c r="O623"/>
  <c r="O621"/>
  <c r="O619"/>
  <c r="O617"/>
  <c r="O615"/>
  <c r="O613"/>
  <c r="O611"/>
  <c r="O609"/>
  <c r="O607"/>
  <c r="O605"/>
  <c r="O603"/>
  <c r="O601"/>
  <c r="O599"/>
  <c r="O597"/>
  <c r="O595"/>
  <c r="O593"/>
  <c r="O591"/>
  <c r="O589"/>
  <c r="O587"/>
  <c r="O585"/>
  <c r="O583"/>
  <c r="O581"/>
  <c r="O579"/>
  <c r="O577"/>
  <c r="O575"/>
  <c r="O573"/>
  <c r="O571"/>
  <c r="O569"/>
  <c r="O567"/>
  <c r="O565"/>
  <c r="O563"/>
  <c r="O561"/>
  <c r="O559"/>
  <c r="O557"/>
  <c r="O555"/>
  <c r="O553"/>
  <c r="O551"/>
  <c r="O549"/>
  <c r="O547"/>
  <c r="O545"/>
  <c r="O543"/>
  <c r="O541"/>
  <c r="O539"/>
  <c r="O537"/>
  <c r="O535"/>
  <c r="O533"/>
  <c r="O531"/>
  <c r="O529"/>
  <c r="O527"/>
  <c r="O525"/>
  <c r="O523"/>
  <c r="O521"/>
  <c r="O519"/>
  <c r="O517"/>
  <c r="O515"/>
  <c r="O513"/>
  <c r="O511"/>
  <c r="O509"/>
  <c r="O507"/>
  <c r="O505"/>
  <c r="O503"/>
  <c r="O501"/>
  <c r="O499"/>
  <c r="O497"/>
  <c r="O495"/>
  <c r="O493"/>
  <c r="O491"/>
  <c r="O489"/>
  <c r="O487"/>
  <c r="O485"/>
  <c r="O483"/>
  <c r="O481"/>
  <c r="O479"/>
  <c r="O477"/>
  <c r="O475"/>
  <c r="O473"/>
  <c r="O471"/>
  <c r="O469"/>
  <c r="O467"/>
  <c r="O465"/>
  <c r="O463"/>
  <c r="O461"/>
  <c r="O459"/>
  <c r="O457"/>
  <c r="O455"/>
  <c r="O453"/>
  <c r="O451"/>
  <c r="O449"/>
  <c r="O447"/>
  <c r="O445"/>
  <c r="O443"/>
  <c r="O441"/>
  <c r="O439"/>
  <c r="O437"/>
  <c r="O435"/>
  <c r="O433"/>
  <c r="O431"/>
  <c r="O429"/>
  <c r="O427"/>
  <c r="O425"/>
  <c r="O423"/>
  <c r="O421"/>
  <c r="O419"/>
  <c r="O417"/>
  <c r="O415"/>
  <c r="O413"/>
  <c r="O411"/>
  <c r="O409"/>
  <c r="O407"/>
  <c r="O405"/>
  <c r="O403"/>
  <c r="O401"/>
  <c r="O399"/>
  <c r="O397"/>
  <c r="O395"/>
  <c r="O393"/>
  <c r="O391"/>
  <c r="O389"/>
  <c r="O387"/>
  <c r="O385"/>
  <c r="O383"/>
  <c r="O381"/>
  <c r="O379"/>
  <c r="O377"/>
  <c r="O375"/>
  <c r="O373"/>
  <c r="O371"/>
  <c r="O369"/>
  <c r="O367"/>
  <c r="O365"/>
  <c r="O363"/>
  <c r="O361"/>
  <c r="O359"/>
  <c r="O357"/>
  <c r="O355"/>
  <c r="O353"/>
  <c r="O351"/>
  <c r="O349"/>
  <c r="O347"/>
  <c r="O345"/>
  <c r="O343"/>
  <c r="O341"/>
  <c r="O339"/>
  <c r="O337"/>
  <c r="O335"/>
  <c r="O333"/>
  <c r="O331"/>
  <c r="O329"/>
  <c r="O327"/>
  <c r="O325"/>
  <c r="O323"/>
  <c r="O321"/>
  <c r="O319"/>
  <c r="O317"/>
  <c r="O315"/>
  <c r="O313"/>
  <c r="O311"/>
  <c r="O309"/>
  <c r="O307"/>
  <c r="O305"/>
  <c r="O303"/>
  <c r="O301"/>
  <c r="O299"/>
  <c r="O297"/>
  <c r="O295"/>
  <c r="O293"/>
  <c r="O291"/>
  <c r="O289"/>
  <c r="O287"/>
  <c r="O285"/>
  <c r="O283"/>
  <c r="O281"/>
  <c r="O279"/>
  <c r="O277"/>
  <c r="O275"/>
  <c r="O273"/>
  <c r="O271"/>
  <c r="O269"/>
  <c r="O267"/>
  <c r="O265"/>
  <c r="O263"/>
  <c r="O261"/>
  <c r="O259"/>
  <c r="O257"/>
  <c r="O255"/>
  <c r="O253"/>
  <c r="O251"/>
  <c r="O249"/>
  <c r="O247"/>
  <c r="O245"/>
  <c r="O243"/>
  <c r="O241"/>
  <c r="O239"/>
  <c r="O237"/>
  <c r="O235"/>
  <c r="O233"/>
  <c r="O231"/>
  <c r="O229"/>
  <c r="O227"/>
  <c r="O225"/>
  <c r="O223"/>
  <c r="O221"/>
  <c r="O219"/>
  <c r="O217"/>
  <c r="O215"/>
  <c r="O213"/>
  <c r="O211"/>
  <c r="O209"/>
  <c r="O207"/>
  <c r="O205"/>
  <c r="O203"/>
  <c r="O201"/>
  <c r="O199"/>
  <c r="O197"/>
  <c r="O195"/>
  <c r="O193"/>
  <c r="O191"/>
  <c r="O189"/>
  <c r="O187"/>
  <c r="O185"/>
  <c r="O183"/>
  <c r="O181"/>
  <c r="O179"/>
  <c r="O177"/>
  <c r="O175"/>
  <c r="O173"/>
  <c r="O171"/>
  <c r="O169"/>
  <c r="O167"/>
  <c r="O165"/>
  <c r="O163"/>
  <c r="O161"/>
  <c r="O159"/>
  <c r="O157"/>
  <c r="O155"/>
  <c r="O153"/>
  <c r="O151"/>
  <c r="O149"/>
  <c r="O147"/>
  <c r="O145"/>
  <c r="O143"/>
  <c r="O141"/>
  <c r="O139"/>
  <c r="O137"/>
  <c r="O135"/>
  <c r="O133"/>
  <c r="O131"/>
  <c r="O129"/>
  <c r="O127"/>
  <c r="O125"/>
  <c r="O123"/>
  <c r="O121"/>
  <c r="O119"/>
  <c r="O117"/>
  <c r="O115"/>
  <c r="O113"/>
  <c r="O111"/>
  <c r="O109"/>
  <c r="O107"/>
  <c r="O105"/>
  <c r="O103"/>
  <c r="O101"/>
  <c r="O99"/>
  <c r="O97"/>
  <c r="O95"/>
  <c r="O93"/>
  <c r="O91"/>
  <c r="O89"/>
  <c r="O87"/>
  <c r="O85"/>
  <c r="O83"/>
  <c r="O81"/>
  <c r="O79"/>
  <c r="O77"/>
  <c r="O75"/>
  <c r="O73"/>
  <c r="O71"/>
  <c r="O69"/>
  <c r="O67"/>
  <c r="O65"/>
  <c r="O63"/>
  <c r="O61"/>
  <c r="O59"/>
  <c r="O57"/>
  <c r="O55"/>
  <c r="O1682"/>
  <c r="O1680"/>
  <c r="O1678"/>
  <c r="O1676"/>
  <c r="O1674"/>
  <c r="O1672"/>
  <c r="O1670"/>
  <c r="O1668"/>
  <c r="O1666"/>
  <c r="O1664"/>
  <c r="O1662"/>
  <c r="O1660"/>
  <c r="O1658"/>
  <c r="O1656"/>
  <c r="O1654"/>
  <c r="O1652"/>
  <c r="O1650"/>
  <c r="O1648"/>
  <c r="O1646"/>
  <c r="O1644"/>
  <c r="O1642"/>
  <c r="O1640"/>
  <c r="O1638"/>
  <c r="O1636"/>
  <c r="O1634"/>
  <c r="O1632"/>
  <c r="O1630"/>
  <c r="O1628"/>
  <c r="O1626"/>
  <c r="O1624"/>
  <c r="O1622"/>
  <c r="O1620"/>
  <c r="O1618"/>
  <c r="O1616"/>
  <c r="O1614"/>
  <c r="O1612"/>
  <c r="O1610"/>
  <c r="O1608"/>
  <c r="O1606"/>
  <c r="O1604"/>
  <c r="O1602"/>
  <c r="O1600"/>
  <c r="O1598"/>
  <c r="O1596"/>
  <c r="O1594"/>
  <c r="O1592"/>
  <c r="O1590"/>
  <c r="O1588"/>
  <c r="O1586"/>
  <c r="O1584"/>
  <c r="O1582"/>
  <c r="O1580"/>
  <c r="O1578"/>
  <c r="O1576"/>
  <c r="O1574"/>
  <c r="O1572"/>
  <c r="O1570"/>
  <c r="O1568"/>
  <c r="O1566"/>
  <c r="O1564"/>
  <c r="O1562"/>
  <c r="O1560"/>
  <c r="O1558"/>
  <c r="O1556"/>
  <c r="O1554"/>
  <c r="O1552"/>
  <c r="O1550"/>
  <c r="O1548"/>
  <c r="O1546"/>
  <c r="O1544"/>
  <c r="O1542"/>
  <c r="O1540"/>
  <c r="O1538"/>
  <c r="O1536"/>
  <c r="O1534"/>
  <c r="O1532"/>
  <c r="O1530"/>
  <c r="O1528"/>
  <c r="O1526"/>
  <c r="O1524"/>
  <c r="O1522"/>
  <c r="O1520"/>
  <c r="O1518"/>
  <c r="O1516"/>
  <c r="O1514"/>
  <c r="O1512"/>
  <c r="O1510"/>
  <c r="O1508"/>
  <c r="O1506"/>
  <c r="O1504"/>
  <c r="O1502"/>
  <c r="O1500"/>
  <c r="O1498"/>
  <c r="O1496"/>
  <c r="O1494"/>
  <c r="O1492"/>
  <c r="O1490"/>
  <c r="O1488"/>
  <c r="O1486"/>
  <c r="O1484"/>
  <c r="O1482"/>
  <c r="O1480"/>
  <c r="O1478"/>
  <c r="O1476"/>
  <c r="O1474"/>
  <c r="O1472"/>
  <c r="O1470"/>
  <c r="O1468"/>
  <c r="O1466"/>
  <c r="O1464"/>
  <c r="O1462"/>
  <c r="O1460"/>
  <c r="O1458"/>
  <c r="O1456"/>
  <c r="O1454"/>
  <c r="O1452"/>
  <c r="O1450"/>
  <c r="O1448"/>
  <c r="O1446"/>
  <c r="O1444"/>
  <c r="O1442"/>
  <c r="O1440"/>
  <c r="O1438"/>
  <c r="O1436"/>
  <c r="O1434"/>
  <c r="O1432"/>
  <c r="O1430"/>
  <c r="O1428"/>
  <c r="O1426"/>
  <c r="O1424"/>
  <c r="O1422"/>
  <c r="O1420"/>
  <c r="O1418"/>
  <c r="O1416"/>
  <c r="O1414"/>
  <c r="O1412"/>
  <c r="O1410"/>
  <c r="O1408"/>
  <c r="O1406"/>
  <c r="O1404"/>
  <c r="O1402"/>
  <c r="O1400"/>
  <c r="O1398"/>
  <c r="O1396"/>
  <c r="O1394"/>
  <c r="O1392"/>
  <c r="O1390"/>
  <c r="O1388"/>
  <c r="O1386"/>
  <c r="O1384"/>
  <c r="O1382"/>
  <c r="O1380"/>
  <c r="O1378"/>
  <c r="O1376"/>
  <c r="O1374"/>
  <c r="O1372"/>
  <c r="O1370"/>
  <c r="O1368"/>
  <c r="O1366"/>
  <c r="O1364"/>
  <c r="O1362"/>
  <c r="O1360"/>
  <c r="O1358"/>
  <c r="O1356"/>
  <c r="O1354"/>
  <c r="O1352"/>
  <c r="O1350"/>
  <c r="O1348"/>
  <c r="O1346"/>
  <c r="O1344"/>
  <c r="O1342"/>
  <c r="O1340"/>
  <c r="O1338"/>
  <c r="O1336"/>
  <c r="O1334"/>
  <c r="O1332"/>
  <c r="O1330"/>
  <c r="O1328"/>
  <c r="O1326"/>
  <c r="O1324"/>
  <c r="O1322"/>
  <c r="O1320"/>
  <c r="O1318"/>
  <c r="O1316"/>
  <c r="O1314"/>
  <c r="O1312"/>
  <c r="O1310"/>
  <c r="O1308"/>
  <c r="O1306"/>
  <c r="O1304"/>
  <c r="O1302"/>
  <c r="O1300"/>
  <c r="O1298"/>
  <c r="O1296"/>
  <c r="O1294"/>
  <c r="O1292"/>
  <c r="O1290"/>
  <c r="O1288"/>
  <c r="O1286"/>
  <c r="O1284"/>
  <c r="O1282"/>
  <c r="O1280"/>
  <c r="O1278"/>
  <c r="O1276"/>
  <c r="O1274"/>
  <c r="O1272"/>
  <c r="O1270"/>
  <c r="O1268"/>
  <c r="O1266"/>
  <c r="O1264"/>
  <c r="O1262"/>
  <c r="O1260"/>
  <c r="O1258"/>
  <c r="O1256"/>
  <c r="O1254"/>
  <c r="O1252"/>
  <c r="O1250"/>
  <c r="O1248"/>
  <c r="O1246"/>
  <c r="O1244"/>
  <c r="O1242"/>
  <c r="O1240"/>
  <c r="O1238"/>
  <c r="O1236"/>
  <c r="O1234"/>
  <c r="O1232"/>
  <c r="O1230"/>
  <c r="O1228"/>
  <c r="O1226"/>
  <c r="O1224"/>
  <c r="O1222"/>
  <c r="O1220"/>
  <c r="O1218"/>
  <c r="O1216"/>
  <c r="O1214"/>
  <c r="O1212"/>
  <c r="O1210"/>
  <c r="O1208"/>
  <c r="O1206"/>
  <c r="O1204"/>
  <c r="O1202"/>
  <c r="O1200"/>
  <c r="O1198"/>
  <c r="O1196"/>
  <c r="O1194"/>
  <c r="O1192"/>
  <c r="O1190"/>
  <c r="O1188"/>
  <c r="O1186"/>
  <c r="O1184"/>
  <c r="O1182"/>
  <c r="O1180"/>
  <c r="O1178"/>
  <c r="O1176"/>
  <c r="O1174"/>
  <c r="O1172"/>
  <c r="O1170"/>
  <c r="O1168"/>
  <c r="O1166"/>
  <c r="O1164"/>
  <c r="O1162"/>
  <c r="O1160"/>
  <c r="O1158"/>
  <c r="O1156"/>
  <c r="O1154"/>
  <c r="O1152"/>
  <c r="O1150"/>
  <c r="O1148"/>
  <c r="O1146"/>
  <c r="O1144"/>
  <c r="O1142"/>
  <c r="O1140"/>
  <c r="O1138"/>
  <c r="O1136"/>
  <c r="O1134"/>
  <c r="O1132"/>
  <c r="O1130"/>
  <c r="O1128"/>
  <c r="O1126"/>
  <c r="O1124"/>
  <c r="O1122"/>
  <c r="O1120"/>
  <c r="O1118"/>
  <c r="O1116"/>
  <c r="O1114"/>
  <c r="O1112"/>
  <c r="O1110"/>
  <c r="O1108"/>
  <c r="O1106"/>
  <c r="O1104"/>
  <c r="O1102"/>
  <c r="O1100"/>
  <c r="O1098"/>
  <c r="O1096"/>
  <c r="O1094"/>
  <c r="O1092"/>
  <c r="O1090"/>
  <c r="O1088"/>
  <c r="O1086"/>
  <c r="O1084"/>
  <c r="O1082"/>
  <c r="O1080"/>
  <c r="O1078"/>
  <c r="O1076"/>
  <c r="O1074"/>
  <c r="O1072"/>
  <c r="O1070"/>
  <c r="O1068"/>
  <c r="O1066"/>
  <c r="O1064"/>
  <c r="O1062"/>
  <c r="O1060"/>
  <c r="O1058"/>
  <c r="O1056"/>
  <c r="O1054"/>
  <c r="O1052"/>
  <c r="O1050"/>
  <c r="O1048"/>
  <c r="O1046"/>
  <c r="O1044"/>
  <c r="O1042"/>
  <c r="O1040"/>
  <c r="O1038"/>
  <c r="O1036"/>
  <c r="O1034"/>
  <c r="O1032"/>
  <c r="O1030"/>
  <c r="O1028"/>
  <c r="O1026"/>
  <c r="O1024"/>
  <c r="O1022"/>
  <c r="O1020"/>
  <c r="O1018"/>
  <c r="O1016"/>
  <c r="O1014"/>
  <c r="O1012"/>
  <c r="O1010"/>
  <c r="O1008"/>
  <c r="O1006"/>
  <c r="O1004"/>
  <c r="O1002"/>
  <c r="O1000"/>
  <c r="O998"/>
  <c r="O996"/>
  <c r="O994"/>
  <c r="O992"/>
  <c r="O990"/>
  <c r="O988"/>
  <c r="O986"/>
  <c r="O984"/>
  <c r="O982"/>
  <c r="O980"/>
  <c r="O978"/>
  <c r="O976"/>
  <c r="O974"/>
  <c r="O972"/>
  <c r="O970"/>
  <c r="O968"/>
  <c r="O966"/>
  <c r="O964"/>
  <c r="O962"/>
  <c r="O960"/>
  <c r="O958"/>
  <c r="O956"/>
  <c r="O954"/>
  <c r="O952"/>
  <c r="O950"/>
  <c r="O948"/>
  <c r="O946"/>
  <c r="O944"/>
  <c r="O942"/>
  <c r="O940"/>
  <c r="O938"/>
  <c r="O936"/>
  <c r="O934"/>
  <c r="O932"/>
  <c r="O930"/>
  <c r="O928"/>
  <c r="O926"/>
  <c r="O924"/>
  <c r="O922"/>
  <c r="O920"/>
  <c r="O918"/>
  <c r="O916"/>
  <c r="O914"/>
  <c r="O912"/>
  <c r="O910"/>
  <c r="O908"/>
  <c r="O906"/>
  <c r="O904"/>
  <c r="O902"/>
  <c r="O900"/>
  <c r="O898"/>
  <c r="O896"/>
  <c r="O894"/>
  <c r="O892"/>
  <c r="O890"/>
  <c r="O888"/>
  <c r="O886"/>
  <c r="O884"/>
  <c r="O882"/>
  <c r="O880"/>
  <c r="O878"/>
  <c r="O876"/>
  <c r="O874"/>
  <c r="O872"/>
  <c r="O870"/>
  <c r="O868"/>
  <c r="O866"/>
  <c r="O864"/>
  <c r="O862"/>
  <c r="O860"/>
  <c r="O858"/>
  <c r="O856"/>
  <c r="O854"/>
  <c r="O852"/>
  <c r="O850"/>
  <c r="O848"/>
  <c r="O846"/>
  <c r="O844"/>
  <c r="O842"/>
  <c r="O840"/>
  <c r="O838"/>
  <c r="O836"/>
  <c r="O834"/>
  <c r="O832"/>
  <c r="O830"/>
  <c r="O828"/>
  <c r="O826"/>
  <c r="O824"/>
  <c r="O822"/>
  <c r="O820"/>
  <c r="O818"/>
  <c r="O816"/>
  <c r="O814"/>
  <c r="O812"/>
  <c r="O810"/>
  <c r="O808"/>
  <c r="O806"/>
  <c r="O804"/>
  <c r="O802"/>
  <c r="O800"/>
  <c r="O798"/>
  <c r="O796"/>
  <c r="O794"/>
  <c r="O792"/>
  <c r="O790"/>
  <c r="O788"/>
  <c r="O786"/>
  <c r="O784"/>
  <c r="O782"/>
  <c r="O780"/>
  <c r="O778"/>
  <c r="O776"/>
  <c r="O774"/>
  <c r="O772"/>
  <c r="O770"/>
  <c r="O768"/>
  <c r="O766"/>
  <c r="O764"/>
  <c r="O762"/>
  <c r="O760"/>
  <c r="O758"/>
  <c r="O756"/>
  <c r="O754"/>
  <c r="O752"/>
  <c r="O750"/>
  <c r="O748"/>
  <c r="O746"/>
  <c r="O744"/>
  <c r="O742"/>
  <c r="O740"/>
  <c r="O738"/>
  <c r="O736"/>
  <c r="O734"/>
  <c r="O732"/>
  <c r="O730"/>
  <c r="O728"/>
  <c r="O726"/>
  <c r="O724"/>
  <c r="O722"/>
  <c r="O720"/>
  <c r="O718"/>
  <c r="O716"/>
  <c r="O714"/>
  <c r="O712"/>
  <c r="O710"/>
  <c r="O708"/>
  <c r="O706"/>
  <c r="O704"/>
  <c r="O702"/>
  <c r="O700"/>
  <c r="O698"/>
  <c r="O696"/>
  <c r="O694"/>
  <c r="O692"/>
  <c r="O690"/>
  <c r="O688"/>
  <c r="O686"/>
  <c r="O684"/>
  <c r="O682"/>
  <c r="O680"/>
  <c r="O678"/>
  <c r="O676"/>
  <c r="O674"/>
  <c r="O672"/>
  <c r="O670"/>
  <c r="O668"/>
  <c r="O666"/>
  <c r="O664"/>
  <c r="O662"/>
  <c r="O660"/>
  <c r="O658"/>
  <c r="O656"/>
  <c r="O654"/>
  <c r="O652"/>
  <c r="O650"/>
  <c r="O648"/>
  <c r="O646"/>
  <c r="O644"/>
  <c r="O642"/>
  <c r="O640"/>
  <c r="O638"/>
  <c r="O636"/>
  <c r="O634"/>
  <c r="O632"/>
  <c r="O630"/>
  <c r="O628"/>
  <c r="O626"/>
  <c r="O624"/>
  <c r="O622"/>
  <c r="O620"/>
  <c r="O618"/>
  <c r="O616"/>
  <c r="O614"/>
  <c r="O612"/>
  <c r="O610"/>
  <c r="O608"/>
  <c r="O606"/>
  <c r="O604"/>
  <c r="O602"/>
  <c r="O600"/>
  <c r="O598"/>
  <c r="O596"/>
  <c r="O594"/>
  <c r="O592"/>
  <c r="O590"/>
  <c r="O588"/>
  <c r="O586"/>
  <c r="O584"/>
  <c r="O582"/>
  <c r="O580"/>
  <c r="O578"/>
  <c r="O576"/>
  <c r="O574"/>
  <c r="O572"/>
  <c r="O570"/>
  <c r="O568"/>
  <c r="O566"/>
  <c r="O564"/>
  <c r="O562"/>
  <c r="O560"/>
  <c r="O558"/>
  <c r="O556"/>
  <c r="O554"/>
  <c r="O552"/>
  <c r="O550"/>
  <c r="O548"/>
  <c r="O546"/>
  <c r="O544"/>
  <c r="O542"/>
  <c r="O540"/>
  <c r="O538"/>
  <c r="O536"/>
  <c r="O534"/>
  <c r="O532"/>
  <c r="O530"/>
  <c r="O528"/>
  <c r="O526"/>
  <c r="O524"/>
  <c r="O522"/>
  <c r="O520"/>
  <c r="O518"/>
  <c r="O516"/>
  <c r="O514"/>
  <c r="O512"/>
  <c r="O510"/>
  <c r="O508"/>
  <c r="O506"/>
  <c r="O504"/>
  <c r="O502"/>
  <c r="O500"/>
  <c r="O498"/>
  <c r="O496"/>
  <c r="O494"/>
  <c r="O492"/>
  <c r="O490"/>
  <c r="O488"/>
  <c r="O486"/>
  <c r="O484"/>
  <c r="O482"/>
  <c r="O480"/>
  <c r="O478"/>
  <c r="O476"/>
  <c r="O474"/>
  <c r="O472"/>
  <c r="O470"/>
  <c r="O468"/>
  <c r="O466"/>
  <c r="O464"/>
  <c r="O462"/>
  <c r="O460"/>
  <c r="O458"/>
  <c r="O456"/>
  <c r="O454"/>
  <c r="O452"/>
  <c r="O450"/>
  <c r="O448"/>
  <c r="O446"/>
  <c r="O444"/>
  <c r="O442"/>
  <c r="O440"/>
  <c r="O438"/>
  <c r="O436"/>
  <c r="O434"/>
  <c r="O432"/>
  <c r="O430"/>
  <c r="O428"/>
  <c r="O426"/>
  <c r="O424"/>
  <c r="O422"/>
  <c r="O420"/>
  <c r="O418"/>
  <c r="O416"/>
  <c r="O414"/>
  <c r="O412"/>
  <c r="O410"/>
  <c r="O408"/>
  <c r="O406"/>
  <c r="O404"/>
  <c r="O402"/>
  <c r="O400"/>
  <c r="O398"/>
  <c r="O396"/>
  <c r="O394"/>
  <c r="O392"/>
  <c r="O390"/>
  <c r="O388"/>
  <c r="O386"/>
  <c r="O384"/>
  <c r="O382"/>
  <c r="O380"/>
  <c r="O378"/>
  <c r="O376"/>
  <c r="O374"/>
  <c r="O372"/>
  <c r="O370"/>
  <c r="O368"/>
  <c r="O366"/>
  <c r="O364"/>
  <c r="O362"/>
  <c r="O360"/>
  <c r="O358"/>
  <c r="O356"/>
  <c r="O354"/>
  <c r="O352"/>
  <c r="O350"/>
  <c r="O348"/>
  <c r="O346"/>
  <c r="O344"/>
  <c r="O342"/>
  <c r="O340"/>
  <c r="O338"/>
  <c r="O336"/>
  <c r="O334"/>
  <c r="O332"/>
  <c r="O330"/>
  <c r="O328"/>
  <c r="O326"/>
  <c r="O324"/>
  <c r="O322"/>
  <c r="O320"/>
  <c r="O318"/>
  <c r="O316"/>
  <c r="O314"/>
  <c r="O312"/>
  <c r="O310"/>
  <c r="O308"/>
  <c r="O306"/>
  <c r="O304"/>
  <c r="O302"/>
  <c r="O300"/>
  <c r="O298"/>
  <c r="O296"/>
  <c r="O294"/>
  <c r="O292"/>
  <c r="O290"/>
  <c r="O288"/>
  <c r="O286"/>
  <c r="O284"/>
  <c r="O282"/>
  <c r="O280"/>
  <c r="O278"/>
  <c r="O276"/>
  <c r="O274"/>
  <c r="O272"/>
  <c r="O270"/>
  <c r="O268"/>
  <c r="O266"/>
  <c r="O264"/>
  <c r="O262"/>
  <c r="O260"/>
  <c r="O258"/>
  <c r="O256"/>
  <c r="O254"/>
  <c r="O252"/>
  <c r="O250"/>
  <c r="O248"/>
  <c r="O246"/>
  <c r="O244"/>
  <c r="O242"/>
  <c r="O240"/>
  <c r="O238"/>
  <c r="O236"/>
  <c r="O234"/>
  <c r="O232"/>
  <c r="O230"/>
  <c r="O228"/>
  <c r="O226"/>
  <c r="O224"/>
  <c r="O222"/>
  <c r="O220"/>
  <c r="O218"/>
  <c r="O216"/>
  <c r="O214"/>
  <c r="O212"/>
  <c r="O210"/>
  <c r="O208"/>
  <c r="O206"/>
  <c r="O204"/>
  <c r="O202"/>
  <c r="O200"/>
  <c r="O198"/>
  <c r="O196"/>
  <c r="O194"/>
  <c r="O192"/>
  <c r="O190"/>
  <c r="O188"/>
  <c r="O186"/>
  <c r="O184"/>
  <c r="O182"/>
  <c r="O180"/>
  <c r="O178"/>
  <c r="O176"/>
  <c r="O174"/>
  <c r="O172"/>
  <c r="O170"/>
  <c r="O168"/>
  <c r="O166"/>
  <c r="O164"/>
  <c r="O162"/>
  <c r="O160"/>
  <c r="O158"/>
  <c r="O156"/>
  <c r="O154"/>
  <c r="O152"/>
  <c r="O150"/>
  <c r="O148"/>
  <c r="O146"/>
  <c r="O144"/>
  <c r="O142"/>
  <c r="O140"/>
  <c r="O138"/>
  <c r="O136"/>
  <c r="O134"/>
  <c r="O132"/>
  <c r="O130"/>
  <c r="O128"/>
  <c r="O126"/>
  <c r="O124"/>
  <c r="O122"/>
  <c r="O120"/>
  <c r="O118"/>
  <c r="O116"/>
  <c r="O114"/>
  <c r="O112"/>
  <c r="O110"/>
  <c r="O108"/>
  <c r="O106"/>
  <c r="O104"/>
  <c r="O102"/>
  <c r="O100"/>
  <c r="O98"/>
  <c r="O96"/>
  <c r="O94"/>
  <c r="O92"/>
  <c r="O90"/>
  <c r="O88"/>
  <c r="O86"/>
  <c r="O84"/>
  <c r="O82"/>
  <c r="O80"/>
  <c r="O78"/>
  <c r="O76"/>
  <c r="O74"/>
  <c r="O72"/>
  <c r="O70"/>
  <c r="O68"/>
  <c r="O66"/>
  <c r="O64"/>
  <c r="O62"/>
  <c r="O60"/>
  <c r="O58"/>
  <c r="O56"/>
  <c r="O53"/>
  <c r="J54" s="1"/>
  <c r="Y566" l="1"/>
  <c r="I566" s="1"/>
  <c r="U568"/>
  <c r="W567"/>
  <c r="X567"/>
  <c r="J55"/>
  <c r="K55" s="1"/>
  <c r="K54"/>
  <c r="L54" s="1"/>
  <c r="Y567" l="1"/>
  <c r="I567" s="1"/>
  <c r="U569"/>
  <c r="W568"/>
  <c r="X568"/>
  <c r="L55"/>
  <c r="J56"/>
  <c r="K56" s="1"/>
  <c r="Y568" l="1"/>
  <c r="I568" s="1"/>
  <c r="U570"/>
  <c r="W569"/>
  <c r="X569"/>
  <c r="L56"/>
  <c r="J57"/>
  <c r="Y569" l="1"/>
  <c r="I569" s="1"/>
  <c r="U571"/>
  <c r="W570"/>
  <c r="X570"/>
  <c r="J58"/>
  <c r="K58" s="1"/>
  <c r="K57"/>
  <c r="L57" s="1"/>
  <c r="Y570" l="1"/>
  <c r="I570" s="1"/>
  <c r="U572"/>
  <c r="W571"/>
  <c r="X571"/>
  <c r="L58"/>
  <c r="J59"/>
  <c r="K59" s="1"/>
  <c r="Y571" l="1"/>
  <c r="I571" s="1"/>
  <c r="U573"/>
  <c r="W572"/>
  <c r="X572"/>
  <c r="L59"/>
  <c r="J60"/>
  <c r="K60" s="1"/>
  <c r="Y572" l="1"/>
  <c r="I572" s="1"/>
  <c r="U574"/>
  <c r="W573"/>
  <c r="X573"/>
  <c r="L60"/>
  <c r="J61"/>
  <c r="K61" s="1"/>
  <c r="Y573" l="1"/>
  <c r="I573" s="1"/>
  <c r="U575"/>
  <c r="W574"/>
  <c r="X574"/>
  <c r="L61"/>
  <c r="J62"/>
  <c r="K62" s="1"/>
  <c r="Y574" l="1"/>
  <c r="I574" s="1"/>
  <c r="U576"/>
  <c r="W575"/>
  <c r="X575"/>
  <c r="L62"/>
  <c r="J63"/>
  <c r="K63" s="1"/>
  <c r="Y575" l="1"/>
  <c r="I575" s="1"/>
  <c r="U577"/>
  <c r="W576"/>
  <c r="X576"/>
  <c r="L63"/>
  <c r="J64"/>
  <c r="Y576" l="1"/>
  <c r="I576" s="1"/>
  <c r="U578"/>
  <c r="W577"/>
  <c r="X577"/>
  <c r="J65"/>
  <c r="K64"/>
  <c r="L64" s="1"/>
  <c r="Y577" l="1"/>
  <c r="I577" s="1"/>
  <c r="U579"/>
  <c r="W578"/>
  <c r="X578"/>
  <c r="J66"/>
  <c r="K65"/>
  <c r="L65" s="1"/>
  <c r="Y578" l="1"/>
  <c r="I578" s="1"/>
  <c r="U580"/>
  <c r="W579"/>
  <c r="X579"/>
  <c r="J67"/>
  <c r="K66"/>
  <c r="L66" s="1"/>
  <c r="Y579" l="1"/>
  <c r="I579" s="1"/>
  <c r="U581"/>
  <c r="W580"/>
  <c r="X580"/>
  <c r="J68"/>
  <c r="K67"/>
  <c r="L67" s="1"/>
  <c r="Y580" l="1"/>
  <c r="I580" s="1"/>
  <c r="U582"/>
  <c r="W581"/>
  <c r="X581"/>
  <c r="J69"/>
  <c r="K68"/>
  <c r="L68" s="1"/>
  <c r="Y581" l="1"/>
  <c r="I581" s="1"/>
  <c r="U583"/>
  <c r="W582"/>
  <c r="X582"/>
  <c r="J70"/>
  <c r="K69"/>
  <c r="L69" s="1"/>
  <c r="Y582" l="1"/>
  <c r="I582" s="1"/>
  <c r="U584"/>
  <c r="W583"/>
  <c r="X583"/>
  <c r="J71"/>
  <c r="K70"/>
  <c r="L70" s="1"/>
  <c r="Y583" l="1"/>
  <c r="I583" s="1"/>
  <c r="U585"/>
  <c r="W584"/>
  <c r="X584"/>
  <c r="J72"/>
  <c r="K71"/>
  <c r="L71" s="1"/>
  <c r="Y584" l="1"/>
  <c r="I584" s="1"/>
  <c r="U586"/>
  <c r="W585"/>
  <c r="X585"/>
  <c r="J73"/>
  <c r="K72"/>
  <c r="L72" s="1"/>
  <c r="Y585" l="1"/>
  <c r="I585" s="1"/>
  <c r="U587"/>
  <c r="W586"/>
  <c r="X586"/>
  <c r="J74"/>
  <c r="K73"/>
  <c r="L73" s="1"/>
  <c r="Y586" l="1"/>
  <c r="I586" s="1"/>
  <c r="U588"/>
  <c r="W587"/>
  <c r="X587"/>
  <c r="J75"/>
  <c r="K74"/>
  <c r="L74" s="1"/>
  <c r="Y587" l="1"/>
  <c r="I587" s="1"/>
  <c r="U589"/>
  <c r="W588"/>
  <c r="X588"/>
  <c r="J76"/>
  <c r="K75"/>
  <c r="L75" s="1"/>
  <c r="Y588" l="1"/>
  <c r="I588" s="1"/>
  <c r="U590"/>
  <c r="W589"/>
  <c r="X589"/>
  <c r="J77"/>
  <c r="K76"/>
  <c r="L76" s="1"/>
  <c r="Y589" l="1"/>
  <c r="I589" s="1"/>
  <c r="U591"/>
  <c r="W590"/>
  <c r="X590"/>
  <c r="J78"/>
  <c r="K77"/>
  <c r="L77" s="1"/>
  <c r="Y590" l="1"/>
  <c r="I590" s="1"/>
  <c r="U592"/>
  <c r="W591"/>
  <c r="X591"/>
  <c r="J79"/>
  <c r="K78"/>
  <c r="L78" s="1"/>
  <c r="Y591" l="1"/>
  <c r="I591" s="1"/>
  <c r="U593"/>
  <c r="W592"/>
  <c r="X592"/>
  <c r="J80"/>
  <c r="K79"/>
  <c r="L79" s="1"/>
  <c r="Y592" l="1"/>
  <c r="I592" s="1"/>
  <c r="U594"/>
  <c r="W593"/>
  <c r="X593"/>
  <c r="J81"/>
  <c r="K80"/>
  <c r="L80" s="1"/>
  <c r="Y593" l="1"/>
  <c r="I593" s="1"/>
  <c r="U595"/>
  <c r="W594"/>
  <c r="X594"/>
  <c r="J82"/>
  <c r="K81"/>
  <c r="L81" s="1"/>
  <c r="Y594" l="1"/>
  <c r="I594" s="1"/>
  <c r="U596"/>
  <c r="W595"/>
  <c r="X595"/>
  <c r="J83"/>
  <c r="K82"/>
  <c r="L82" s="1"/>
  <c r="Y595" l="1"/>
  <c r="I595" s="1"/>
  <c r="U597"/>
  <c r="W596"/>
  <c r="X596"/>
  <c r="J84"/>
  <c r="K83"/>
  <c r="L83" s="1"/>
  <c r="Y596" l="1"/>
  <c r="I596" s="1"/>
  <c r="U598"/>
  <c r="W597"/>
  <c r="X597"/>
  <c r="J85"/>
  <c r="K84"/>
  <c r="L84" s="1"/>
  <c r="Y597" l="1"/>
  <c r="I597" s="1"/>
  <c r="U599"/>
  <c r="W598"/>
  <c r="X598"/>
  <c r="J86"/>
  <c r="K85"/>
  <c r="L85" s="1"/>
  <c r="Y598" l="1"/>
  <c r="I598" s="1"/>
  <c r="U600"/>
  <c r="W599"/>
  <c r="X599"/>
  <c r="J87"/>
  <c r="K86"/>
  <c r="L86" s="1"/>
  <c r="Y599" l="1"/>
  <c r="I599" s="1"/>
  <c r="U601"/>
  <c r="W600"/>
  <c r="X600"/>
  <c r="J88"/>
  <c r="K87"/>
  <c r="L87" s="1"/>
  <c r="Y600" l="1"/>
  <c r="I600" s="1"/>
  <c r="U602"/>
  <c r="W601"/>
  <c r="X601"/>
  <c r="J89"/>
  <c r="K88"/>
  <c r="L88" s="1"/>
  <c r="Y601" l="1"/>
  <c r="I601" s="1"/>
  <c r="U603"/>
  <c r="W602"/>
  <c r="X602"/>
  <c r="J90"/>
  <c r="K89"/>
  <c r="L89" s="1"/>
  <c r="Y602" l="1"/>
  <c r="I602" s="1"/>
  <c r="U604"/>
  <c r="W603"/>
  <c r="X603"/>
  <c r="J91"/>
  <c r="K90"/>
  <c r="L90" s="1"/>
  <c r="Y603" l="1"/>
  <c r="I603" s="1"/>
  <c r="U605"/>
  <c r="W604"/>
  <c r="X604"/>
  <c r="J92"/>
  <c r="K91"/>
  <c r="L91" s="1"/>
  <c r="Y604" l="1"/>
  <c r="I604" s="1"/>
  <c r="U606"/>
  <c r="W605"/>
  <c r="X605"/>
  <c r="J93"/>
  <c r="K92"/>
  <c r="L92" s="1"/>
  <c r="Y605" l="1"/>
  <c r="I605" s="1"/>
  <c r="U607"/>
  <c r="W606"/>
  <c r="X606"/>
  <c r="J94"/>
  <c r="K93"/>
  <c r="L93" s="1"/>
  <c r="Y606" l="1"/>
  <c r="I606" s="1"/>
  <c r="U608"/>
  <c r="W607"/>
  <c r="X607"/>
  <c r="J95"/>
  <c r="K94"/>
  <c r="L94" s="1"/>
  <c r="Y607" l="1"/>
  <c r="I607" s="1"/>
  <c r="U609"/>
  <c r="W608"/>
  <c r="X608"/>
  <c r="J96"/>
  <c r="K95"/>
  <c r="L95" s="1"/>
  <c r="Y608" l="1"/>
  <c r="I608" s="1"/>
  <c r="U610"/>
  <c r="W609"/>
  <c r="X609"/>
  <c r="J97"/>
  <c r="K97" s="1"/>
  <c r="K96"/>
  <c r="L96" s="1"/>
  <c r="Y609" l="1"/>
  <c r="I609" s="1"/>
  <c r="U611"/>
  <c r="W610"/>
  <c r="X610"/>
  <c r="L97"/>
  <c r="J98"/>
  <c r="Y610" l="1"/>
  <c r="I610" s="1"/>
  <c r="U612"/>
  <c r="W611"/>
  <c r="X611"/>
  <c r="J99"/>
  <c r="K98"/>
  <c r="L98" s="1"/>
  <c r="Y611" l="1"/>
  <c r="I611" s="1"/>
  <c r="U613"/>
  <c r="W612"/>
  <c r="X612"/>
  <c r="J100"/>
  <c r="K99"/>
  <c r="L99" s="1"/>
  <c r="Y612" l="1"/>
  <c r="I612" s="1"/>
  <c r="U614"/>
  <c r="W613"/>
  <c r="X613"/>
  <c r="J101"/>
  <c r="K100"/>
  <c r="L100" s="1"/>
  <c r="Y613" l="1"/>
  <c r="I613" s="1"/>
  <c r="U615"/>
  <c r="W614"/>
  <c r="X614"/>
  <c r="J102"/>
  <c r="K101"/>
  <c r="L101" s="1"/>
  <c r="Y614" l="1"/>
  <c r="I614" s="1"/>
  <c r="U616"/>
  <c r="W615"/>
  <c r="X615"/>
  <c r="J103"/>
  <c r="K103" s="1"/>
  <c r="K102"/>
  <c r="L102" s="1"/>
  <c r="Y615" l="1"/>
  <c r="I615" s="1"/>
  <c r="U617"/>
  <c r="W616"/>
  <c r="X616"/>
  <c r="L103"/>
  <c r="J104"/>
  <c r="Y616" l="1"/>
  <c r="I616" s="1"/>
  <c r="U618"/>
  <c r="W617"/>
  <c r="X617"/>
  <c r="J105"/>
  <c r="K104"/>
  <c r="L104" s="1"/>
  <c r="Y617" l="1"/>
  <c r="I617" s="1"/>
  <c r="U619"/>
  <c r="W618"/>
  <c r="X618"/>
  <c r="J106"/>
  <c r="K105"/>
  <c r="L105" s="1"/>
  <c r="Y618" l="1"/>
  <c r="I618" s="1"/>
  <c r="U620"/>
  <c r="W619"/>
  <c r="X619"/>
  <c r="J107"/>
  <c r="K106"/>
  <c r="L106" s="1"/>
  <c r="Y619" l="1"/>
  <c r="I619" s="1"/>
  <c r="U621"/>
  <c r="W620"/>
  <c r="X620"/>
  <c r="J108"/>
  <c r="K107"/>
  <c r="L107" s="1"/>
  <c r="Y620" l="1"/>
  <c r="I620" s="1"/>
  <c r="U622"/>
  <c r="W621"/>
  <c r="X621"/>
  <c r="J109"/>
  <c r="K108"/>
  <c r="L108" s="1"/>
  <c r="Y621" l="1"/>
  <c r="I621" s="1"/>
  <c r="U623"/>
  <c r="W622"/>
  <c r="X622"/>
  <c r="J110"/>
  <c r="K109"/>
  <c r="L109" s="1"/>
  <c r="Y622" l="1"/>
  <c r="I622" s="1"/>
  <c r="U624"/>
  <c r="W623"/>
  <c r="X623"/>
  <c r="J111"/>
  <c r="K110"/>
  <c r="L110" s="1"/>
  <c r="Y623" l="1"/>
  <c r="I623" s="1"/>
  <c r="U625"/>
  <c r="W624"/>
  <c r="X624"/>
  <c r="J112"/>
  <c r="K111"/>
  <c r="L111" s="1"/>
  <c r="Y624" l="1"/>
  <c r="I624" s="1"/>
  <c r="U626"/>
  <c r="W625"/>
  <c r="X625"/>
  <c r="J113"/>
  <c r="K112"/>
  <c r="L112" s="1"/>
  <c r="Y625" l="1"/>
  <c r="I625" s="1"/>
  <c r="U627"/>
  <c r="W626"/>
  <c r="X626"/>
  <c r="J114"/>
  <c r="K113"/>
  <c r="L113" s="1"/>
  <c r="Y626" l="1"/>
  <c r="I626" s="1"/>
  <c r="U628"/>
  <c r="W627"/>
  <c r="X627"/>
  <c r="J115"/>
  <c r="K114"/>
  <c r="L114" s="1"/>
  <c r="Y627" l="1"/>
  <c r="I627" s="1"/>
  <c r="U629"/>
  <c r="W628"/>
  <c r="X628"/>
  <c r="J116"/>
  <c r="K115"/>
  <c r="L115" s="1"/>
  <c r="Y628" l="1"/>
  <c r="I628" s="1"/>
  <c r="U630"/>
  <c r="W629"/>
  <c r="X629"/>
  <c r="J117"/>
  <c r="K116"/>
  <c r="L116" s="1"/>
  <c r="Y629" l="1"/>
  <c r="I629" s="1"/>
  <c r="U631"/>
  <c r="W630"/>
  <c r="X630"/>
  <c r="J118"/>
  <c r="K118" s="1"/>
  <c r="K117"/>
  <c r="L117" s="1"/>
  <c r="Y630" l="1"/>
  <c r="I630" s="1"/>
  <c r="U632"/>
  <c r="W631"/>
  <c r="X631"/>
  <c r="L118"/>
  <c r="J119"/>
  <c r="Y631" l="1"/>
  <c r="I631" s="1"/>
  <c r="U633"/>
  <c r="W632"/>
  <c r="X632"/>
  <c r="J120"/>
  <c r="K120" s="1"/>
  <c r="K119"/>
  <c r="L119" s="1"/>
  <c r="Y632" l="1"/>
  <c r="I632" s="1"/>
  <c r="U634"/>
  <c r="W633"/>
  <c r="X633"/>
  <c r="L120"/>
  <c r="J121"/>
  <c r="Y633" l="1"/>
  <c r="I633" s="1"/>
  <c r="U635"/>
  <c r="W634"/>
  <c r="X634"/>
  <c r="J122"/>
  <c r="K121"/>
  <c r="L121" s="1"/>
  <c r="Y634" l="1"/>
  <c r="I634" s="1"/>
  <c r="U636"/>
  <c r="W635"/>
  <c r="X635"/>
  <c r="J123"/>
  <c r="K122"/>
  <c r="L122" s="1"/>
  <c r="Y635" l="1"/>
  <c r="I635" s="1"/>
  <c r="U637"/>
  <c r="W636"/>
  <c r="X636"/>
  <c r="J124"/>
  <c r="K123"/>
  <c r="L123" s="1"/>
  <c r="Y636" l="1"/>
  <c r="I636" s="1"/>
  <c r="U638"/>
  <c r="W637"/>
  <c r="X637"/>
  <c r="J125"/>
  <c r="K124"/>
  <c r="L124" s="1"/>
  <c r="Y637" l="1"/>
  <c r="I637" s="1"/>
  <c r="U639"/>
  <c r="W638"/>
  <c r="X638"/>
  <c r="J126"/>
  <c r="K125"/>
  <c r="L125" s="1"/>
  <c r="Y638" l="1"/>
  <c r="I638" s="1"/>
  <c r="U640"/>
  <c r="W639"/>
  <c r="X639"/>
  <c r="J127"/>
  <c r="K126"/>
  <c r="L126" s="1"/>
  <c r="Y639" l="1"/>
  <c r="I639" s="1"/>
  <c r="U641"/>
  <c r="W640"/>
  <c r="X640"/>
  <c r="J128"/>
  <c r="K127"/>
  <c r="L127" s="1"/>
  <c r="Y640" l="1"/>
  <c r="I640" s="1"/>
  <c r="U642"/>
  <c r="W641"/>
  <c r="X641"/>
  <c r="J129"/>
  <c r="K128"/>
  <c r="L128" s="1"/>
  <c r="Y641" l="1"/>
  <c r="I641" s="1"/>
  <c r="U643"/>
  <c r="W642"/>
  <c r="X642"/>
  <c r="J130"/>
  <c r="K129"/>
  <c r="L129" s="1"/>
  <c r="Y642" l="1"/>
  <c r="I642" s="1"/>
  <c r="U644"/>
  <c r="W643"/>
  <c r="X643"/>
  <c r="J131"/>
  <c r="K130"/>
  <c r="L130" s="1"/>
  <c r="Y643" l="1"/>
  <c r="I643" s="1"/>
  <c r="U645"/>
  <c r="W644"/>
  <c r="X644"/>
  <c r="J132"/>
  <c r="K131"/>
  <c r="L131" s="1"/>
  <c r="Y644" l="1"/>
  <c r="I644" s="1"/>
  <c r="U646"/>
  <c r="W645"/>
  <c r="X645"/>
  <c r="J133"/>
  <c r="K132"/>
  <c r="L132" s="1"/>
  <c r="Y645" l="1"/>
  <c r="I645" s="1"/>
  <c r="U647"/>
  <c r="W646"/>
  <c r="X646"/>
  <c r="J134"/>
  <c r="K133"/>
  <c r="L133" s="1"/>
  <c r="Y646" l="1"/>
  <c r="I646" s="1"/>
  <c r="U648"/>
  <c r="W647"/>
  <c r="X647"/>
  <c r="J135"/>
  <c r="K134"/>
  <c r="L134" s="1"/>
  <c r="Y647" l="1"/>
  <c r="I647" s="1"/>
  <c r="U649"/>
  <c r="W648"/>
  <c r="X648"/>
  <c r="J136"/>
  <c r="K135"/>
  <c r="L135" s="1"/>
  <c r="Y648" l="1"/>
  <c r="I648" s="1"/>
  <c r="U650"/>
  <c r="W649"/>
  <c r="X649"/>
  <c r="J137"/>
  <c r="K136"/>
  <c r="L136" s="1"/>
  <c r="Y649" l="1"/>
  <c r="I649" s="1"/>
  <c r="U651"/>
  <c r="W650"/>
  <c r="X650"/>
  <c r="J138"/>
  <c r="K137"/>
  <c r="L137" s="1"/>
  <c r="Y650" l="1"/>
  <c r="I650" s="1"/>
  <c r="U652"/>
  <c r="W651"/>
  <c r="X651"/>
  <c r="J139"/>
  <c r="K138"/>
  <c r="L138" s="1"/>
  <c r="Y651" l="1"/>
  <c r="I651" s="1"/>
  <c r="U653"/>
  <c r="W652"/>
  <c r="X652"/>
  <c r="J140"/>
  <c r="K139"/>
  <c r="L139" s="1"/>
  <c r="Y652" l="1"/>
  <c r="I652" s="1"/>
  <c r="U654"/>
  <c r="W653"/>
  <c r="X653"/>
  <c r="J141"/>
  <c r="K140"/>
  <c r="L140" s="1"/>
  <c r="Y653" l="1"/>
  <c r="I653" s="1"/>
  <c r="U655"/>
  <c r="W654"/>
  <c r="X654"/>
  <c r="J142"/>
  <c r="K142" s="1"/>
  <c r="K141"/>
  <c r="L141" s="1"/>
  <c r="Y654" l="1"/>
  <c r="I654" s="1"/>
  <c r="U656"/>
  <c r="W655"/>
  <c r="X655"/>
  <c r="L142"/>
  <c r="J143"/>
  <c r="Y655" l="1"/>
  <c r="I655" s="1"/>
  <c r="U657"/>
  <c r="W656"/>
  <c r="X656"/>
  <c r="J144"/>
  <c r="K143"/>
  <c r="L143" s="1"/>
  <c r="Y656" l="1"/>
  <c r="I656" s="1"/>
  <c r="U658"/>
  <c r="W657"/>
  <c r="X657"/>
  <c r="J145"/>
  <c r="K145" s="1"/>
  <c r="K144"/>
  <c r="L144" s="1"/>
  <c r="Y657" l="1"/>
  <c r="I657" s="1"/>
  <c r="U659"/>
  <c r="W658"/>
  <c r="X658"/>
  <c r="L145"/>
  <c r="J146"/>
  <c r="K146" s="1"/>
  <c r="Y658" l="1"/>
  <c r="I658" s="1"/>
  <c r="U660"/>
  <c r="W659"/>
  <c r="X659"/>
  <c r="L146"/>
  <c r="J147"/>
  <c r="Y659" l="1"/>
  <c r="I659" s="1"/>
  <c r="U661"/>
  <c r="W660"/>
  <c r="X660"/>
  <c r="J148"/>
  <c r="K147"/>
  <c r="L147" s="1"/>
  <c r="Y660" l="1"/>
  <c r="I660" s="1"/>
  <c r="U662"/>
  <c r="W661"/>
  <c r="X661"/>
  <c r="J149"/>
  <c r="K148"/>
  <c r="L148" s="1"/>
  <c r="Y661" l="1"/>
  <c r="I661" s="1"/>
  <c r="U663"/>
  <c r="W662"/>
  <c r="X662"/>
  <c r="J150"/>
  <c r="K149"/>
  <c r="L149" s="1"/>
  <c r="Y662" l="1"/>
  <c r="I662" s="1"/>
  <c r="U664"/>
  <c r="W663"/>
  <c r="X663"/>
  <c r="J151"/>
  <c r="K150"/>
  <c r="L150" s="1"/>
  <c r="Y663" l="1"/>
  <c r="I663" s="1"/>
  <c r="U665"/>
  <c r="W664"/>
  <c r="X664"/>
  <c r="J152"/>
  <c r="K152" s="1"/>
  <c r="K151"/>
  <c r="L151" s="1"/>
  <c r="Y664" l="1"/>
  <c r="I664" s="1"/>
  <c r="U666"/>
  <c r="W665"/>
  <c r="X665"/>
  <c r="L152"/>
  <c r="J153"/>
  <c r="K153" s="1"/>
  <c r="Y665" l="1"/>
  <c r="I665" s="1"/>
  <c r="U667"/>
  <c r="W666"/>
  <c r="X666"/>
  <c r="L153"/>
  <c r="J154"/>
  <c r="K154" s="1"/>
  <c r="Y666" l="1"/>
  <c r="I666" s="1"/>
  <c r="U668"/>
  <c r="W667"/>
  <c r="X667"/>
  <c r="L154"/>
  <c r="J155"/>
  <c r="K155" s="1"/>
  <c r="Y667" l="1"/>
  <c r="I667" s="1"/>
  <c r="U669"/>
  <c r="W668"/>
  <c r="X668"/>
  <c r="L155"/>
  <c r="J156"/>
  <c r="K156" s="1"/>
  <c r="Y668" l="1"/>
  <c r="I668" s="1"/>
  <c r="U670"/>
  <c r="W669"/>
  <c r="X669"/>
  <c r="L156"/>
  <c r="J157"/>
  <c r="K157" s="1"/>
  <c r="Y669" l="1"/>
  <c r="I669" s="1"/>
  <c r="U671"/>
  <c r="W670"/>
  <c r="X670"/>
  <c r="L157"/>
  <c r="J158"/>
  <c r="K158" s="1"/>
  <c r="Y670" l="1"/>
  <c r="I670" s="1"/>
  <c r="U672"/>
  <c r="W671"/>
  <c r="X671"/>
  <c r="L158"/>
  <c r="J159"/>
  <c r="K159" s="1"/>
  <c r="Y671" l="1"/>
  <c r="I671" s="1"/>
  <c r="U673"/>
  <c r="W672"/>
  <c r="X672"/>
  <c r="L159"/>
  <c r="J160"/>
  <c r="K160" s="1"/>
  <c r="Y672" l="1"/>
  <c r="I672" s="1"/>
  <c r="U674"/>
  <c r="W673"/>
  <c r="X673"/>
  <c r="L160"/>
  <c r="J161"/>
  <c r="K161" s="1"/>
  <c r="Y673" l="1"/>
  <c r="I673" s="1"/>
  <c r="U675"/>
  <c r="W674"/>
  <c r="X674"/>
  <c r="L161"/>
  <c r="J162"/>
  <c r="K162" s="1"/>
  <c r="Y674" l="1"/>
  <c r="I674" s="1"/>
  <c r="U676"/>
  <c r="W675"/>
  <c r="X675"/>
  <c r="L162"/>
  <c r="J163"/>
  <c r="K163" s="1"/>
  <c r="Y675" l="1"/>
  <c r="I675" s="1"/>
  <c r="U677"/>
  <c r="W676"/>
  <c r="X676"/>
  <c r="L163"/>
  <c r="J164"/>
  <c r="K164" s="1"/>
  <c r="Y676" l="1"/>
  <c r="I676" s="1"/>
  <c r="U678"/>
  <c r="W677"/>
  <c r="X677"/>
  <c r="L164"/>
  <c r="J165"/>
  <c r="K165" s="1"/>
  <c r="Y677" l="1"/>
  <c r="I677" s="1"/>
  <c r="U679"/>
  <c r="W678"/>
  <c r="X678"/>
  <c r="L165"/>
  <c r="J166"/>
  <c r="K166" s="1"/>
  <c r="Y678" l="1"/>
  <c r="I678" s="1"/>
  <c r="U680"/>
  <c r="W679"/>
  <c r="X679"/>
  <c r="L166"/>
  <c r="J167"/>
  <c r="K167" s="1"/>
  <c r="Y679" l="1"/>
  <c r="I679" s="1"/>
  <c r="U681"/>
  <c r="W680"/>
  <c r="X680"/>
  <c r="L167"/>
  <c r="J168"/>
  <c r="K168" s="1"/>
  <c r="Y680" l="1"/>
  <c r="I680" s="1"/>
  <c r="U682"/>
  <c r="W681"/>
  <c r="X681"/>
  <c r="L168"/>
  <c r="J169"/>
  <c r="K169" s="1"/>
  <c r="Y681" l="1"/>
  <c r="I681" s="1"/>
  <c r="U683"/>
  <c r="W682"/>
  <c r="X682"/>
  <c r="L169"/>
  <c r="J170"/>
  <c r="K170" s="1"/>
  <c r="Y682" l="1"/>
  <c r="I682" s="1"/>
  <c r="U684"/>
  <c r="W683"/>
  <c r="X683"/>
  <c r="L170"/>
  <c r="J171"/>
  <c r="K171" s="1"/>
  <c r="Y683" l="1"/>
  <c r="I683" s="1"/>
  <c r="U685"/>
  <c r="W684"/>
  <c r="X684"/>
  <c r="L171"/>
  <c r="J172"/>
  <c r="K172" s="1"/>
  <c r="Y684" l="1"/>
  <c r="I684" s="1"/>
  <c r="U686"/>
  <c r="W685"/>
  <c r="X685"/>
  <c r="L172"/>
  <c r="J173"/>
  <c r="K173" s="1"/>
  <c r="Y685" l="1"/>
  <c r="I685" s="1"/>
  <c r="U687"/>
  <c r="W686"/>
  <c r="X686"/>
  <c r="L173"/>
  <c r="J174"/>
  <c r="K174" s="1"/>
  <c r="Y686" l="1"/>
  <c r="I686" s="1"/>
  <c r="U688"/>
  <c r="W687"/>
  <c r="X687"/>
  <c r="L174"/>
  <c r="J175"/>
  <c r="Y687" l="1"/>
  <c r="I687" s="1"/>
  <c r="U689"/>
  <c r="W688"/>
  <c r="X688"/>
  <c r="J176"/>
  <c r="K175"/>
  <c r="L175" s="1"/>
  <c r="Y688" l="1"/>
  <c r="I688" s="1"/>
  <c r="U690"/>
  <c r="W689"/>
  <c r="X689"/>
  <c r="J177"/>
  <c r="K176"/>
  <c r="L176" s="1"/>
  <c r="Y689" l="1"/>
  <c r="I689" s="1"/>
  <c r="U691"/>
  <c r="W690"/>
  <c r="X690"/>
  <c r="J178"/>
  <c r="K177"/>
  <c r="L177" s="1"/>
  <c r="Y690" l="1"/>
  <c r="I690" s="1"/>
  <c r="U692"/>
  <c r="W691"/>
  <c r="X691"/>
  <c r="J179"/>
  <c r="K179" s="1"/>
  <c r="K178"/>
  <c r="L178" s="1"/>
  <c r="Y691" l="1"/>
  <c r="I691" s="1"/>
  <c r="U693"/>
  <c r="W692"/>
  <c r="X692"/>
  <c r="L179"/>
  <c r="J180"/>
  <c r="K180" s="1"/>
  <c r="Y692" l="1"/>
  <c r="I692" s="1"/>
  <c r="U694"/>
  <c r="W693"/>
  <c r="X693"/>
  <c r="L180"/>
  <c r="J181"/>
  <c r="K181" s="1"/>
  <c r="Y693" l="1"/>
  <c r="I693" s="1"/>
  <c r="U695"/>
  <c r="W694"/>
  <c r="X694"/>
  <c r="L181"/>
  <c r="J182"/>
  <c r="K182" s="1"/>
  <c r="Y694" l="1"/>
  <c r="I694" s="1"/>
  <c r="U696"/>
  <c r="W695"/>
  <c r="X695"/>
  <c r="L182"/>
  <c r="J183"/>
  <c r="K183" s="1"/>
  <c r="Y695" l="1"/>
  <c r="I695" s="1"/>
  <c r="U697"/>
  <c r="W696"/>
  <c r="X696"/>
  <c r="L183"/>
  <c r="J184"/>
  <c r="K184" s="1"/>
  <c r="Y696" l="1"/>
  <c r="I696" s="1"/>
  <c r="U698"/>
  <c r="W697"/>
  <c r="X697"/>
  <c r="L184"/>
  <c r="J185"/>
  <c r="K185" s="1"/>
  <c r="Y697" l="1"/>
  <c r="I697" s="1"/>
  <c r="U699"/>
  <c r="W698"/>
  <c r="X698"/>
  <c r="L185"/>
  <c r="J186"/>
  <c r="K186" s="1"/>
  <c r="Y698" l="1"/>
  <c r="I698"/>
  <c r="U700"/>
  <c r="W699"/>
  <c r="X699"/>
  <c r="L186"/>
  <c r="J187"/>
  <c r="K187" s="1"/>
  <c r="Y699" l="1"/>
  <c r="I699" s="1"/>
  <c r="U701"/>
  <c r="W700"/>
  <c r="X700"/>
  <c r="L187"/>
  <c r="J188"/>
  <c r="K188" s="1"/>
  <c r="Y700" l="1"/>
  <c r="I700" s="1"/>
  <c r="U702"/>
  <c r="W701"/>
  <c r="X701"/>
  <c r="L188"/>
  <c r="J189"/>
  <c r="K189" s="1"/>
  <c r="Y701" l="1"/>
  <c r="I701" s="1"/>
  <c r="U703"/>
  <c r="W702"/>
  <c r="X702"/>
  <c r="Y702" s="1"/>
  <c r="L189"/>
  <c r="J190"/>
  <c r="K190" s="1"/>
  <c r="I702" l="1"/>
  <c r="U704"/>
  <c r="W703"/>
  <c r="X703"/>
  <c r="L190"/>
  <c r="J191"/>
  <c r="K191" s="1"/>
  <c r="Y703" l="1"/>
  <c r="I703" s="1"/>
  <c r="U705"/>
  <c r="W704"/>
  <c r="X704"/>
  <c r="L191"/>
  <c r="J192"/>
  <c r="K192" s="1"/>
  <c r="Y704" l="1"/>
  <c r="I704" s="1"/>
  <c r="U706"/>
  <c r="W705"/>
  <c r="X705"/>
  <c r="L192"/>
  <c r="J193"/>
  <c r="K193" s="1"/>
  <c r="Y705" l="1"/>
  <c r="I705" s="1"/>
  <c r="U707"/>
  <c r="W706"/>
  <c r="X706"/>
  <c r="L193"/>
  <c r="J194"/>
  <c r="K194" s="1"/>
  <c r="Y706" l="1"/>
  <c r="I706" s="1"/>
  <c r="U708"/>
  <c r="W707"/>
  <c r="X707"/>
  <c r="L194"/>
  <c r="J195"/>
  <c r="K195" s="1"/>
  <c r="Y707" l="1"/>
  <c r="I707" s="1"/>
  <c r="U709"/>
  <c r="W708"/>
  <c r="X708"/>
  <c r="L195"/>
  <c r="J196"/>
  <c r="K196" s="1"/>
  <c r="Y708" l="1"/>
  <c r="I708" s="1"/>
  <c r="U710"/>
  <c r="W709"/>
  <c r="X709"/>
  <c r="L196"/>
  <c r="J197"/>
  <c r="K197" s="1"/>
  <c r="Y709" l="1"/>
  <c r="I709" s="1"/>
  <c r="U711"/>
  <c r="W710"/>
  <c r="X710"/>
  <c r="L197"/>
  <c r="J198"/>
  <c r="K198" s="1"/>
  <c r="Y710" l="1"/>
  <c r="I710"/>
  <c r="U712"/>
  <c r="W711"/>
  <c r="X711"/>
  <c r="L198"/>
  <c r="J199"/>
  <c r="K199" s="1"/>
  <c r="Y711" l="1"/>
  <c r="I711" s="1"/>
  <c r="U713"/>
  <c r="W712"/>
  <c r="X712"/>
  <c r="L199"/>
  <c r="J200"/>
  <c r="K200" s="1"/>
  <c r="Y712" l="1"/>
  <c r="I712" s="1"/>
  <c r="U714"/>
  <c r="W713"/>
  <c r="X713"/>
  <c r="L200"/>
  <c r="J201"/>
  <c r="K201" s="1"/>
  <c r="Y713" l="1"/>
  <c r="I713" s="1"/>
  <c r="U715"/>
  <c r="W714"/>
  <c r="X714"/>
  <c r="L201"/>
  <c r="J202"/>
  <c r="K202" s="1"/>
  <c r="Y714" l="1"/>
  <c r="I714" s="1"/>
  <c r="U716"/>
  <c r="W715"/>
  <c r="X715"/>
  <c r="L202"/>
  <c r="J203"/>
  <c r="K203" s="1"/>
  <c r="Y715" l="1"/>
  <c r="I715" s="1"/>
  <c r="U717"/>
  <c r="W716"/>
  <c r="X716"/>
  <c r="L203"/>
  <c r="J204"/>
  <c r="K204" s="1"/>
  <c r="Y716" l="1"/>
  <c r="I716" s="1"/>
  <c r="U718"/>
  <c r="W717"/>
  <c r="X717"/>
  <c r="L204"/>
  <c r="J205"/>
  <c r="K205" s="1"/>
  <c r="Y717" l="1"/>
  <c r="I717" s="1"/>
  <c r="U719"/>
  <c r="W718"/>
  <c r="X718"/>
  <c r="L205"/>
  <c r="J206"/>
  <c r="K206" s="1"/>
  <c r="Y718" l="1"/>
  <c r="I718" s="1"/>
  <c r="U720"/>
  <c r="W719"/>
  <c r="X719"/>
  <c r="L206"/>
  <c r="J207"/>
  <c r="K207" s="1"/>
  <c r="Y719" l="1"/>
  <c r="I719" s="1"/>
  <c r="U721"/>
  <c r="W720"/>
  <c r="X720"/>
  <c r="L207"/>
  <c r="J208"/>
  <c r="K208" s="1"/>
  <c r="Y720" l="1"/>
  <c r="I720" s="1"/>
  <c r="U722"/>
  <c r="W721"/>
  <c r="X721"/>
  <c r="L208"/>
  <c r="J209"/>
  <c r="K209" s="1"/>
  <c r="Y721" l="1"/>
  <c r="I721" s="1"/>
  <c r="U723"/>
  <c r="W722"/>
  <c r="X722"/>
  <c r="L209"/>
  <c r="J210"/>
  <c r="K210" s="1"/>
  <c r="Y722" l="1"/>
  <c r="I722" s="1"/>
  <c r="U724"/>
  <c r="W723"/>
  <c r="X723"/>
  <c r="L210"/>
  <c r="J211"/>
  <c r="K211" s="1"/>
  <c r="Y723" l="1"/>
  <c r="I723" s="1"/>
  <c r="U725"/>
  <c r="W724"/>
  <c r="X724"/>
  <c r="L211"/>
  <c r="J212"/>
  <c r="K212" s="1"/>
  <c r="Y724" l="1"/>
  <c r="I724" s="1"/>
  <c r="U726"/>
  <c r="W725"/>
  <c r="X725"/>
  <c r="L212"/>
  <c r="J213"/>
  <c r="K213" s="1"/>
  <c r="Y725" l="1"/>
  <c r="I725" s="1"/>
  <c r="U727"/>
  <c r="W726"/>
  <c r="X726"/>
  <c r="L213"/>
  <c r="J214"/>
  <c r="K214" s="1"/>
  <c r="Y726" l="1"/>
  <c r="I726" s="1"/>
  <c r="U728"/>
  <c r="W727"/>
  <c r="X727"/>
  <c r="L214"/>
  <c r="J215"/>
  <c r="K215" s="1"/>
  <c r="Y727" l="1"/>
  <c r="I727" s="1"/>
  <c r="U729"/>
  <c r="W728"/>
  <c r="X728"/>
  <c r="L215"/>
  <c r="J216"/>
  <c r="K216" s="1"/>
  <c r="Y728" l="1"/>
  <c r="I728" s="1"/>
  <c r="U730"/>
  <c r="W729"/>
  <c r="X729"/>
  <c r="L216"/>
  <c r="J217"/>
  <c r="K217" s="1"/>
  <c r="Y729" l="1"/>
  <c r="I729" s="1"/>
  <c r="U731"/>
  <c r="W730"/>
  <c r="X730"/>
  <c r="L217"/>
  <c r="J218"/>
  <c r="K218" s="1"/>
  <c r="Y730" l="1"/>
  <c r="I730" s="1"/>
  <c r="U732"/>
  <c r="W731"/>
  <c r="X731"/>
  <c r="L218"/>
  <c r="J219"/>
  <c r="K219" s="1"/>
  <c r="Y731" l="1"/>
  <c r="I731" s="1"/>
  <c r="U733"/>
  <c r="W732"/>
  <c r="X732"/>
  <c r="L219"/>
  <c r="J220"/>
  <c r="K220" s="1"/>
  <c r="Y732" l="1"/>
  <c r="I732" s="1"/>
  <c r="U734"/>
  <c r="W733"/>
  <c r="X733"/>
  <c r="L220"/>
  <c r="J221"/>
  <c r="K221" s="1"/>
  <c r="Y733" l="1"/>
  <c r="I733" s="1"/>
  <c r="U735"/>
  <c r="W734"/>
  <c r="X734"/>
  <c r="L221"/>
  <c r="J222"/>
  <c r="K222" s="1"/>
  <c r="Y734" l="1"/>
  <c r="I734" s="1"/>
  <c r="U736"/>
  <c r="W735"/>
  <c r="X735"/>
  <c r="L222"/>
  <c r="J223"/>
  <c r="K223" s="1"/>
  <c r="Y735" l="1"/>
  <c r="I735" s="1"/>
  <c r="U737"/>
  <c r="W736"/>
  <c r="X736"/>
  <c r="L223"/>
  <c r="J224"/>
  <c r="K224" s="1"/>
  <c r="Y736" l="1"/>
  <c r="I736" s="1"/>
  <c r="U738"/>
  <c r="W737"/>
  <c r="X737"/>
  <c r="L224"/>
  <c r="J225"/>
  <c r="K225" s="1"/>
  <c r="Y737" l="1"/>
  <c r="I737" s="1"/>
  <c r="U739"/>
  <c r="W738"/>
  <c r="X738"/>
  <c r="L225"/>
  <c r="J226"/>
  <c r="K226" s="1"/>
  <c r="Y738" l="1"/>
  <c r="I738" s="1"/>
  <c r="U740"/>
  <c r="W739"/>
  <c r="X739"/>
  <c r="L226"/>
  <c r="J227"/>
  <c r="K227" s="1"/>
  <c r="Y739" l="1"/>
  <c r="I739" s="1"/>
  <c r="U741"/>
  <c r="W740"/>
  <c r="X740"/>
  <c r="L227"/>
  <c r="J228"/>
  <c r="K228" s="1"/>
  <c r="Y740" l="1"/>
  <c r="I740" s="1"/>
  <c r="U742"/>
  <c r="W741"/>
  <c r="X741"/>
  <c r="L228"/>
  <c r="J229"/>
  <c r="K229" s="1"/>
  <c r="Y741" l="1"/>
  <c r="I741" s="1"/>
  <c r="U743"/>
  <c r="W742"/>
  <c r="X742"/>
  <c r="L229"/>
  <c r="J230"/>
  <c r="K230" s="1"/>
  <c r="Y742" l="1"/>
  <c r="I742" s="1"/>
  <c r="U744"/>
  <c r="W743"/>
  <c r="X743"/>
  <c r="L230"/>
  <c r="J231"/>
  <c r="K231" s="1"/>
  <c r="Y743" l="1"/>
  <c r="I743" s="1"/>
  <c r="U745"/>
  <c r="W744"/>
  <c r="X744"/>
  <c r="L231"/>
  <c r="J232"/>
  <c r="K232" s="1"/>
  <c r="Y744" l="1"/>
  <c r="I744" s="1"/>
  <c r="U746"/>
  <c r="W745"/>
  <c r="X745"/>
  <c r="L232"/>
  <c r="J233"/>
  <c r="K233" s="1"/>
  <c r="Y745" l="1"/>
  <c r="I745" s="1"/>
  <c r="U747"/>
  <c r="W746"/>
  <c r="X746"/>
  <c r="L233"/>
  <c r="J234"/>
  <c r="K234" s="1"/>
  <c r="Y746" l="1"/>
  <c r="I746" s="1"/>
  <c r="U748"/>
  <c r="W747"/>
  <c r="X747"/>
  <c r="L234"/>
  <c r="J235"/>
  <c r="K235" s="1"/>
  <c r="Y747" l="1"/>
  <c r="I747" s="1"/>
  <c r="U749"/>
  <c r="W748"/>
  <c r="X748"/>
  <c r="L235"/>
  <c r="J236"/>
  <c r="K236" s="1"/>
  <c r="Y748" l="1"/>
  <c r="I748" s="1"/>
  <c r="U750"/>
  <c r="W749"/>
  <c r="X749"/>
  <c r="L236"/>
  <c r="J237"/>
  <c r="K237" s="1"/>
  <c r="Y749" l="1"/>
  <c r="I749" s="1"/>
  <c r="U751"/>
  <c r="W750"/>
  <c r="X750"/>
  <c r="L237"/>
  <c r="J238"/>
  <c r="K238" s="1"/>
  <c r="Y750" l="1"/>
  <c r="I750" s="1"/>
  <c r="U752"/>
  <c r="W751"/>
  <c r="X751"/>
  <c r="L238"/>
  <c r="J239"/>
  <c r="K239" s="1"/>
  <c r="Y751" l="1"/>
  <c r="I751" s="1"/>
  <c r="U753"/>
  <c r="W752"/>
  <c r="X752"/>
  <c r="L239"/>
  <c r="J240"/>
  <c r="K240" s="1"/>
  <c r="Y752" l="1"/>
  <c r="I752" s="1"/>
  <c r="U754"/>
  <c r="W753"/>
  <c r="X753"/>
  <c r="L240"/>
  <c r="J241"/>
  <c r="K241" s="1"/>
  <c r="Y753" l="1"/>
  <c r="I753" s="1"/>
  <c r="U755"/>
  <c r="W754"/>
  <c r="X754"/>
  <c r="L241"/>
  <c r="J242"/>
  <c r="K242" s="1"/>
  <c r="Y754" l="1"/>
  <c r="I754" s="1"/>
  <c r="U756"/>
  <c r="W755"/>
  <c r="X755"/>
  <c r="L242"/>
  <c r="J243"/>
  <c r="K243" s="1"/>
  <c r="Y755" l="1"/>
  <c r="I755" s="1"/>
  <c r="U757"/>
  <c r="W756"/>
  <c r="X756"/>
  <c r="L243"/>
  <c r="J244"/>
  <c r="K244" s="1"/>
  <c r="Y756" l="1"/>
  <c r="I756" s="1"/>
  <c r="U758"/>
  <c r="W757"/>
  <c r="X757"/>
  <c r="L244"/>
  <c r="J245"/>
  <c r="K245" s="1"/>
  <c r="Y757" l="1"/>
  <c r="I757" s="1"/>
  <c r="U759"/>
  <c r="W758"/>
  <c r="X758"/>
  <c r="L245"/>
  <c r="J246"/>
  <c r="K246" s="1"/>
  <c r="Y758" l="1"/>
  <c r="I758" s="1"/>
  <c r="U760"/>
  <c r="W759"/>
  <c r="X759"/>
  <c r="L246"/>
  <c r="J247"/>
  <c r="K247" s="1"/>
  <c r="Y759" l="1"/>
  <c r="I759" s="1"/>
  <c r="U761"/>
  <c r="W760"/>
  <c r="X760"/>
  <c r="L247"/>
  <c r="J248"/>
  <c r="K248" s="1"/>
  <c r="Y760" l="1"/>
  <c r="I760" s="1"/>
  <c r="U762"/>
  <c r="W761"/>
  <c r="X761"/>
  <c r="L248"/>
  <c r="J249"/>
  <c r="K249" s="1"/>
  <c r="Y761" l="1"/>
  <c r="I761" s="1"/>
  <c r="U763"/>
  <c r="W762"/>
  <c r="X762"/>
  <c r="L249"/>
  <c r="J250"/>
  <c r="K250" s="1"/>
  <c r="Y762" l="1"/>
  <c r="I762" s="1"/>
  <c r="U764"/>
  <c r="W763"/>
  <c r="X763"/>
  <c r="L250"/>
  <c r="J251"/>
  <c r="K251" s="1"/>
  <c r="Y763" l="1"/>
  <c r="I763" s="1"/>
  <c r="U765"/>
  <c r="W764"/>
  <c r="X764"/>
  <c r="L251"/>
  <c r="J252"/>
  <c r="K252" s="1"/>
  <c r="Y764" l="1"/>
  <c r="I764" s="1"/>
  <c r="U766"/>
  <c r="W765"/>
  <c r="X765"/>
  <c r="L252"/>
  <c r="J253"/>
  <c r="K253" s="1"/>
  <c r="Y765" l="1"/>
  <c r="I765" s="1"/>
  <c r="U767"/>
  <c r="W766"/>
  <c r="X766"/>
  <c r="L253"/>
  <c r="J254"/>
  <c r="K254" s="1"/>
  <c r="Y766" l="1"/>
  <c r="I766" s="1"/>
  <c r="U768"/>
  <c r="W767"/>
  <c r="X767"/>
  <c r="L254"/>
  <c r="J255"/>
  <c r="K255" s="1"/>
  <c r="Y767" l="1"/>
  <c r="I767" s="1"/>
  <c r="U769"/>
  <c r="W768"/>
  <c r="X768"/>
  <c r="L255"/>
  <c r="J256"/>
  <c r="K256" s="1"/>
  <c r="Y768" l="1"/>
  <c r="I768" s="1"/>
  <c r="U770"/>
  <c r="W769"/>
  <c r="X769"/>
  <c r="L256"/>
  <c r="J257"/>
  <c r="K257" s="1"/>
  <c r="Y769" l="1"/>
  <c r="I769" s="1"/>
  <c r="U771"/>
  <c r="W770"/>
  <c r="X770"/>
  <c r="L257"/>
  <c r="J258"/>
  <c r="K258" s="1"/>
  <c r="Y770" l="1"/>
  <c r="I770" s="1"/>
  <c r="U772"/>
  <c r="W771"/>
  <c r="X771"/>
  <c r="L258"/>
  <c r="J259"/>
  <c r="K259" s="1"/>
  <c r="Y771" l="1"/>
  <c r="I771" s="1"/>
  <c r="U773"/>
  <c r="W772"/>
  <c r="X772"/>
  <c r="L259"/>
  <c r="J260"/>
  <c r="K260" s="1"/>
  <c r="Y772" l="1"/>
  <c r="I772" s="1"/>
  <c r="U774"/>
  <c r="W773"/>
  <c r="X773"/>
  <c r="L260"/>
  <c r="J261"/>
  <c r="K261" s="1"/>
  <c r="Y773" l="1"/>
  <c r="I773" s="1"/>
  <c r="U775"/>
  <c r="W774"/>
  <c r="X774"/>
  <c r="L261"/>
  <c r="J262"/>
  <c r="K262" s="1"/>
  <c r="Y774" l="1"/>
  <c r="I774" s="1"/>
  <c r="U776"/>
  <c r="W775"/>
  <c r="X775"/>
  <c r="L262"/>
  <c r="J263"/>
  <c r="K263" s="1"/>
  <c r="Y775" l="1"/>
  <c r="I775" s="1"/>
  <c r="U777"/>
  <c r="W776"/>
  <c r="X776"/>
  <c r="L263"/>
  <c r="J264"/>
  <c r="K264" s="1"/>
  <c r="Y776" l="1"/>
  <c r="I776" s="1"/>
  <c r="U778"/>
  <c r="W777"/>
  <c r="X777"/>
  <c r="L264"/>
  <c r="J265"/>
  <c r="K265" s="1"/>
  <c r="Y777" l="1"/>
  <c r="I777" s="1"/>
  <c r="U779"/>
  <c r="W778"/>
  <c r="X778"/>
  <c r="L265"/>
  <c r="J266"/>
  <c r="K266" s="1"/>
  <c r="Y778" l="1"/>
  <c r="I778" s="1"/>
  <c r="U780"/>
  <c r="W779"/>
  <c r="X779"/>
  <c r="L266"/>
  <c r="J267"/>
  <c r="K267" s="1"/>
  <c r="Y779" l="1"/>
  <c r="I779" s="1"/>
  <c r="U781"/>
  <c r="W780"/>
  <c r="X780"/>
  <c r="L267"/>
  <c r="J268"/>
  <c r="K268" s="1"/>
  <c r="Y780" l="1"/>
  <c r="I780" s="1"/>
  <c r="U782"/>
  <c r="W781"/>
  <c r="X781"/>
  <c r="L268"/>
  <c r="J269"/>
  <c r="K269" s="1"/>
  <c r="Y781" l="1"/>
  <c r="I781" s="1"/>
  <c r="U783"/>
  <c r="W782"/>
  <c r="X782"/>
  <c r="L269"/>
  <c r="J270"/>
  <c r="K270" s="1"/>
  <c r="Y782" l="1"/>
  <c r="I782" s="1"/>
  <c r="U784"/>
  <c r="W783"/>
  <c r="X783"/>
  <c r="L270"/>
  <c r="J271"/>
  <c r="K271" s="1"/>
  <c r="Y783" l="1"/>
  <c r="I783" s="1"/>
  <c r="U785"/>
  <c r="W784"/>
  <c r="X784"/>
  <c r="L271"/>
  <c r="J272"/>
  <c r="K272" s="1"/>
  <c r="Y784" l="1"/>
  <c r="I784" s="1"/>
  <c r="U786"/>
  <c r="W785"/>
  <c r="X785"/>
  <c r="L272"/>
  <c r="J273"/>
  <c r="K273" s="1"/>
  <c r="Y785" l="1"/>
  <c r="I785" s="1"/>
  <c r="U787"/>
  <c r="W786"/>
  <c r="X786"/>
  <c r="L273"/>
  <c r="J274"/>
  <c r="K274" s="1"/>
  <c r="Y786" l="1"/>
  <c r="I786" s="1"/>
  <c r="U788"/>
  <c r="W787"/>
  <c r="X787"/>
  <c r="L274"/>
  <c r="J275"/>
  <c r="K275" s="1"/>
  <c r="Y787" l="1"/>
  <c r="I787" s="1"/>
  <c r="U789"/>
  <c r="W788"/>
  <c r="X788"/>
  <c r="L275"/>
  <c r="J276"/>
  <c r="K276" s="1"/>
  <c r="Y788" l="1"/>
  <c r="I788" s="1"/>
  <c r="U790"/>
  <c r="W789"/>
  <c r="X789"/>
  <c r="L276"/>
  <c r="J277"/>
  <c r="K277" s="1"/>
  <c r="Y789" l="1"/>
  <c r="I789" s="1"/>
  <c r="U791"/>
  <c r="W790"/>
  <c r="X790"/>
  <c r="L277"/>
  <c r="J278"/>
  <c r="K278" s="1"/>
  <c r="Y790" l="1"/>
  <c r="I790" s="1"/>
  <c r="U792"/>
  <c r="W791"/>
  <c r="X791"/>
  <c r="L278"/>
  <c r="J279"/>
  <c r="K279" s="1"/>
  <c r="Y791" l="1"/>
  <c r="I791" s="1"/>
  <c r="U793"/>
  <c r="W792"/>
  <c r="X792"/>
  <c r="L279"/>
  <c r="J280"/>
  <c r="K280" s="1"/>
  <c r="Y792" l="1"/>
  <c r="I792" s="1"/>
  <c r="U794"/>
  <c r="W793"/>
  <c r="X793"/>
  <c r="L280"/>
  <c r="J281"/>
  <c r="K281" s="1"/>
  <c r="Y793" l="1"/>
  <c r="I793" s="1"/>
  <c r="U795"/>
  <c r="W794"/>
  <c r="X794"/>
  <c r="L281"/>
  <c r="J282"/>
  <c r="K282" s="1"/>
  <c r="Y794" l="1"/>
  <c r="I794" s="1"/>
  <c r="U796"/>
  <c r="W795"/>
  <c r="X795"/>
  <c r="L282"/>
  <c r="J283"/>
  <c r="K283" s="1"/>
  <c r="Y795" l="1"/>
  <c r="I795" s="1"/>
  <c r="U797"/>
  <c r="W796"/>
  <c r="X796"/>
  <c r="L283"/>
  <c r="J284"/>
  <c r="K284" s="1"/>
  <c r="Y796" l="1"/>
  <c r="I796" s="1"/>
  <c r="U798"/>
  <c r="W797"/>
  <c r="X797"/>
  <c r="L284"/>
  <c r="J285"/>
  <c r="K285" s="1"/>
  <c r="Y797" l="1"/>
  <c r="I797" s="1"/>
  <c r="U799"/>
  <c r="W798"/>
  <c r="X798"/>
  <c r="L285"/>
  <c r="J286"/>
  <c r="K286" s="1"/>
  <c r="Y798" l="1"/>
  <c r="I798" s="1"/>
  <c r="U800"/>
  <c r="W799"/>
  <c r="X799"/>
  <c r="L286"/>
  <c r="J287"/>
  <c r="K287" s="1"/>
  <c r="Y799" l="1"/>
  <c r="I799" s="1"/>
  <c r="U801"/>
  <c r="W800"/>
  <c r="X800"/>
  <c r="L287"/>
  <c r="J288"/>
  <c r="K288" s="1"/>
  <c r="Y800" l="1"/>
  <c r="I800" s="1"/>
  <c r="U802"/>
  <c r="W801"/>
  <c r="X801"/>
  <c r="L288"/>
  <c r="J289"/>
  <c r="K289" s="1"/>
  <c r="Y801" l="1"/>
  <c r="I801" s="1"/>
  <c r="U803"/>
  <c r="W802"/>
  <c r="X802"/>
  <c r="L289"/>
  <c r="J290"/>
  <c r="K290" s="1"/>
  <c r="Y802" l="1"/>
  <c r="I802" s="1"/>
  <c r="U804"/>
  <c r="W803"/>
  <c r="X803"/>
  <c r="L290"/>
  <c r="J291"/>
  <c r="K291" s="1"/>
  <c r="Y803" l="1"/>
  <c r="I803" s="1"/>
  <c r="U805"/>
  <c r="W804"/>
  <c r="X804"/>
  <c r="L291"/>
  <c r="J292"/>
  <c r="K292" s="1"/>
  <c r="Y804" l="1"/>
  <c r="I804" s="1"/>
  <c r="U806"/>
  <c r="W805"/>
  <c r="X805"/>
  <c r="L292"/>
  <c r="J293"/>
  <c r="K293" s="1"/>
  <c r="Y805" l="1"/>
  <c r="I805" s="1"/>
  <c r="U807"/>
  <c r="W806"/>
  <c r="X806"/>
  <c r="L293"/>
  <c r="J294"/>
  <c r="K294" s="1"/>
  <c r="Y806" l="1"/>
  <c r="I806" s="1"/>
  <c r="U808"/>
  <c r="W807"/>
  <c r="X807"/>
  <c r="L294"/>
  <c r="J295"/>
  <c r="K295" s="1"/>
  <c r="Y807" l="1"/>
  <c r="I807" s="1"/>
  <c r="U809"/>
  <c r="W808"/>
  <c r="X808"/>
  <c r="L295"/>
  <c r="J296"/>
  <c r="K296" s="1"/>
  <c r="Y808" l="1"/>
  <c r="I808" s="1"/>
  <c r="U810"/>
  <c r="W809"/>
  <c r="X809"/>
  <c r="L296"/>
  <c r="J297"/>
  <c r="K297" s="1"/>
  <c r="Y809" l="1"/>
  <c r="I809" s="1"/>
  <c r="U811"/>
  <c r="W810"/>
  <c r="X810"/>
  <c r="L297"/>
  <c r="J298"/>
  <c r="K298" s="1"/>
  <c r="Y810" l="1"/>
  <c r="I810" s="1"/>
  <c r="U812"/>
  <c r="W811"/>
  <c r="X811"/>
  <c r="L298"/>
  <c r="J299"/>
  <c r="K299" s="1"/>
  <c r="Y811" l="1"/>
  <c r="I811" s="1"/>
  <c r="U813"/>
  <c r="W812"/>
  <c r="X812"/>
  <c r="L299"/>
  <c r="J300"/>
  <c r="K300" s="1"/>
  <c r="Y812" l="1"/>
  <c r="I812" s="1"/>
  <c r="U814"/>
  <c r="W813"/>
  <c r="X813"/>
  <c r="L300"/>
  <c r="J301"/>
  <c r="K301" s="1"/>
  <c r="Y813" l="1"/>
  <c r="I813" s="1"/>
  <c r="U815"/>
  <c r="W814"/>
  <c r="X814"/>
  <c r="L301"/>
  <c r="J302"/>
  <c r="K302" s="1"/>
  <c r="Y814" l="1"/>
  <c r="I814" s="1"/>
  <c r="U816"/>
  <c r="W815"/>
  <c r="X815"/>
  <c r="L302"/>
  <c r="J303"/>
  <c r="K303" s="1"/>
  <c r="Y815" l="1"/>
  <c r="I815" s="1"/>
  <c r="U817"/>
  <c r="W816"/>
  <c r="X816"/>
  <c r="L303"/>
  <c r="J304"/>
  <c r="K304" s="1"/>
  <c r="Y816" l="1"/>
  <c r="I816" s="1"/>
  <c r="U818"/>
  <c r="W817"/>
  <c r="X817"/>
  <c r="L304"/>
  <c r="J305"/>
  <c r="K305" s="1"/>
  <c r="Y817" l="1"/>
  <c r="I817" s="1"/>
  <c r="U819"/>
  <c r="W818"/>
  <c r="X818"/>
  <c r="L305"/>
  <c r="J306"/>
  <c r="K306" s="1"/>
  <c r="Y818" l="1"/>
  <c r="I818" s="1"/>
  <c r="U820"/>
  <c r="W819"/>
  <c r="X819"/>
  <c r="L306"/>
  <c r="J307"/>
  <c r="K307" s="1"/>
  <c r="Y819" l="1"/>
  <c r="I819" s="1"/>
  <c r="U821"/>
  <c r="W820"/>
  <c r="X820"/>
  <c r="L307"/>
  <c r="J308"/>
  <c r="K308" s="1"/>
  <c r="Y820" l="1"/>
  <c r="I820" s="1"/>
  <c r="U822"/>
  <c r="W821"/>
  <c r="X821"/>
  <c r="L308"/>
  <c r="J309"/>
  <c r="K309" s="1"/>
  <c r="Y821" l="1"/>
  <c r="I821" s="1"/>
  <c r="U823"/>
  <c r="W822"/>
  <c r="X822"/>
  <c r="L309"/>
  <c r="J310"/>
  <c r="K310" s="1"/>
  <c r="Y822" l="1"/>
  <c r="I822" s="1"/>
  <c r="U824"/>
  <c r="W823"/>
  <c r="X823"/>
  <c r="L310"/>
  <c r="J311"/>
  <c r="K311" s="1"/>
  <c r="Y823" l="1"/>
  <c r="I823" s="1"/>
  <c r="U825"/>
  <c r="W824"/>
  <c r="X824"/>
  <c r="L311"/>
  <c r="J312"/>
  <c r="K312" s="1"/>
  <c r="Y824" l="1"/>
  <c r="I824" s="1"/>
  <c r="U826"/>
  <c r="W825"/>
  <c r="X825"/>
  <c r="L312"/>
  <c r="J313"/>
  <c r="K313" s="1"/>
  <c r="Y825" l="1"/>
  <c r="I825" s="1"/>
  <c r="U827"/>
  <c r="W826"/>
  <c r="X826"/>
  <c r="L313"/>
  <c r="J314"/>
  <c r="K314" s="1"/>
  <c r="Y826" l="1"/>
  <c r="I826" s="1"/>
  <c r="U828"/>
  <c r="W827"/>
  <c r="X827"/>
  <c r="L314"/>
  <c r="J315"/>
  <c r="K315" s="1"/>
  <c r="Y827" l="1"/>
  <c r="I827" s="1"/>
  <c r="U829"/>
  <c r="W828"/>
  <c r="X828"/>
  <c r="L315"/>
  <c r="J316"/>
  <c r="K316" s="1"/>
  <c r="Y828" l="1"/>
  <c r="I828" s="1"/>
  <c r="U830"/>
  <c r="W829"/>
  <c r="X829"/>
  <c r="L316"/>
  <c r="J317"/>
  <c r="K317" s="1"/>
  <c r="Y829" l="1"/>
  <c r="I829" s="1"/>
  <c r="U831"/>
  <c r="W830"/>
  <c r="X830"/>
  <c r="L317"/>
  <c r="J318"/>
  <c r="K318" s="1"/>
  <c r="Y830" l="1"/>
  <c r="I830" s="1"/>
  <c r="U832"/>
  <c r="W831"/>
  <c r="X831"/>
  <c r="L318"/>
  <c r="J319"/>
  <c r="K319" s="1"/>
  <c r="Y831" l="1"/>
  <c r="I831" s="1"/>
  <c r="U833"/>
  <c r="W832"/>
  <c r="X832"/>
  <c r="L319"/>
  <c r="J320"/>
  <c r="K320" s="1"/>
  <c r="Y832" l="1"/>
  <c r="I832" s="1"/>
  <c r="U834"/>
  <c r="W833"/>
  <c r="X833"/>
  <c r="L320"/>
  <c r="J321"/>
  <c r="K321" s="1"/>
  <c r="Y833" l="1"/>
  <c r="I833" s="1"/>
  <c r="U835"/>
  <c r="W834"/>
  <c r="X834"/>
  <c r="L321"/>
  <c r="J322"/>
  <c r="K322" s="1"/>
  <c r="Y834" l="1"/>
  <c r="I834" s="1"/>
  <c r="U836"/>
  <c r="W835"/>
  <c r="X835"/>
  <c r="L322"/>
  <c r="J323"/>
  <c r="K323" s="1"/>
  <c r="Y835" l="1"/>
  <c r="I835" s="1"/>
  <c r="U837"/>
  <c r="W836"/>
  <c r="X836"/>
  <c r="L323"/>
  <c r="J324"/>
  <c r="K324" s="1"/>
  <c r="Y836" l="1"/>
  <c r="I836" s="1"/>
  <c r="U838"/>
  <c r="W837"/>
  <c r="X837"/>
  <c r="L324"/>
  <c r="J325"/>
  <c r="K325" s="1"/>
  <c r="Y837" l="1"/>
  <c r="I837" s="1"/>
  <c r="U839"/>
  <c r="W838"/>
  <c r="X838"/>
  <c r="L325"/>
  <c r="J326"/>
  <c r="K326" s="1"/>
  <c r="Y838" l="1"/>
  <c r="I838" s="1"/>
  <c r="U840"/>
  <c r="W839"/>
  <c r="X839"/>
  <c r="L326"/>
  <c r="J327"/>
  <c r="K327" s="1"/>
  <c r="Y839" l="1"/>
  <c r="I839" s="1"/>
  <c r="U841"/>
  <c r="W840"/>
  <c r="X840"/>
  <c r="L327"/>
  <c r="J328"/>
  <c r="K328" s="1"/>
  <c r="Y840" l="1"/>
  <c r="I840" s="1"/>
  <c r="U842"/>
  <c r="W841"/>
  <c r="X841"/>
  <c r="L328"/>
  <c r="J329"/>
  <c r="K329" s="1"/>
  <c r="Y841" l="1"/>
  <c r="I841" s="1"/>
  <c r="U843"/>
  <c r="W842"/>
  <c r="X842"/>
  <c r="L329"/>
  <c r="J330"/>
  <c r="K330" s="1"/>
  <c r="Y842" l="1"/>
  <c r="I842" s="1"/>
  <c r="U844"/>
  <c r="W843"/>
  <c r="X843"/>
  <c r="L330"/>
  <c r="J331"/>
  <c r="K331" s="1"/>
  <c r="Y843" l="1"/>
  <c r="I843" s="1"/>
  <c r="U845"/>
  <c r="W844"/>
  <c r="X844"/>
  <c r="L331"/>
  <c r="J332"/>
  <c r="K332" s="1"/>
  <c r="Y844" l="1"/>
  <c r="I844" s="1"/>
  <c r="U846"/>
  <c r="W845"/>
  <c r="X845"/>
  <c r="L332"/>
  <c r="J333"/>
  <c r="K333" s="1"/>
  <c r="Y845" l="1"/>
  <c r="I845" s="1"/>
  <c r="U847"/>
  <c r="W846"/>
  <c r="X846"/>
  <c r="L333"/>
  <c r="J334"/>
  <c r="K334" s="1"/>
  <c r="Y846" l="1"/>
  <c r="I846" s="1"/>
  <c r="U848"/>
  <c r="W847"/>
  <c r="X847"/>
  <c r="L334"/>
  <c r="J335"/>
  <c r="K335" s="1"/>
  <c r="Y847" l="1"/>
  <c r="I847" s="1"/>
  <c r="U849"/>
  <c r="W848"/>
  <c r="X848"/>
  <c r="L335"/>
  <c r="J336"/>
  <c r="K336" s="1"/>
  <c r="Y848" l="1"/>
  <c r="I848" s="1"/>
  <c r="U850"/>
  <c r="W849"/>
  <c r="X849"/>
  <c r="L336"/>
  <c r="J337"/>
  <c r="K337" s="1"/>
  <c r="Y849" l="1"/>
  <c r="I849" s="1"/>
  <c r="U851"/>
  <c r="W850"/>
  <c r="X850"/>
  <c r="L337"/>
  <c r="J338"/>
  <c r="K338" s="1"/>
  <c r="Y850" l="1"/>
  <c r="I850" s="1"/>
  <c r="U852"/>
  <c r="W851"/>
  <c r="X851"/>
  <c r="L338"/>
  <c r="J339"/>
  <c r="K339" s="1"/>
  <c r="Y851" l="1"/>
  <c r="I851" s="1"/>
  <c r="U853"/>
  <c r="W852"/>
  <c r="X852"/>
  <c r="L339"/>
  <c r="J340"/>
  <c r="K340" s="1"/>
  <c r="Y852" l="1"/>
  <c r="I852" s="1"/>
  <c r="U854"/>
  <c r="W853"/>
  <c r="X853"/>
  <c r="L340"/>
  <c r="J341"/>
  <c r="K341" s="1"/>
  <c r="Y853" l="1"/>
  <c r="I853" s="1"/>
  <c r="U855"/>
  <c r="W854"/>
  <c r="X854"/>
  <c r="L341"/>
  <c r="J342"/>
  <c r="K342" s="1"/>
  <c r="Y854" l="1"/>
  <c r="I854" s="1"/>
  <c r="U856"/>
  <c r="W855"/>
  <c r="X855"/>
  <c r="L342"/>
  <c r="J343"/>
  <c r="K343" s="1"/>
  <c r="Y855" l="1"/>
  <c r="I855" s="1"/>
  <c r="U857"/>
  <c r="W856"/>
  <c r="X856"/>
  <c r="L343"/>
  <c r="J344"/>
  <c r="K344" s="1"/>
  <c r="Y856" l="1"/>
  <c r="I856" s="1"/>
  <c r="U858"/>
  <c r="W857"/>
  <c r="X857"/>
  <c r="L344"/>
  <c r="J345"/>
  <c r="K345" s="1"/>
  <c r="Y857" l="1"/>
  <c r="I857" s="1"/>
  <c r="U859"/>
  <c r="W858"/>
  <c r="X858"/>
  <c r="L345"/>
  <c r="J346"/>
  <c r="K346" s="1"/>
  <c r="Y858" l="1"/>
  <c r="I858" s="1"/>
  <c r="U860"/>
  <c r="W859"/>
  <c r="X859"/>
  <c r="L346"/>
  <c r="J347"/>
  <c r="K347" s="1"/>
  <c r="Y859" l="1"/>
  <c r="I859" s="1"/>
  <c r="U861"/>
  <c r="W860"/>
  <c r="X860"/>
  <c r="L347"/>
  <c r="J348"/>
  <c r="K348" s="1"/>
  <c r="Y860" l="1"/>
  <c r="I860" s="1"/>
  <c r="U862"/>
  <c r="W861"/>
  <c r="X861"/>
  <c r="L348"/>
  <c r="J349"/>
  <c r="K349" s="1"/>
  <c r="Y861" l="1"/>
  <c r="I861" s="1"/>
  <c r="U863"/>
  <c r="W862"/>
  <c r="X862"/>
  <c r="L349"/>
  <c r="J350"/>
  <c r="K350" s="1"/>
  <c r="Y862" l="1"/>
  <c r="I862" s="1"/>
  <c r="U864"/>
  <c r="W863"/>
  <c r="X863"/>
  <c r="L350"/>
  <c r="J351"/>
  <c r="K351" s="1"/>
  <c r="Y863" l="1"/>
  <c r="I863" s="1"/>
  <c r="U865"/>
  <c r="W864"/>
  <c r="X864"/>
  <c r="L351"/>
  <c r="J352"/>
  <c r="K352" s="1"/>
  <c r="Y864" l="1"/>
  <c r="I864" s="1"/>
  <c r="U866"/>
  <c r="W865"/>
  <c r="X865"/>
  <c r="L352"/>
  <c r="J353"/>
  <c r="K353" s="1"/>
  <c r="Y865" l="1"/>
  <c r="I865" s="1"/>
  <c r="U867"/>
  <c r="W866"/>
  <c r="X866"/>
  <c r="L353"/>
  <c r="J354"/>
  <c r="K354" s="1"/>
  <c r="Y866" l="1"/>
  <c r="I866" s="1"/>
  <c r="U868"/>
  <c r="W867"/>
  <c r="X867"/>
  <c r="L354"/>
  <c r="J355"/>
  <c r="K355" s="1"/>
  <c r="Y867" l="1"/>
  <c r="I867" s="1"/>
  <c r="U869"/>
  <c r="W868"/>
  <c r="X868"/>
  <c r="L355"/>
  <c r="J356"/>
  <c r="K356" s="1"/>
  <c r="Y868" l="1"/>
  <c r="I868" s="1"/>
  <c r="U870"/>
  <c r="W869"/>
  <c r="X869"/>
  <c r="L356"/>
  <c r="J357"/>
  <c r="K357" s="1"/>
  <c r="Y869" l="1"/>
  <c r="I869" s="1"/>
  <c r="U871"/>
  <c r="W870"/>
  <c r="X870"/>
  <c r="L357"/>
  <c r="J358"/>
  <c r="K358" s="1"/>
  <c r="Y870" l="1"/>
  <c r="I870" s="1"/>
  <c r="U872"/>
  <c r="W871"/>
  <c r="X871"/>
  <c r="L358"/>
  <c r="J359"/>
  <c r="K359" s="1"/>
  <c r="Y871" l="1"/>
  <c r="I871" s="1"/>
  <c r="U873"/>
  <c r="W872"/>
  <c r="X872"/>
  <c r="L359"/>
  <c r="J360"/>
  <c r="K360" s="1"/>
  <c r="Y872" l="1"/>
  <c r="I872" s="1"/>
  <c r="U874"/>
  <c r="W873"/>
  <c r="X873"/>
  <c r="L360"/>
  <c r="J361"/>
  <c r="K361" s="1"/>
  <c r="Y873" l="1"/>
  <c r="I873" s="1"/>
  <c r="U875"/>
  <c r="W874"/>
  <c r="X874"/>
  <c r="L361"/>
  <c r="J362"/>
  <c r="K362" s="1"/>
  <c r="Y874" l="1"/>
  <c r="I874" s="1"/>
  <c r="U876"/>
  <c r="W875"/>
  <c r="X875"/>
  <c r="L362"/>
  <c r="J363"/>
  <c r="K363" s="1"/>
  <c r="Y875" l="1"/>
  <c r="I875" s="1"/>
  <c r="U877"/>
  <c r="W876"/>
  <c r="X876"/>
  <c r="L363"/>
  <c r="J364"/>
  <c r="K364" s="1"/>
  <c r="Y876" l="1"/>
  <c r="I876" s="1"/>
  <c r="U878"/>
  <c r="W877"/>
  <c r="X877"/>
  <c r="L364"/>
  <c r="J365"/>
  <c r="K365" s="1"/>
  <c r="Y877" l="1"/>
  <c r="I877" s="1"/>
  <c r="U879"/>
  <c r="W878"/>
  <c r="X878"/>
  <c r="L365"/>
  <c r="J366"/>
  <c r="K366" s="1"/>
  <c r="Y878" l="1"/>
  <c r="I878" s="1"/>
  <c r="U880"/>
  <c r="W879"/>
  <c r="X879"/>
  <c r="L366"/>
  <c r="J367"/>
  <c r="K367" s="1"/>
  <c r="Y879" l="1"/>
  <c r="I879" s="1"/>
  <c r="U881"/>
  <c r="W880"/>
  <c r="X880"/>
  <c r="L367"/>
  <c r="J368"/>
  <c r="K368" s="1"/>
  <c r="Y880" l="1"/>
  <c r="I880" s="1"/>
  <c r="U882"/>
  <c r="W881"/>
  <c r="X881"/>
  <c r="L368"/>
  <c r="J369"/>
  <c r="K369" s="1"/>
  <c r="Y881" l="1"/>
  <c r="I881" s="1"/>
  <c r="U883"/>
  <c r="W882"/>
  <c r="X882"/>
  <c r="L369"/>
  <c r="J370"/>
  <c r="K370" s="1"/>
  <c r="Y882" l="1"/>
  <c r="I882" s="1"/>
  <c r="U884"/>
  <c r="W883"/>
  <c r="X883"/>
  <c r="L370"/>
  <c r="J371"/>
  <c r="K371" s="1"/>
  <c r="Y883" l="1"/>
  <c r="I883" s="1"/>
  <c r="U885"/>
  <c r="W884"/>
  <c r="X884"/>
  <c r="L371"/>
  <c r="J372"/>
  <c r="K372" s="1"/>
  <c r="Y884" l="1"/>
  <c r="I884" s="1"/>
  <c r="U886"/>
  <c r="W885"/>
  <c r="X885"/>
  <c r="L372"/>
  <c r="J373"/>
  <c r="K373" s="1"/>
  <c r="Y885" l="1"/>
  <c r="I885" s="1"/>
  <c r="U887"/>
  <c r="W886"/>
  <c r="X886"/>
  <c r="L373"/>
  <c r="J374"/>
  <c r="K374" s="1"/>
  <c r="Y886" l="1"/>
  <c r="I886" s="1"/>
  <c r="U888"/>
  <c r="W887"/>
  <c r="X887"/>
  <c r="L374"/>
  <c r="J375"/>
  <c r="K375" s="1"/>
  <c r="Y887" l="1"/>
  <c r="I887" s="1"/>
  <c r="U889"/>
  <c r="W888"/>
  <c r="X888"/>
  <c r="L375"/>
  <c r="J376"/>
  <c r="K376" s="1"/>
  <c r="Y888" l="1"/>
  <c r="I888" s="1"/>
  <c r="U890"/>
  <c r="W889"/>
  <c r="X889"/>
  <c r="L376"/>
  <c r="J377"/>
  <c r="K377" s="1"/>
  <c r="Y889" l="1"/>
  <c r="I889" s="1"/>
  <c r="U891"/>
  <c r="W890"/>
  <c r="X890"/>
  <c r="L377"/>
  <c r="J378"/>
  <c r="K378" s="1"/>
  <c r="Y890" l="1"/>
  <c r="I890" s="1"/>
  <c r="U892"/>
  <c r="W891"/>
  <c r="X891"/>
  <c r="L378"/>
  <c r="J379"/>
  <c r="K379" s="1"/>
  <c r="Y891" l="1"/>
  <c r="I891" s="1"/>
  <c r="U893"/>
  <c r="W892"/>
  <c r="X892"/>
  <c r="L379"/>
  <c r="J380"/>
  <c r="K380" s="1"/>
  <c r="Y892" l="1"/>
  <c r="I892" s="1"/>
  <c r="U894"/>
  <c r="W893"/>
  <c r="X893"/>
  <c r="L380"/>
  <c r="J381"/>
  <c r="K381" s="1"/>
  <c r="Y893" l="1"/>
  <c r="I893" s="1"/>
  <c r="U895"/>
  <c r="W894"/>
  <c r="X894"/>
  <c r="L381"/>
  <c r="J382"/>
  <c r="K382" s="1"/>
  <c r="Y894" l="1"/>
  <c r="I894" s="1"/>
  <c r="U896"/>
  <c r="W895"/>
  <c r="X895"/>
  <c r="L382"/>
  <c r="J383"/>
  <c r="K383" s="1"/>
  <c r="Y895" l="1"/>
  <c r="I895" s="1"/>
  <c r="U897"/>
  <c r="W896"/>
  <c r="X896"/>
  <c r="L383"/>
  <c r="J384"/>
  <c r="K384" s="1"/>
  <c r="Y896" l="1"/>
  <c r="I896" s="1"/>
  <c r="U898"/>
  <c r="W897"/>
  <c r="X897"/>
  <c r="L384"/>
  <c r="J385"/>
  <c r="K385" s="1"/>
  <c r="Y897" l="1"/>
  <c r="I897" s="1"/>
  <c r="U899"/>
  <c r="W898"/>
  <c r="X898"/>
  <c r="L385"/>
  <c r="J386"/>
  <c r="K386" s="1"/>
  <c r="Y898" l="1"/>
  <c r="I898" s="1"/>
  <c r="U900"/>
  <c r="W899"/>
  <c r="X899"/>
  <c r="L386"/>
  <c r="J387"/>
  <c r="K387" s="1"/>
  <c r="Y899" l="1"/>
  <c r="I899" s="1"/>
  <c r="U901"/>
  <c r="W900"/>
  <c r="X900"/>
  <c r="L387"/>
  <c r="J388"/>
  <c r="K388" s="1"/>
  <c r="Y900" l="1"/>
  <c r="I900" s="1"/>
  <c r="U902"/>
  <c r="W901"/>
  <c r="X901"/>
  <c r="L388"/>
  <c r="J389"/>
  <c r="K389" s="1"/>
  <c r="Y901" l="1"/>
  <c r="I901" s="1"/>
  <c r="U903"/>
  <c r="W902"/>
  <c r="X902"/>
  <c r="L389"/>
  <c r="J390"/>
  <c r="K390" s="1"/>
  <c r="Y902" l="1"/>
  <c r="I902" s="1"/>
  <c r="U904"/>
  <c r="W903"/>
  <c r="X903"/>
  <c r="L390"/>
  <c r="J391"/>
  <c r="K391" s="1"/>
  <c r="Y903" l="1"/>
  <c r="I903" s="1"/>
  <c r="U905"/>
  <c r="W904"/>
  <c r="X904"/>
  <c r="L391"/>
  <c r="J392"/>
  <c r="K392" s="1"/>
  <c r="Y904" l="1"/>
  <c r="I904" s="1"/>
  <c r="U906"/>
  <c r="W905"/>
  <c r="X905"/>
  <c r="L392"/>
  <c r="J393"/>
  <c r="K393" s="1"/>
  <c r="Y905" l="1"/>
  <c r="I905" s="1"/>
  <c r="U907"/>
  <c r="W906"/>
  <c r="X906"/>
  <c r="L393"/>
  <c r="J394"/>
  <c r="K394" s="1"/>
  <c r="Y906" l="1"/>
  <c r="I906" s="1"/>
  <c r="U908"/>
  <c r="W907"/>
  <c r="X907"/>
  <c r="L394"/>
  <c r="J395"/>
  <c r="K395" s="1"/>
  <c r="Y907" l="1"/>
  <c r="I907" s="1"/>
  <c r="U909"/>
  <c r="W908"/>
  <c r="X908"/>
  <c r="L395"/>
  <c r="J396"/>
  <c r="K396" s="1"/>
  <c r="Y908" l="1"/>
  <c r="I908" s="1"/>
  <c r="U910"/>
  <c r="W909"/>
  <c r="X909"/>
  <c r="L396"/>
  <c r="J397"/>
  <c r="K397" s="1"/>
  <c r="Y909" l="1"/>
  <c r="I909" s="1"/>
  <c r="U911"/>
  <c r="W910"/>
  <c r="X910"/>
  <c r="L397"/>
  <c r="J398"/>
  <c r="K398" s="1"/>
  <c r="Y910" l="1"/>
  <c r="I910" s="1"/>
  <c r="U912"/>
  <c r="W911"/>
  <c r="X911"/>
  <c r="L398"/>
  <c r="J399"/>
  <c r="K399" s="1"/>
  <c r="Y911" l="1"/>
  <c r="I911" s="1"/>
  <c r="U913"/>
  <c r="W912"/>
  <c r="X912"/>
  <c r="L399"/>
  <c r="J400"/>
  <c r="K400" s="1"/>
  <c r="Y912" l="1"/>
  <c r="I912" s="1"/>
  <c r="U914"/>
  <c r="W913"/>
  <c r="X913"/>
  <c r="L400"/>
  <c r="J401"/>
  <c r="K401" s="1"/>
  <c r="Y913" l="1"/>
  <c r="I913" s="1"/>
  <c r="U915"/>
  <c r="W914"/>
  <c r="X914"/>
  <c r="L401"/>
  <c r="J402"/>
  <c r="K402" s="1"/>
  <c r="Y914" l="1"/>
  <c r="I914" s="1"/>
  <c r="U916"/>
  <c r="W915"/>
  <c r="X915"/>
  <c r="L402"/>
  <c r="J403"/>
  <c r="K403" s="1"/>
  <c r="Y915" l="1"/>
  <c r="I915" s="1"/>
  <c r="U917"/>
  <c r="W916"/>
  <c r="X916"/>
  <c r="L403"/>
  <c r="J404"/>
  <c r="K404" s="1"/>
  <c r="Y916" l="1"/>
  <c r="I916" s="1"/>
  <c r="U918"/>
  <c r="W917"/>
  <c r="X917"/>
  <c r="L404"/>
  <c r="J405"/>
  <c r="K405" s="1"/>
  <c r="Y917" l="1"/>
  <c r="I917" s="1"/>
  <c r="U919"/>
  <c r="W918"/>
  <c r="X918"/>
  <c r="L405"/>
  <c r="J406"/>
  <c r="K406" s="1"/>
  <c r="Y918" l="1"/>
  <c r="I918" s="1"/>
  <c r="U920"/>
  <c r="W919"/>
  <c r="X919"/>
  <c r="L406"/>
  <c r="J407"/>
  <c r="K407" s="1"/>
  <c r="Y919" l="1"/>
  <c r="I919" s="1"/>
  <c r="U921"/>
  <c r="W920"/>
  <c r="X920"/>
  <c r="L407"/>
  <c r="J408"/>
  <c r="K408" s="1"/>
  <c r="Y920" l="1"/>
  <c r="I920" s="1"/>
  <c r="U922"/>
  <c r="W921"/>
  <c r="X921"/>
  <c r="L408"/>
  <c r="J409"/>
  <c r="K409" s="1"/>
  <c r="Y921" l="1"/>
  <c r="I921" s="1"/>
  <c r="U923"/>
  <c r="W922"/>
  <c r="X922"/>
  <c r="L409"/>
  <c r="J410"/>
  <c r="K410" s="1"/>
  <c r="Y922" l="1"/>
  <c r="I922" s="1"/>
  <c r="U924"/>
  <c r="W923"/>
  <c r="X923"/>
  <c r="L410"/>
  <c r="J411"/>
  <c r="K411" s="1"/>
  <c r="Y923" l="1"/>
  <c r="I923" s="1"/>
  <c r="U925"/>
  <c r="W924"/>
  <c r="X924"/>
  <c r="L411"/>
  <c r="J412"/>
  <c r="K412" s="1"/>
  <c r="Y924" l="1"/>
  <c r="I924" s="1"/>
  <c r="U926"/>
  <c r="W925"/>
  <c r="X925"/>
  <c r="L412"/>
  <c r="J413"/>
  <c r="K413" s="1"/>
  <c r="Y925" l="1"/>
  <c r="I925" s="1"/>
  <c r="U927"/>
  <c r="W926"/>
  <c r="X926"/>
  <c r="L413"/>
  <c r="J414"/>
  <c r="K414" s="1"/>
  <c r="Y926" l="1"/>
  <c r="I926" s="1"/>
  <c r="U928"/>
  <c r="W927"/>
  <c r="X927"/>
  <c r="L414"/>
  <c r="J415"/>
  <c r="K415" s="1"/>
  <c r="Y927" l="1"/>
  <c r="I927" s="1"/>
  <c r="U929"/>
  <c r="W928"/>
  <c r="X928"/>
  <c r="L415"/>
  <c r="J416"/>
  <c r="K416" s="1"/>
  <c r="Y928" l="1"/>
  <c r="I928" s="1"/>
  <c r="U930"/>
  <c r="W929"/>
  <c r="X929"/>
  <c r="L416"/>
  <c r="J417"/>
  <c r="K417" s="1"/>
  <c r="Y929" l="1"/>
  <c r="I929" s="1"/>
  <c r="U931"/>
  <c r="W930"/>
  <c r="X930"/>
  <c r="L417"/>
  <c r="J418"/>
  <c r="K418" s="1"/>
  <c r="Y930" l="1"/>
  <c r="I930" s="1"/>
  <c r="U932"/>
  <c r="W931"/>
  <c r="X931"/>
  <c r="L418"/>
  <c r="J419"/>
  <c r="K419" s="1"/>
  <c r="Y931" l="1"/>
  <c r="I931" s="1"/>
  <c r="U933"/>
  <c r="W932"/>
  <c r="X932"/>
  <c r="L419"/>
  <c r="J420"/>
  <c r="K420" s="1"/>
  <c r="Y932" l="1"/>
  <c r="I932" s="1"/>
  <c r="U934"/>
  <c r="W933"/>
  <c r="X933"/>
  <c r="L420"/>
  <c r="J421"/>
  <c r="K421" s="1"/>
  <c r="Y933" l="1"/>
  <c r="I933" s="1"/>
  <c r="U935"/>
  <c r="W934"/>
  <c r="X934"/>
  <c r="L421"/>
  <c r="J422"/>
  <c r="K422" s="1"/>
  <c r="Y934" l="1"/>
  <c r="I934" s="1"/>
  <c r="U936"/>
  <c r="W935"/>
  <c r="X935"/>
  <c r="L422"/>
  <c r="J423"/>
  <c r="K423" s="1"/>
  <c r="Y935" l="1"/>
  <c r="I935" s="1"/>
  <c r="U937"/>
  <c r="W936"/>
  <c r="X936"/>
  <c r="L423"/>
  <c r="J424"/>
  <c r="K424" s="1"/>
  <c r="Y936" l="1"/>
  <c r="I936" s="1"/>
  <c r="U938"/>
  <c r="W937"/>
  <c r="X937"/>
  <c r="L424"/>
  <c r="J425"/>
  <c r="K425" s="1"/>
  <c r="Y937" l="1"/>
  <c r="I937" s="1"/>
  <c r="U939"/>
  <c r="W938"/>
  <c r="X938"/>
  <c r="L425"/>
  <c r="J426"/>
  <c r="K426" s="1"/>
  <c r="Y938" l="1"/>
  <c r="I938" s="1"/>
  <c r="U940"/>
  <c r="W939"/>
  <c r="X939"/>
  <c r="L426"/>
  <c r="J427"/>
  <c r="K427" s="1"/>
  <c r="Y939" l="1"/>
  <c r="I939" s="1"/>
  <c r="U941"/>
  <c r="W940"/>
  <c r="X940"/>
  <c r="L427"/>
  <c r="J428"/>
  <c r="K428" s="1"/>
  <c r="Y940" l="1"/>
  <c r="I940" s="1"/>
  <c r="U942"/>
  <c r="W941"/>
  <c r="X941"/>
  <c r="L428"/>
  <c r="J429"/>
  <c r="K429" s="1"/>
  <c r="Y941" l="1"/>
  <c r="I941" s="1"/>
  <c r="U943"/>
  <c r="W942"/>
  <c r="X942"/>
  <c r="L429"/>
  <c r="J430"/>
  <c r="K430" s="1"/>
  <c r="Y942" l="1"/>
  <c r="I942" s="1"/>
  <c r="U944"/>
  <c r="W943"/>
  <c r="X943"/>
  <c r="L430"/>
  <c r="J431"/>
  <c r="K431" s="1"/>
  <c r="Y943" l="1"/>
  <c r="I943" s="1"/>
  <c r="U945"/>
  <c r="W944"/>
  <c r="X944"/>
  <c r="L431"/>
  <c r="J432"/>
  <c r="K432" s="1"/>
  <c r="Y944" l="1"/>
  <c r="I944" s="1"/>
  <c r="U946"/>
  <c r="W945"/>
  <c r="X945"/>
  <c r="L432"/>
  <c r="J433"/>
  <c r="K433" s="1"/>
  <c r="Y945" l="1"/>
  <c r="I945" s="1"/>
  <c r="U947"/>
  <c r="W946"/>
  <c r="X946"/>
  <c r="L433"/>
  <c r="J434"/>
  <c r="K434" s="1"/>
  <c r="Y946" l="1"/>
  <c r="I946" s="1"/>
  <c r="U948"/>
  <c r="W947"/>
  <c r="X947"/>
  <c r="L434"/>
  <c r="J435"/>
  <c r="K435" s="1"/>
  <c r="Y947" l="1"/>
  <c r="I947" s="1"/>
  <c r="U949"/>
  <c r="W948"/>
  <c r="X948"/>
  <c r="L435"/>
  <c r="J436"/>
  <c r="K436" s="1"/>
  <c r="Y948" l="1"/>
  <c r="I948" s="1"/>
  <c r="U950"/>
  <c r="W949"/>
  <c r="X949"/>
  <c r="L436"/>
  <c r="J437"/>
  <c r="K437" s="1"/>
  <c r="Y949" l="1"/>
  <c r="I949" s="1"/>
  <c r="U951"/>
  <c r="W950"/>
  <c r="X950"/>
  <c r="L437"/>
  <c r="J438"/>
  <c r="K438" s="1"/>
  <c r="Y950" l="1"/>
  <c r="I950" s="1"/>
  <c r="U952"/>
  <c r="W951"/>
  <c r="X951"/>
  <c r="L438"/>
  <c r="J439"/>
  <c r="K439" s="1"/>
  <c r="Y951" l="1"/>
  <c r="I951" s="1"/>
  <c r="U953"/>
  <c r="W952"/>
  <c r="X952"/>
  <c r="L439"/>
  <c r="J440"/>
  <c r="K440" s="1"/>
  <c r="Y952" l="1"/>
  <c r="I952" s="1"/>
  <c r="U954"/>
  <c r="W953"/>
  <c r="X953"/>
  <c r="L440"/>
  <c r="J441"/>
  <c r="K441" s="1"/>
  <c r="Y953" l="1"/>
  <c r="I953" s="1"/>
  <c r="U955"/>
  <c r="W954"/>
  <c r="X954"/>
  <c r="L441"/>
  <c r="J442"/>
  <c r="K442" s="1"/>
  <c r="Y954" l="1"/>
  <c r="I954" s="1"/>
  <c r="U956"/>
  <c r="W955"/>
  <c r="X955"/>
  <c r="L442"/>
  <c r="J443"/>
  <c r="K443" s="1"/>
  <c r="Y955" l="1"/>
  <c r="I955" s="1"/>
  <c r="U957"/>
  <c r="W956"/>
  <c r="X956"/>
  <c r="L443"/>
  <c r="J444"/>
  <c r="K444" s="1"/>
  <c r="Y956" l="1"/>
  <c r="I956" s="1"/>
  <c r="U958"/>
  <c r="W957"/>
  <c r="X957"/>
  <c r="L444"/>
  <c r="J445"/>
  <c r="K445" s="1"/>
  <c r="Y957" l="1"/>
  <c r="I957" s="1"/>
  <c r="U959"/>
  <c r="W958"/>
  <c r="X958"/>
  <c r="L445"/>
  <c r="J446"/>
  <c r="Y958" l="1"/>
  <c r="I958" s="1"/>
  <c r="U960"/>
  <c r="W959"/>
  <c r="X959"/>
  <c r="J447"/>
  <c r="K446"/>
  <c r="L446" s="1"/>
  <c r="Y959" l="1"/>
  <c r="I959" s="1"/>
  <c r="U961"/>
  <c r="W960"/>
  <c r="X960"/>
  <c r="J448"/>
  <c r="K447"/>
  <c r="L447" s="1"/>
  <c r="Y960" l="1"/>
  <c r="I960" s="1"/>
  <c r="U962"/>
  <c r="W961"/>
  <c r="X961"/>
  <c r="J449"/>
  <c r="K448"/>
  <c r="L448" s="1"/>
  <c r="Y961" l="1"/>
  <c r="I961" s="1"/>
  <c r="U963"/>
  <c r="W962"/>
  <c r="X962"/>
  <c r="J450"/>
  <c r="K449"/>
  <c r="L449" s="1"/>
  <c r="Y962" l="1"/>
  <c r="I962" s="1"/>
  <c r="U964"/>
  <c r="W963"/>
  <c r="X963"/>
  <c r="J451"/>
  <c r="K450"/>
  <c r="L450" s="1"/>
  <c r="Y963" l="1"/>
  <c r="I963" s="1"/>
  <c r="U965"/>
  <c r="W964"/>
  <c r="X964"/>
  <c r="J452"/>
  <c r="K451"/>
  <c r="L451" s="1"/>
  <c r="Y964" l="1"/>
  <c r="I964" s="1"/>
  <c r="U966"/>
  <c r="W965"/>
  <c r="X965"/>
  <c r="J453"/>
  <c r="K452"/>
  <c r="L452" s="1"/>
  <c r="Y965" l="1"/>
  <c r="I965" s="1"/>
  <c r="U967"/>
  <c r="W966"/>
  <c r="X966"/>
  <c r="J454"/>
  <c r="K453"/>
  <c r="L453" s="1"/>
  <c r="Y966" l="1"/>
  <c r="I966" s="1"/>
  <c r="U968"/>
  <c r="W967"/>
  <c r="X967"/>
  <c r="J455"/>
  <c r="K454"/>
  <c r="L454" s="1"/>
  <c r="Y967" l="1"/>
  <c r="I967" s="1"/>
  <c r="U969"/>
  <c r="W968"/>
  <c r="X968"/>
  <c r="J456"/>
  <c r="K455"/>
  <c r="L455" s="1"/>
  <c r="Y968" l="1"/>
  <c r="I968" s="1"/>
  <c r="U970"/>
  <c r="W969"/>
  <c r="X969"/>
  <c r="J457"/>
  <c r="K456"/>
  <c r="L456" s="1"/>
  <c r="Y969" l="1"/>
  <c r="I969" s="1"/>
  <c r="U971"/>
  <c r="W970"/>
  <c r="X970"/>
  <c r="J458"/>
  <c r="K458" s="1"/>
  <c r="K457"/>
  <c r="L457" s="1"/>
  <c r="Y970" l="1"/>
  <c r="I970" s="1"/>
  <c r="U972"/>
  <c r="W971"/>
  <c r="X971"/>
  <c r="L458"/>
  <c r="J459"/>
  <c r="Y971" l="1"/>
  <c r="I971" s="1"/>
  <c r="U973"/>
  <c r="W972"/>
  <c r="X972"/>
  <c r="J460"/>
  <c r="K459"/>
  <c r="L459" s="1"/>
  <c r="Y972" l="1"/>
  <c r="I972" s="1"/>
  <c r="U974"/>
  <c r="W973"/>
  <c r="X973"/>
  <c r="J461"/>
  <c r="K460"/>
  <c r="L460" s="1"/>
  <c r="Y973" l="1"/>
  <c r="I973" s="1"/>
  <c r="U975"/>
  <c r="W974"/>
  <c r="X974"/>
  <c r="J462"/>
  <c r="K461"/>
  <c r="L461" s="1"/>
  <c r="Y974" l="1"/>
  <c r="I974" s="1"/>
  <c r="U976"/>
  <c r="W975"/>
  <c r="X975"/>
  <c r="J463"/>
  <c r="K462"/>
  <c r="L462" s="1"/>
  <c r="Y975" l="1"/>
  <c r="I975" s="1"/>
  <c r="U977"/>
  <c r="W976"/>
  <c r="X976"/>
  <c r="J464"/>
  <c r="K463"/>
  <c r="L463" s="1"/>
  <c r="Y976" l="1"/>
  <c r="I976" s="1"/>
  <c r="U978"/>
  <c r="W977"/>
  <c r="X977"/>
  <c r="J465"/>
  <c r="K464"/>
  <c r="L464" s="1"/>
  <c r="Y977" l="1"/>
  <c r="I977" s="1"/>
  <c r="U979"/>
  <c r="W978"/>
  <c r="X978"/>
  <c r="J466"/>
  <c r="K465"/>
  <c r="L465" s="1"/>
  <c r="Y978" l="1"/>
  <c r="I978" s="1"/>
  <c r="U980"/>
  <c r="W979"/>
  <c r="X979"/>
  <c r="J467"/>
  <c r="K466"/>
  <c r="L466" s="1"/>
  <c r="Y979" l="1"/>
  <c r="I979" s="1"/>
  <c r="U981"/>
  <c r="W980"/>
  <c r="X980"/>
  <c r="J468"/>
  <c r="K467"/>
  <c r="L467" s="1"/>
  <c r="Y980" l="1"/>
  <c r="I980" s="1"/>
  <c r="U982"/>
  <c r="W981"/>
  <c r="X981"/>
  <c r="J469"/>
  <c r="K468"/>
  <c r="L468" s="1"/>
  <c r="Y981" l="1"/>
  <c r="I981" s="1"/>
  <c r="U983"/>
  <c r="W982"/>
  <c r="X982"/>
  <c r="J470"/>
  <c r="K469"/>
  <c r="L469" s="1"/>
  <c r="Y982" l="1"/>
  <c r="I982" s="1"/>
  <c r="U984"/>
  <c r="W983"/>
  <c r="X983"/>
  <c r="J471"/>
  <c r="K470"/>
  <c r="L470" s="1"/>
  <c r="Y983" l="1"/>
  <c r="I983" s="1"/>
  <c r="U985"/>
  <c r="W984"/>
  <c r="X984"/>
  <c r="J472"/>
  <c r="K471"/>
  <c r="L471" s="1"/>
  <c r="Y984" l="1"/>
  <c r="I984" s="1"/>
  <c r="U986"/>
  <c r="W985"/>
  <c r="X985"/>
  <c r="J473"/>
  <c r="K472"/>
  <c r="L472" s="1"/>
  <c r="Y985" l="1"/>
  <c r="I985" s="1"/>
  <c r="U987"/>
  <c r="W986"/>
  <c r="X986"/>
  <c r="J474"/>
  <c r="K473"/>
  <c r="L473" s="1"/>
  <c r="Y986" l="1"/>
  <c r="I986" s="1"/>
  <c r="U988"/>
  <c r="W987"/>
  <c r="X987"/>
  <c r="J475"/>
  <c r="K474"/>
  <c r="L474" s="1"/>
  <c r="Y987" l="1"/>
  <c r="I987" s="1"/>
  <c r="U989"/>
  <c r="W988"/>
  <c r="X988"/>
  <c r="J476"/>
  <c r="K475"/>
  <c r="L475" s="1"/>
  <c r="Y988" l="1"/>
  <c r="I988" s="1"/>
  <c r="U990"/>
  <c r="W989"/>
  <c r="X989"/>
  <c r="J477"/>
  <c r="K476"/>
  <c r="L476" s="1"/>
  <c r="Y989" l="1"/>
  <c r="I989" s="1"/>
  <c r="U991"/>
  <c r="W990"/>
  <c r="X990"/>
  <c r="J478"/>
  <c r="K477"/>
  <c r="L477" s="1"/>
  <c r="Y990" l="1"/>
  <c r="I990" s="1"/>
  <c r="U992"/>
  <c r="W991"/>
  <c r="X991"/>
  <c r="J479"/>
  <c r="K478"/>
  <c r="L478" s="1"/>
  <c r="Y991" l="1"/>
  <c r="I991" s="1"/>
  <c r="U993"/>
  <c r="W992"/>
  <c r="X992"/>
  <c r="J480"/>
  <c r="K479"/>
  <c r="L479" s="1"/>
  <c r="Y992" l="1"/>
  <c r="I992" s="1"/>
  <c r="U994"/>
  <c r="W993"/>
  <c r="X993"/>
  <c r="J481"/>
  <c r="K480"/>
  <c r="L480" s="1"/>
  <c r="Y993" l="1"/>
  <c r="I993" s="1"/>
  <c r="U995"/>
  <c r="W994"/>
  <c r="X994"/>
  <c r="J482"/>
  <c r="K481"/>
  <c r="L481" s="1"/>
  <c r="Y994" l="1"/>
  <c r="I994" s="1"/>
  <c r="U996"/>
  <c r="W995"/>
  <c r="X995"/>
  <c r="J483"/>
  <c r="K482"/>
  <c r="L482" s="1"/>
  <c r="Y995" l="1"/>
  <c r="I995" s="1"/>
  <c r="U997"/>
  <c r="W996"/>
  <c r="X996"/>
  <c r="J484"/>
  <c r="K484" s="1"/>
  <c r="K483"/>
  <c r="L483" s="1"/>
  <c r="Y996" l="1"/>
  <c r="I996" s="1"/>
  <c r="U998"/>
  <c r="W997"/>
  <c r="X997"/>
  <c r="L484"/>
  <c r="J485"/>
  <c r="Y997" l="1"/>
  <c r="I997" s="1"/>
  <c r="U999"/>
  <c r="W998"/>
  <c r="X998"/>
  <c r="J486"/>
  <c r="K485"/>
  <c r="L485" s="1"/>
  <c r="Y998" l="1"/>
  <c r="I998" s="1"/>
  <c r="U1000"/>
  <c r="W999"/>
  <c r="X999"/>
  <c r="J487"/>
  <c r="K486"/>
  <c r="L486" s="1"/>
  <c r="Y999" l="1"/>
  <c r="I999" s="1"/>
  <c r="U1001"/>
  <c r="W1000"/>
  <c r="X1000"/>
  <c r="J488"/>
  <c r="K487"/>
  <c r="L487" s="1"/>
  <c r="Y1000" l="1"/>
  <c r="I1000" s="1"/>
  <c r="U1002"/>
  <c r="W1001"/>
  <c r="X1001"/>
  <c r="J489"/>
  <c r="K488"/>
  <c r="L488" s="1"/>
  <c r="Y1001" l="1"/>
  <c r="I1001" s="1"/>
  <c r="U1003"/>
  <c r="W1002"/>
  <c r="X1002"/>
  <c r="J490"/>
  <c r="K490" s="1"/>
  <c r="K489"/>
  <c r="L489" s="1"/>
  <c r="Y1002" l="1"/>
  <c r="I1002" s="1"/>
  <c r="U1004"/>
  <c r="W1003"/>
  <c r="X1003"/>
  <c r="L490"/>
  <c r="J491"/>
  <c r="Y1003" l="1"/>
  <c r="I1003" s="1"/>
  <c r="U1005"/>
  <c r="W1004"/>
  <c r="X1004"/>
  <c r="J492"/>
  <c r="K491"/>
  <c r="L491" s="1"/>
  <c r="Y1004" l="1"/>
  <c r="I1004" s="1"/>
  <c r="U1006"/>
  <c r="W1005"/>
  <c r="X1005"/>
  <c r="J493"/>
  <c r="K492"/>
  <c r="L492" s="1"/>
  <c r="Y1005" l="1"/>
  <c r="I1005" s="1"/>
  <c r="U1007"/>
  <c r="W1006"/>
  <c r="X1006"/>
  <c r="J494"/>
  <c r="K493"/>
  <c r="L493" s="1"/>
  <c r="Y1006" l="1"/>
  <c r="I1006" s="1"/>
  <c r="U1008"/>
  <c r="W1007"/>
  <c r="X1007"/>
  <c r="J495"/>
  <c r="K494"/>
  <c r="L494" s="1"/>
  <c r="Y1007" l="1"/>
  <c r="I1007" s="1"/>
  <c r="U1009"/>
  <c r="W1008"/>
  <c r="X1008"/>
  <c r="J496"/>
  <c r="K496" s="1"/>
  <c r="K495"/>
  <c r="L495" s="1"/>
  <c r="Y1008" l="1"/>
  <c r="I1008" s="1"/>
  <c r="U1010"/>
  <c r="W1009"/>
  <c r="X1009"/>
  <c r="L496"/>
  <c r="J497"/>
  <c r="K497" s="1"/>
  <c r="Y1009" l="1"/>
  <c r="I1009" s="1"/>
  <c r="U1011"/>
  <c r="W1010"/>
  <c r="X1010"/>
  <c r="L497"/>
  <c r="J498"/>
  <c r="Y1010" l="1"/>
  <c r="I1010" s="1"/>
  <c r="U1012"/>
  <c r="X1011"/>
  <c r="W1011"/>
  <c r="J499"/>
  <c r="K499" s="1"/>
  <c r="K498"/>
  <c r="L498" s="1"/>
  <c r="Y1011" l="1"/>
  <c r="I1011" s="1"/>
  <c r="U1013"/>
  <c r="W1012"/>
  <c r="X1012"/>
  <c r="L499"/>
  <c r="J500"/>
  <c r="Y1012" l="1"/>
  <c r="I1012" s="1"/>
  <c r="U1014"/>
  <c r="X1013"/>
  <c r="W1013"/>
  <c r="J501"/>
  <c r="K500"/>
  <c r="L500" s="1"/>
  <c r="Y1013" l="1"/>
  <c r="I1013" s="1"/>
  <c r="U1015"/>
  <c r="W1014"/>
  <c r="X1014"/>
  <c r="J502"/>
  <c r="K501"/>
  <c r="L501" s="1"/>
  <c r="Y1014" l="1"/>
  <c r="I1014" s="1"/>
  <c r="U1016"/>
  <c r="X1015"/>
  <c r="W1015"/>
  <c r="J503"/>
  <c r="K502"/>
  <c r="L502" s="1"/>
  <c r="Y1015" l="1"/>
  <c r="I1015" s="1"/>
  <c r="U1017"/>
  <c r="W1016"/>
  <c r="X1016"/>
  <c r="J504"/>
  <c r="K504" s="1"/>
  <c r="K503"/>
  <c r="L503" s="1"/>
  <c r="Y1016" l="1"/>
  <c r="I1016" s="1"/>
  <c r="U1018"/>
  <c r="X1017"/>
  <c r="W1017"/>
  <c r="L504"/>
  <c r="J505"/>
  <c r="Y1017" l="1"/>
  <c r="I1017" s="1"/>
  <c r="U1019"/>
  <c r="W1018"/>
  <c r="X1018"/>
  <c r="J506"/>
  <c r="K506" s="1"/>
  <c r="K505"/>
  <c r="L505" s="1"/>
  <c r="Y1018" l="1"/>
  <c r="I1018" s="1"/>
  <c r="U1020"/>
  <c r="X1019"/>
  <c r="W1019"/>
  <c r="L506"/>
  <c r="J507"/>
  <c r="K507" s="1"/>
  <c r="Y1019" l="1"/>
  <c r="I1019" s="1"/>
  <c r="U1021"/>
  <c r="W1020"/>
  <c r="X1020"/>
  <c r="L507"/>
  <c r="J508"/>
  <c r="Y1020" l="1"/>
  <c r="I1020" s="1"/>
  <c r="U1022"/>
  <c r="X1021"/>
  <c r="W1021"/>
  <c r="J509"/>
  <c r="K508"/>
  <c r="L508" s="1"/>
  <c r="Y1021" l="1"/>
  <c r="I1021" s="1"/>
  <c r="U1023"/>
  <c r="W1022"/>
  <c r="X1022"/>
  <c r="J510"/>
  <c r="K509"/>
  <c r="L509" s="1"/>
  <c r="Y1022" l="1"/>
  <c r="I1022" s="1"/>
  <c r="U1024"/>
  <c r="X1023"/>
  <c r="W1023"/>
  <c r="J511"/>
  <c r="K511" s="1"/>
  <c r="K510"/>
  <c r="L510" s="1"/>
  <c r="Y1023" l="1"/>
  <c r="I1023" s="1"/>
  <c r="U1025"/>
  <c r="W1024"/>
  <c r="X1024"/>
  <c r="L511"/>
  <c r="J512"/>
  <c r="Y1024" l="1"/>
  <c r="I1024" s="1"/>
  <c r="U1026"/>
  <c r="X1025"/>
  <c r="W1025"/>
  <c r="J513"/>
  <c r="K513" s="1"/>
  <c r="K512"/>
  <c r="L512" s="1"/>
  <c r="Y1025" l="1"/>
  <c r="I1025" s="1"/>
  <c r="U1027"/>
  <c r="W1026"/>
  <c r="X1026"/>
  <c r="L513"/>
  <c r="J514"/>
  <c r="Y1026" l="1"/>
  <c r="I1026" s="1"/>
  <c r="U1028"/>
  <c r="X1027"/>
  <c r="W1027"/>
  <c r="J515"/>
  <c r="K514"/>
  <c r="L514" s="1"/>
  <c r="Y1027" l="1"/>
  <c r="I1027" s="1"/>
  <c r="U1029"/>
  <c r="W1028"/>
  <c r="X1028"/>
  <c r="J516"/>
  <c r="K515"/>
  <c r="L515" s="1"/>
  <c r="Y1028" l="1"/>
  <c r="I1028" s="1"/>
  <c r="U1030"/>
  <c r="X1029"/>
  <c r="W1029"/>
  <c r="J517"/>
  <c r="K516"/>
  <c r="L516" s="1"/>
  <c r="Y1029" l="1"/>
  <c r="I1029" s="1"/>
  <c r="U1031"/>
  <c r="W1030"/>
  <c r="X1030"/>
  <c r="J518"/>
  <c r="K517"/>
  <c r="L517" s="1"/>
  <c r="Y1030" l="1"/>
  <c r="I1030" s="1"/>
  <c r="U1032"/>
  <c r="X1031"/>
  <c r="W1031"/>
  <c r="J519"/>
  <c r="K518"/>
  <c r="L518" s="1"/>
  <c r="Y1031" l="1"/>
  <c r="I1031" s="1"/>
  <c r="U1033"/>
  <c r="W1032"/>
  <c r="X1032"/>
  <c r="J520"/>
  <c r="K519"/>
  <c r="L519" s="1"/>
  <c r="Y1032" l="1"/>
  <c r="I1032" s="1"/>
  <c r="U1034"/>
  <c r="X1033"/>
  <c r="W1033"/>
  <c r="J521"/>
  <c r="K520"/>
  <c r="L520" s="1"/>
  <c r="Y1033" l="1"/>
  <c r="I1033" s="1"/>
  <c r="U1035"/>
  <c r="W1034"/>
  <c r="X1034"/>
  <c r="J522"/>
  <c r="K521"/>
  <c r="L521" s="1"/>
  <c r="Y1034" l="1"/>
  <c r="I1034" s="1"/>
  <c r="U1036"/>
  <c r="X1035"/>
  <c r="W1035"/>
  <c r="J523"/>
  <c r="K523" s="1"/>
  <c r="K522"/>
  <c r="L522" s="1"/>
  <c r="Y1035" l="1"/>
  <c r="I1035" s="1"/>
  <c r="U1037"/>
  <c r="W1036"/>
  <c r="X1036"/>
  <c r="L523"/>
  <c r="J524"/>
  <c r="Y1036" l="1"/>
  <c r="I1036" s="1"/>
  <c r="U1038"/>
  <c r="X1037"/>
  <c r="W1037"/>
  <c r="J525"/>
  <c r="K524"/>
  <c r="L524" s="1"/>
  <c r="Y1037" l="1"/>
  <c r="I1037" s="1"/>
  <c r="U1039"/>
  <c r="W1038"/>
  <c r="X1038"/>
  <c r="J526"/>
  <c r="K525"/>
  <c r="L525" s="1"/>
  <c r="Y1038" l="1"/>
  <c r="I1038" s="1"/>
  <c r="U1040"/>
  <c r="X1039"/>
  <c r="W1039"/>
  <c r="J527"/>
  <c r="K526"/>
  <c r="L526" s="1"/>
  <c r="Y1039" l="1"/>
  <c r="I1039" s="1"/>
  <c r="U1041"/>
  <c r="W1040"/>
  <c r="X1040"/>
  <c r="J528"/>
  <c r="K527"/>
  <c r="L527" s="1"/>
  <c r="Y1040" l="1"/>
  <c r="I1040" s="1"/>
  <c r="U1042"/>
  <c r="X1041"/>
  <c r="W1041"/>
  <c r="J529"/>
  <c r="K528"/>
  <c r="L528" s="1"/>
  <c r="Y1041" l="1"/>
  <c r="I1041" s="1"/>
  <c r="U1043"/>
  <c r="W1042"/>
  <c r="X1042"/>
  <c r="J530"/>
  <c r="K529"/>
  <c r="L529" s="1"/>
  <c r="Y1042" l="1"/>
  <c r="I1042" s="1"/>
  <c r="U1044"/>
  <c r="X1043"/>
  <c r="W1043"/>
  <c r="J531"/>
  <c r="K530"/>
  <c r="L530" s="1"/>
  <c r="Y1043" l="1"/>
  <c r="I1043" s="1"/>
  <c r="U1045"/>
  <c r="W1044"/>
  <c r="X1044"/>
  <c r="J532"/>
  <c r="K531"/>
  <c r="L531" s="1"/>
  <c r="Y1044" l="1"/>
  <c r="I1044" s="1"/>
  <c r="U1046"/>
  <c r="X1045"/>
  <c r="W1045"/>
  <c r="J533"/>
  <c r="K532"/>
  <c r="L532" s="1"/>
  <c r="Y1045" l="1"/>
  <c r="I1045" s="1"/>
  <c r="U1047"/>
  <c r="W1046"/>
  <c r="X1046"/>
  <c r="J534"/>
  <c r="K534" s="1"/>
  <c r="K533"/>
  <c r="L533" s="1"/>
  <c r="Y1046" l="1"/>
  <c r="I1046" s="1"/>
  <c r="U1048"/>
  <c r="X1047"/>
  <c r="W1047"/>
  <c r="L534"/>
  <c r="J535"/>
  <c r="Y1047" l="1"/>
  <c r="I1047" s="1"/>
  <c r="U1049"/>
  <c r="W1048"/>
  <c r="X1048"/>
  <c r="J536"/>
  <c r="K535"/>
  <c r="L535" s="1"/>
  <c r="Y1048" l="1"/>
  <c r="I1048" s="1"/>
  <c r="U1050"/>
  <c r="X1049"/>
  <c r="W1049"/>
  <c r="J537"/>
  <c r="K536"/>
  <c r="L536" s="1"/>
  <c r="Y1049" l="1"/>
  <c r="I1049" s="1"/>
  <c r="U1051"/>
  <c r="W1050"/>
  <c r="X1050"/>
  <c r="J538"/>
  <c r="K537"/>
  <c r="L537" s="1"/>
  <c r="Y1050" l="1"/>
  <c r="I1050" s="1"/>
  <c r="U1052"/>
  <c r="X1051"/>
  <c r="W1051"/>
  <c r="J539"/>
  <c r="K538"/>
  <c r="L538" s="1"/>
  <c r="Y1051" l="1"/>
  <c r="I1051" s="1"/>
  <c r="U1053"/>
  <c r="W1052"/>
  <c r="X1052"/>
  <c r="J540"/>
  <c r="K539"/>
  <c r="L539" s="1"/>
  <c r="Y1052" l="1"/>
  <c r="I1052" s="1"/>
  <c r="U1054"/>
  <c r="X1053"/>
  <c r="W1053"/>
  <c r="J541"/>
  <c r="K540"/>
  <c r="L540" s="1"/>
  <c r="Y1053" l="1"/>
  <c r="I1053" s="1"/>
  <c r="U1055"/>
  <c r="W1054"/>
  <c r="X1054"/>
  <c r="J542"/>
  <c r="K541"/>
  <c r="L541" s="1"/>
  <c r="Y1054" l="1"/>
  <c r="I1054" s="1"/>
  <c r="U1056"/>
  <c r="X1055"/>
  <c r="W1055"/>
  <c r="J543"/>
  <c r="K542"/>
  <c r="L542" s="1"/>
  <c r="Y1055" l="1"/>
  <c r="I1055" s="1"/>
  <c r="U1057"/>
  <c r="W1056"/>
  <c r="X1056"/>
  <c r="J544"/>
  <c r="K544" s="1"/>
  <c r="K543"/>
  <c r="L543" s="1"/>
  <c r="Y1056" l="1"/>
  <c r="I1056" s="1"/>
  <c r="U1058"/>
  <c r="X1057"/>
  <c r="W1057"/>
  <c r="L544"/>
  <c r="J545"/>
  <c r="Y1057" l="1"/>
  <c r="I1057" s="1"/>
  <c r="U1059"/>
  <c r="W1058"/>
  <c r="X1058"/>
  <c r="J546"/>
  <c r="K545"/>
  <c r="L545" s="1"/>
  <c r="Y1058" l="1"/>
  <c r="I1058" s="1"/>
  <c r="U1060"/>
  <c r="X1059"/>
  <c r="W1059"/>
  <c r="J547"/>
  <c r="K547" s="1"/>
  <c r="K546"/>
  <c r="L546" s="1"/>
  <c r="Y1059" l="1"/>
  <c r="I1059" s="1"/>
  <c r="U1061"/>
  <c r="W1060"/>
  <c r="X1060"/>
  <c r="L547"/>
  <c r="J548"/>
  <c r="Y1060" l="1"/>
  <c r="I1060" s="1"/>
  <c r="U1062"/>
  <c r="X1061"/>
  <c r="W1061"/>
  <c r="J549"/>
  <c r="K548"/>
  <c r="L548" s="1"/>
  <c r="Y1061" l="1"/>
  <c r="I1061" s="1"/>
  <c r="U1063"/>
  <c r="W1062"/>
  <c r="X1062"/>
  <c r="J550"/>
  <c r="K550" s="1"/>
  <c r="K549"/>
  <c r="L549" s="1"/>
  <c r="Y1062" l="1"/>
  <c r="I1062" s="1"/>
  <c r="U1064"/>
  <c r="X1063"/>
  <c r="W1063"/>
  <c r="L550"/>
  <c r="J551"/>
  <c r="Y1063" l="1"/>
  <c r="I1063" s="1"/>
  <c r="U1065"/>
  <c r="W1064"/>
  <c r="X1064"/>
  <c r="J552"/>
  <c r="K551"/>
  <c r="L551" s="1"/>
  <c r="Y1064" l="1"/>
  <c r="I1064" s="1"/>
  <c r="U1066"/>
  <c r="X1065"/>
  <c r="W1065"/>
  <c r="J553"/>
  <c r="K552"/>
  <c r="L552" s="1"/>
  <c r="Y1065" l="1"/>
  <c r="I1065" s="1"/>
  <c r="U1067"/>
  <c r="W1066"/>
  <c r="X1066"/>
  <c r="J554"/>
  <c r="K553"/>
  <c r="L553" s="1"/>
  <c r="Y1066" l="1"/>
  <c r="I1066" s="1"/>
  <c r="U1068"/>
  <c r="X1067"/>
  <c r="W1067"/>
  <c r="J555"/>
  <c r="K554"/>
  <c r="L554" s="1"/>
  <c r="Y1067" l="1"/>
  <c r="I1067" s="1"/>
  <c r="U1069"/>
  <c r="W1068"/>
  <c r="X1068"/>
  <c r="J556"/>
  <c r="K555"/>
  <c r="L555" s="1"/>
  <c r="Y1068" l="1"/>
  <c r="I1068" s="1"/>
  <c r="U1070"/>
  <c r="X1069"/>
  <c r="W1069"/>
  <c r="J557"/>
  <c r="K556"/>
  <c r="L556" s="1"/>
  <c r="Y1069" l="1"/>
  <c r="I1069" s="1"/>
  <c r="U1071"/>
  <c r="W1070"/>
  <c r="X1070"/>
  <c r="J558"/>
  <c r="K557"/>
  <c r="L557" s="1"/>
  <c r="Y1070" l="1"/>
  <c r="I1070" s="1"/>
  <c r="U1072"/>
  <c r="X1071"/>
  <c r="W1071"/>
  <c r="J559"/>
  <c r="K558"/>
  <c r="L558" s="1"/>
  <c r="Y1071" l="1"/>
  <c r="I1071" s="1"/>
  <c r="U1073"/>
  <c r="W1072"/>
  <c r="X1072"/>
  <c r="J560"/>
  <c r="K559"/>
  <c r="L559" s="1"/>
  <c r="Y1072" l="1"/>
  <c r="I1072" s="1"/>
  <c r="U1074"/>
  <c r="X1073"/>
  <c r="W1073"/>
  <c r="J561"/>
  <c r="K561" s="1"/>
  <c r="K560"/>
  <c r="L560" s="1"/>
  <c r="Y1073" l="1"/>
  <c r="I1073" s="1"/>
  <c r="U1075"/>
  <c r="W1074"/>
  <c r="X1074"/>
  <c r="L561"/>
  <c r="J562"/>
  <c r="Y1074" l="1"/>
  <c r="I1074" s="1"/>
  <c r="U1076"/>
  <c r="X1075"/>
  <c r="W1075"/>
  <c r="J563"/>
  <c r="K562"/>
  <c r="L562" s="1"/>
  <c r="Y1075" l="1"/>
  <c r="I1075" s="1"/>
  <c r="U1077"/>
  <c r="W1076"/>
  <c r="X1076"/>
  <c r="J564"/>
  <c r="K563"/>
  <c r="L563" s="1"/>
  <c r="Y1076" l="1"/>
  <c r="I1076" s="1"/>
  <c r="U1078"/>
  <c r="X1077"/>
  <c r="W1077"/>
  <c r="J565"/>
  <c r="K564"/>
  <c r="L564" s="1"/>
  <c r="Y1077" l="1"/>
  <c r="I1077" s="1"/>
  <c r="U1079"/>
  <c r="W1078"/>
  <c r="X1078"/>
  <c r="J566"/>
  <c r="K565"/>
  <c r="L565" s="1"/>
  <c r="Y1078" l="1"/>
  <c r="I1078" s="1"/>
  <c r="U1080"/>
  <c r="X1079"/>
  <c r="W1079"/>
  <c r="J567"/>
  <c r="K566"/>
  <c r="L566" s="1"/>
  <c r="Y1079" l="1"/>
  <c r="I1079" s="1"/>
  <c r="U1081"/>
  <c r="W1080"/>
  <c r="X1080"/>
  <c r="J568"/>
  <c r="K567"/>
  <c r="L567" s="1"/>
  <c r="Y1080" l="1"/>
  <c r="I1080" s="1"/>
  <c r="U1082"/>
  <c r="X1081"/>
  <c r="W1081"/>
  <c r="J569"/>
  <c r="K569" s="1"/>
  <c r="K568"/>
  <c r="L568" s="1"/>
  <c r="Y1081" l="1"/>
  <c r="I1081" s="1"/>
  <c r="U1083"/>
  <c r="W1082"/>
  <c r="X1082"/>
  <c r="L569"/>
  <c r="J570"/>
  <c r="Y1082" l="1"/>
  <c r="I1082" s="1"/>
  <c r="U1084"/>
  <c r="X1083"/>
  <c r="W1083"/>
  <c r="J571"/>
  <c r="K571" s="1"/>
  <c r="K570"/>
  <c r="L570" s="1"/>
  <c r="Y1083" l="1"/>
  <c r="I1083" s="1"/>
  <c r="U1085"/>
  <c r="W1084"/>
  <c r="X1084"/>
  <c r="L571"/>
  <c r="J572"/>
  <c r="Y1084" l="1"/>
  <c r="I1084" s="1"/>
  <c r="U1086"/>
  <c r="X1085"/>
  <c r="W1085"/>
  <c r="J573"/>
  <c r="K573" s="1"/>
  <c r="K572"/>
  <c r="L572" s="1"/>
  <c r="Y1085" l="1"/>
  <c r="I1085" s="1"/>
  <c r="U1087"/>
  <c r="W1086"/>
  <c r="X1086"/>
  <c r="L573"/>
  <c r="J574"/>
  <c r="K574" s="1"/>
  <c r="Y1086" l="1"/>
  <c r="I1086" s="1"/>
  <c r="U1088"/>
  <c r="X1087"/>
  <c r="W1087"/>
  <c r="L574"/>
  <c r="J575"/>
  <c r="Y1087" l="1"/>
  <c r="I1087" s="1"/>
  <c r="U1089"/>
  <c r="W1088"/>
  <c r="X1088"/>
  <c r="J576"/>
  <c r="K575"/>
  <c r="L575" s="1"/>
  <c r="Y1088" l="1"/>
  <c r="I1088" s="1"/>
  <c r="U1090"/>
  <c r="X1089"/>
  <c r="W1089"/>
  <c r="J577"/>
  <c r="K576"/>
  <c r="L576" s="1"/>
  <c r="Y1089" l="1"/>
  <c r="I1089" s="1"/>
  <c r="U1091"/>
  <c r="W1090"/>
  <c r="X1090"/>
  <c r="J578"/>
  <c r="K577"/>
  <c r="L577" s="1"/>
  <c r="Y1090" l="1"/>
  <c r="I1090" s="1"/>
  <c r="U1092"/>
  <c r="X1091"/>
  <c r="W1091"/>
  <c r="J579"/>
  <c r="K578"/>
  <c r="L578" s="1"/>
  <c r="Y1091" l="1"/>
  <c r="I1091" s="1"/>
  <c r="U1093"/>
  <c r="W1092"/>
  <c r="X1092"/>
  <c r="J580"/>
  <c r="K579"/>
  <c r="L579" s="1"/>
  <c r="Y1092" l="1"/>
  <c r="I1092" s="1"/>
  <c r="U1094"/>
  <c r="X1093"/>
  <c r="W1093"/>
  <c r="J581"/>
  <c r="K580"/>
  <c r="L580" s="1"/>
  <c r="Y1093" l="1"/>
  <c r="I1093" s="1"/>
  <c r="U1095"/>
  <c r="W1094"/>
  <c r="X1094"/>
  <c r="J582"/>
  <c r="K581"/>
  <c r="L581" s="1"/>
  <c r="Y1094" l="1"/>
  <c r="I1094" s="1"/>
  <c r="U1096"/>
  <c r="X1095"/>
  <c r="W1095"/>
  <c r="J583"/>
  <c r="K583" s="1"/>
  <c r="K582"/>
  <c r="L582" s="1"/>
  <c r="Y1095" l="1"/>
  <c r="I1095" s="1"/>
  <c r="U1097"/>
  <c r="W1096"/>
  <c r="X1096"/>
  <c r="L583"/>
  <c r="J584"/>
  <c r="Y1096" l="1"/>
  <c r="I1096" s="1"/>
  <c r="U1098"/>
  <c r="X1097"/>
  <c r="W1097"/>
  <c r="J585"/>
  <c r="K584"/>
  <c r="L584" s="1"/>
  <c r="Y1097" l="1"/>
  <c r="I1097" s="1"/>
  <c r="U1099"/>
  <c r="W1098"/>
  <c r="X1098"/>
  <c r="J586"/>
  <c r="K585"/>
  <c r="L585" s="1"/>
  <c r="Y1098" l="1"/>
  <c r="I1098" s="1"/>
  <c r="U1100"/>
  <c r="X1099"/>
  <c r="W1099"/>
  <c r="J587"/>
  <c r="K586"/>
  <c r="L586" s="1"/>
  <c r="Y1099" l="1"/>
  <c r="I1099" s="1"/>
  <c r="U1101"/>
  <c r="W1100"/>
  <c r="X1100"/>
  <c r="J588"/>
  <c r="K587"/>
  <c r="L587" s="1"/>
  <c r="Y1100" l="1"/>
  <c r="I1100" s="1"/>
  <c r="U1102"/>
  <c r="X1101"/>
  <c r="W1101"/>
  <c r="J589"/>
  <c r="K588"/>
  <c r="L588" s="1"/>
  <c r="Y1101" l="1"/>
  <c r="I1101" s="1"/>
  <c r="U1103"/>
  <c r="W1102"/>
  <c r="X1102"/>
  <c r="J590"/>
  <c r="K589"/>
  <c r="L589" s="1"/>
  <c r="Y1102" l="1"/>
  <c r="I1102" s="1"/>
  <c r="U1104"/>
  <c r="X1103"/>
  <c r="W1103"/>
  <c r="J591"/>
  <c r="K590"/>
  <c r="L590" s="1"/>
  <c r="Y1103" l="1"/>
  <c r="I1103" s="1"/>
  <c r="U1105"/>
  <c r="W1104"/>
  <c r="X1104"/>
  <c r="J592"/>
  <c r="K591"/>
  <c r="L591" s="1"/>
  <c r="Y1104" l="1"/>
  <c r="I1104" s="1"/>
  <c r="U1106"/>
  <c r="X1105"/>
  <c r="W1105"/>
  <c r="J593"/>
  <c r="K592"/>
  <c r="L592" s="1"/>
  <c r="Y1105" l="1"/>
  <c r="I1105" s="1"/>
  <c r="U1107"/>
  <c r="W1106"/>
  <c r="X1106"/>
  <c r="J594"/>
  <c r="K593"/>
  <c r="L593" s="1"/>
  <c r="Y1106" l="1"/>
  <c r="I1106" s="1"/>
  <c r="U1108"/>
  <c r="X1107"/>
  <c r="W1107"/>
  <c r="J595"/>
  <c r="K594"/>
  <c r="L594" s="1"/>
  <c r="Y1107" l="1"/>
  <c r="I1107" s="1"/>
  <c r="U1109"/>
  <c r="W1108"/>
  <c r="X1108"/>
  <c r="J596"/>
  <c r="K595"/>
  <c r="L595" s="1"/>
  <c r="Y1108" l="1"/>
  <c r="I1108" s="1"/>
  <c r="U1110"/>
  <c r="X1109"/>
  <c r="W1109"/>
  <c r="J597"/>
  <c r="K596"/>
  <c r="L596" s="1"/>
  <c r="Y1109" l="1"/>
  <c r="I1109" s="1"/>
  <c r="U1111"/>
  <c r="W1110"/>
  <c r="X1110"/>
  <c r="J598"/>
  <c r="K597"/>
  <c r="L597" s="1"/>
  <c r="Y1110" l="1"/>
  <c r="I1110" s="1"/>
  <c r="U1112"/>
  <c r="X1111"/>
  <c r="W1111"/>
  <c r="J599"/>
  <c r="K598"/>
  <c r="L598" s="1"/>
  <c r="Y1111" l="1"/>
  <c r="I1111" s="1"/>
  <c r="U1113"/>
  <c r="W1112"/>
  <c r="X1112"/>
  <c r="J600"/>
  <c r="K599"/>
  <c r="L599" s="1"/>
  <c r="Y1112" l="1"/>
  <c r="I1112" s="1"/>
  <c r="U1114"/>
  <c r="X1113"/>
  <c r="W1113"/>
  <c r="J601"/>
  <c r="K600"/>
  <c r="L600" s="1"/>
  <c r="Y1113" l="1"/>
  <c r="I1113" s="1"/>
  <c r="U1115"/>
  <c r="W1114"/>
  <c r="X1114"/>
  <c r="J602"/>
  <c r="K601"/>
  <c r="L601" s="1"/>
  <c r="Y1114" l="1"/>
  <c r="I1114" s="1"/>
  <c r="U1116"/>
  <c r="X1115"/>
  <c r="W1115"/>
  <c r="J603"/>
  <c r="K602"/>
  <c r="L602" s="1"/>
  <c r="Y1115" l="1"/>
  <c r="I1115" s="1"/>
  <c r="U1117"/>
  <c r="W1116"/>
  <c r="X1116"/>
  <c r="J604"/>
  <c r="K603"/>
  <c r="L603" s="1"/>
  <c r="Y1116" l="1"/>
  <c r="I1116" s="1"/>
  <c r="U1118"/>
  <c r="X1117"/>
  <c r="W1117"/>
  <c r="J605"/>
  <c r="K604"/>
  <c r="L604" s="1"/>
  <c r="Y1117" l="1"/>
  <c r="I1117" s="1"/>
  <c r="U1119"/>
  <c r="W1118"/>
  <c r="X1118"/>
  <c r="J606"/>
  <c r="K605"/>
  <c r="L605" s="1"/>
  <c r="Y1118" l="1"/>
  <c r="I1118" s="1"/>
  <c r="U1120"/>
  <c r="X1119"/>
  <c r="W1119"/>
  <c r="J607"/>
  <c r="K606"/>
  <c r="L606" s="1"/>
  <c r="Y1119" l="1"/>
  <c r="I1119" s="1"/>
  <c r="U1121"/>
  <c r="W1120"/>
  <c r="X1120"/>
  <c r="J608"/>
  <c r="K607"/>
  <c r="L607" s="1"/>
  <c r="Y1120" l="1"/>
  <c r="I1120" s="1"/>
  <c r="U1122"/>
  <c r="X1121"/>
  <c r="W1121"/>
  <c r="J609"/>
  <c r="K608"/>
  <c r="L608" s="1"/>
  <c r="Y1121" l="1"/>
  <c r="I1121" s="1"/>
  <c r="U1123"/>
  <c r="W1122"/>
  <c r="X1122"/>
  <c r="J610"/>
  <c r="K610" s="1"/>
  <c r="K609"/>
  <c r="L609" s="1"/>
  <c r="Y1122" l="1"/>
  <c r="I1122" s="1"/>
  <c r="U1124"/>
  <c r="X1123"/>
  <c r="W1123"/>
  <c r="L610"/>
  <c r="J611"/>
  <c r="Y1123" l="1"/>
  <c r="I1123" s="1"/>
  <c r="U1125"/>
  <c r="W1124"/>
  <c r="X1124"/>
  <c r="J612"/>
  <c r="K611"/>
  <c r="L611" s="1"/>
  <c r="Y1124" l="1"/>
  <c r="I1124" s="1"/>
  <c r="U1126"/>
  <c r="X1125"/>
  <c r="W1125"/>
  <c r="J613"/>
  <c r="K613" s="1"/>
  <c r="K612"/>
  <c r="L612" s="1"/>
  <c r="Y1125" l="1"/>
  <c r="I1125" s="1"/>
  <c r="U1127"/>
  <c r="W1126"/>
  <c r="X1126"/>
  <c r="L613"/>
  <c r="J614"/>
  <c r="Y1126" l="1"/>
  <c r="I1126" s="1"/>
  <c r="U1128"/>
  <c r="X1127"/>
  <c r="W1127"/>
  <c r="J615"/>
  <c r="K614"/>
  <c r="L614" s="1"/>
  <c r="Y1127" l="1"/>
  <c r="I1127" s="1"/>
  <c r="U1129"/>
  <c r="W1128"/>
  <c r="X1128"/>
  <c r="J616"/>
  <c r="K615"/>
  <c r="L615" s="1"/>
  <c r="Y1128" l="1"/>
  <c r="I1128" s="1"/>
  <c r="U1130"/>
  <c r="X1129"/>
  <c r="W1129"/>
  <c r="J617"/>
  <c r="K616"/>
  <c r="L616" s="1"/>
  <c r="Y1129" l="1"/>
  <c r="I1129" s="1"/>
  <c r="U1131"/>
  <c r="W1130"/>
  <c r="X1130"/>
  <c r="J618"/>
  <c r="K618" s="1"/>
  <c r="K617"/>
  <c r="L617" s="1"/>
  <c r="Y1130" l="1"/>
  <c r="I1130" s="1"/>
  <c r="U1132"/>
  <c r="X1131"/>
  <c r="W1131"/>
  <c r="L618"/>
  <c r="J619"/>
  <c r="Y1131" l="1"/>
  <c r="I1131" s="1"/>
  <c r="U1133"/>
  <c r="W1132"/>
  <c r="X1132"/>
  <c r="J620"/>
  <c r="K619"/>
  <c r="L619" s="1"/>
  <c r="Y1132" l="1"/>
  <c r="I1132" s="1"/>
  <c r="U1134"/>
  <c r="X1133"/>
  <c r="W1133"/>
  <c r="J621"/>
  <c r="K620"/>
  <c r="L620" s="1"/>
  <c r="Y1133" l="1"/>
  <c r="I1133" s="1"/>
  <c r="U1135"/>
  <c r="W1134"/>
  <c r="X1134"/>
  <c r="J622"/>
  <c r="K621"/>
  <c r="L621" s="1"/>
  <c r="Y1134" l="1"/>
  <c r="I1134" s="1"/>
  <c r="U1136"/>
  <c r="X1135"/>
  <c r="W1135"/>
  <c r="J623"/>
  <c r="K622"/>
  <c r="L622" s="1"/>
  <c r="Y1135" l="1"/>
  <c r="I1135" s="1"/>
  <c r="U1137"/>
  <c r="W1136"/>
  <c r="X1136"/>
  <c r="J624"/>
  <c r="K623"/>
  <c r="L623" s="1"/>
  <c r="Y1136" l="1"/>
  <c r="I1136" s="1"/>
  <c r="U1138"/>
  <c r="X1137"/>
  <c r="W1137"/>
  <c r="J625"/>
  <c r="K624"/>
  <c r="L624" s="1"/>
  <c r="Y1137" l="1"/>
  <c r="I1137" s="1"/>
  <c r="U1139"/>
  <c r="W1138"/>
  <c r="X1138"/>
  <c r="J626"/>
  <c r="K625"/>
  <c r="L625" s="1"/>
  <c r="Y1138" l="1"/>
  <c r="I1138" s="1"/>
  <c r="U1140"/>
  <c r="X1139"/>
  <c r="W1139"/>
  <c r="J627"/>
  <c r="K626"/>
  <c r="L626" s="1"/>
  <c r="Y1139" l="1"/>
  <c r="I1139" s="1"/>
  <c r="U1141"/>
  <c r="W1140"/>
  <c r="X1140"/>
  <c r="J628"/>
  <c r="K627"/>
  <c r="L627" s="1"/>
  <c r="Y1140" l="1"/>
  <c r="I1140" s="1"/>
  <c r="U1142"/>
  <c r="X1141"/>
  <c r="W1141"/>
  <c r="J629"/>
  <c r="K628"/>
  <c r="L628" s="1"/>
  <c r="Y1141" l="1"/>
  <c r="I1141" s="1"/>
  <c r="U1143"/>
  <c r="W1142"/>
  <c r="X1142"/>
  <c r="J630"/>
  <c r="K629"/>
  <c r="L629" s="1"/>
  <c r="Y1142" l="1"/>
  <c r="I1142" s="1"/>
  <c r="U1144"/>
  <c r="X1143"/>
  <c r="W1143"/>
  <c r="J631"/>
  <c r="K630"/>
  <c r="L630" s="1"/>
  <c r="Y1143" l="1"/>
  <c r="I1143" s="1"/>
  <c r="U1145"/>
  <c r="W1144"/>
  <c r="X1144"/>
  <c r="J632"/>
  <c r="K631"/>
  <c r="L631" s="1"/>
  <c r="Y1144" l="1"/>
  <c r="I1144" s="1"/>
  <c r="U1146"/>
  <c r="X1145"/>
  <c r="W1145"/>
  <c r="J633"/>
  <c r="K632"/>
  <c r="L632" s="1"/>
  <c r="Y1145" l="1"/>
  <c r="I1145" s="1"/>
  <c r="U1147"/>
  <c r="W1146"/>
  <c r="X1146"/>
  <c r="J634"/>
  <c r="K633"/>
  <c r="L633" s="1"/>
  <c r="Y1146" l="1"/>
  <c r="I1146" s="1"/>
  <c r="U1148"/>
  <c r="X1147"/>
  <c r="W1147"/>
  <c r="J635"/>
  <c r="K634"/>
  <c r="L634" s="1"/>
  <c r="Y1147" l="1"/>
  <c r="I1147" s="1"/>
  <c r="U1149"/>
  <c r="W1148"/>
  <c r="X1148"/>
  <c r="J636"/>
  <c r="K636" s="1"/>
  <c r="K635"/>
  <c r="L635" s="1"/>
  <c r="Y1148" l="1"/>
  <c r="I1148" s="1"/>
  <c r="U1150"/>
  <c r="X1149"/>
  <c r="W1149"/>
  <c r="L636"/>
  <c r="J637"/>
  <c r="K637" s="1"/>
  <c r="Y1149" l="1"/>
  <c r="I1149" s="1"/>
  <c r="U1151"/>
  <c r="W1150"/>
  <c r="X1150"/>
  <c r="L637"/>
  <c r="J638"/>
  <c r="K638" s="1"/>
  <c r="Y1150" l="1"/>
  <c r="I1150" s="1"/>
  <c r="U1152"/>
  <c r="X1151"/>
  <c r="W1151"/>
  <c r="L638"/>
  <c r="J639"/>
  <c r="K639" s="1"/>
  <c r="Y1151" l="1"/>
  <c r="I1151" s="1"/>
  <c r="U1153"/>
  <c r="W1152"/>
  <c r="X1152"/>
  <c r="L639"/>
  <c r="J640"/>
  <c r="K640" s="1"/>
  <c r="Y1152" l="1"/>
  <c r="I1152" s="1"/>
  <c r="U1154"/>
  <c r="X1153"/>
  <c r="W1153"/>
  <c r="L640"/>
  <c r="J641"/>
  <c r="K641" s="1"/>
  <c r="Y1153" l="1"/>
  <c r="I1153" s="1"/>
  <c r="U1155"/>
  <c r="W1154"/>
  <c r="X1154"/>
  <c r="L641"/>
  <c r="J642"/>
  <c r="K642" s="1"/>
  <c r="Y1154" l="1"/>
  <c r="I1154" s="1"/>
  <c r="U1156"/>
  <c r="X1155"/>
  <c r="W1155"/>
  <c r="L642"/>
  <c r="J643"/>
  <c r="K643" s="1"/>
  <c r="Y1155" l="1"/>
  <c r="I1155" s="1"/>
  <c r="U1157"/>
  <c r="W1156"/>
  <c r="X1156"/>
  <c r="L643"/>
  <c r="J644"/>
  <c r="K644" s="1"/>
  <c r="Y1156" l="1"/>
  <c r="I1156" s="1"/>
  <c r="U1158"/>
  <c r="X1157"/>
  <c r="W1157"/>
  <c r="L644"/>
  <c r="J645"/>
  <c r="K645" s="1"/>
  <c r="Y1157" l="1"/>
  <c r="I1157" s="1"/>
  <c r="U1159"/>
  <c r="W1158"/>
  <c r="X1158"/>
  <c r="L645"/>
  <c r="J646"/>
  <c r="K646" s="1"/>
  <c r="Y1158" l="1"/>
  <c r="I1158" s="1"/>
  <c r="U1160"/>
  <c r="X1159"/>
  <c r="W1159"/>
  <c r="L646"/>
  <c r="J647"/>
  <c r="K647" s="1"/>
  <c r="Y1159" l="1"/>
  <c r="I1159" s="1"/>
  <c r="U1161"/>
  <c r="W1160"/>
  <c r="X1160"/>
  <c r="L647"/>
  <c r="J648"/>
  <c r="K648" s="1"/>
  <c r="Y1160" l="1"/>
  <c r="I1160" s="1"/>
  <c r="U1162"/>
  <c r="X1161"/>
  <c r="W1161"/>
  <c r="L648"/>
  <c r="J649"/>
  <c r="K649" s="1"/>
  <c r="Y1161" l="1"/>
  <c r="I1161" s="1"/>
  <c r="U1163"/>
  <c r="W1162"/>
  <c r="X1162"/>
  <c r="L649"/>
  <c r="J650"/>
  <c r="K650" s="1"/>
  <c r="Y1162" l="1"/>
  <c r="I1162" s="1"/>
  <c r="U1164"/>
  <c r="X1163"/>
  <c r="W1163"/>
  <c r="L650"/>
  <c r="J651"/>
  <c r="K651" s="1"/>
  <c r="Y1163" l="1"/>
  <c r="I1163" s="1"/>
  <c r="U1165"/>
  <c r="W1164"/>
  <c r="X1164"/>
  <c r="L651"/>
  <c r="J652"/>
  <c r="K652" s="1"/>
  <c r="Y1164" l="1"/>
  <c r="I1164" s="1"/>
  <c r="U1166"/>
  <c r="X1165"/>
  <c r="W1165"/>
  <c r="L652"/>
  <c r="J653"/>
  <c r="K653" s="1"/>
  <c r="Y1165" l="1"/>
  <c r="I1165" s="1"/>
  <c r="U1167"/>
  <c r="W1166"/>
  <c r="X1166"/>
  <c r="L653"/>
  <c r="J654"/>
  <c r="K654" s="1"/>
  <c r="Y1166" l="1"/>
  <c r="I1166" s="1"/>
  <c r="U1168"/>
  <c r="X1167"/>
  <c r="W1167"/>
  <c r="L654"/>
  <c r="J655"/>
  <c r="K655" s="1"/>
  <c r="Y1167" l="1"/>
  <c r="I1167" s="1"/>
  <c r="U1169"/>
  <c r="W1168"/>
  <c r="X1168"/>
  <c r="L655"/>
  <c r="J656"/>
  <c r="K656" s="1"/>
  <c r="Y1168" l="1"/>
  <c r="I1168" s="1"/>
  <c r="U1170"/>
  <c r="X1169"/>
  <c r="W1169"/>
  <c r="L656"/>
  <c r="J657"/>
  <c r="K657" s="1"/>
  <c r="Y1169" l="1"/>
  <c r="I1169" s="1"/>
  <c r="U1171"/>
  <c r="W1170"/>
  <c r="X1170"/>
  <c r="L657"/>
  <c r="J658"/>
  <c r="K658" s="1"/>
  <c r="Y1170" l="1"/>
  <c r="I1170" s="1"/>
  <c r="U1172"/>
  <c r="X1171"/>
  <c r="W1171"/>
  <c r="L658"/>
  <c r="J659"/>
  <c r="K659" s="1"/>
  <c r="Y1171" l="1"/>
  <c r="I1171" s="1"/>
  <c r="U1173"/>
  <c r="W1172"/>
  <c r="X1172"/>
  <c r="L659"/>
  <c r="J660"/>
  <c r="K660" s="1"/>
  <c r="Y1172" l="1"/>
  <c r="I1172" s="1"/>
  <c r="U1174"/>
  <c r="X1173"/>
  <c r="W1173"/>
  <c r="L660"/>
  <c r="J661"/>
  <c r="K661" s="1"/>
  <c r="Y1173" l="1"/>
  <c r="I1173" s="1"/>
  <c r="U1175"/>
  <c r="W1174"/>
  <c r="X1174"/>
  <c r="L661"/>
  <c r="J662"/>
  <c r="K662" s="1"/>
  <c r="Y1174" l="1"/>
  <c r="I1174" s="1"/>
  <c r="U1176"/>
  <c r="X1175"/>
  <c r="W1175"/>
  <c r="L662"/>
  <c r="J663"/>
  <c r="K663" s="1"/>
  <c r="Y1175" l="1"/>
  <c r="I1175" s="1"/>
  <c r="U1177"/>
  <c r="W1176"/>
  <c r="X1176"/>
  <c r="L663"/>
  <c r="J664"/>
  <c r="K664" s="1"/>
  <c r="Y1176" l="1"/>
  <c r="I1176" s="1"/>
  <c r="U1178"/>
  <c r="X1177"/>
  <c r="W1177"/>
  <c r="L664"/>
  <c r="J665"/>
  <c r="K665" s="1"/>
  <c r="Y1177" l="1"/>
  <c r="I1177" s="1"/>
  <c r="U1179"/>
  <c r="W1178"/>
  <c r="X1178"/>
  <c r="L665"/>
  <c r="J666"/>
  <c r="K666" s="1"/>
  <c r="Y1178" l="1"/>
  <c r="I1178" s="1"/>
  <c r="U1180"/>
  <c r="X1179"/>
  <c r="W1179"/>
  <c r="L666"/>
  <c r="J667"/>
  <c r="K667" s="1"/>
  <c r="Y1179" l="1"/>
  <c r="I1179" s="1"/>
  <c r="U1181"/>
  <c r="W1180"/>
  <c r="X1180"/>
  <c r="L667"/>
  <c r="J668"/>
  <c r="K668" s="1"/>
  <c r="Y1180" l="1"/>
  <c r="I1180" s="1"/>
  <c r="U1182"/>
  <c r="X1181"/>
  <c r="W1181"/>
  <c r="L668"/>
  <c r="J669"/>
  <c r="K669" s="1"/>
  <c r="Y1181" l="1"/>
  <c r="I1181" s="1"/>
  <c r="U1183"/>
  <c r="W1182"/>
  <c r="X1182"/>
  <c r="L669"/>
  <c r="J670"/>
  <c r="K670" s="1"/>
  <c r="Y1182" l="1"/>
  <c r="I1182" s="1"/>
  <c r="U1184"/>
  <c r="X1183"/>
  <c r="W1183"/>
  <c r="L670"/>
  <c r="J671"/>
  <c r="K671" s="1"/>
  <c r="Y1183" l="1"/>
  <c r="I1183" s="1"/>
  <c r="U1185"/>
  <c r="W1184"/>
  <c r="X1184"/>
  <c r="L671"/>
  <c r="J672"/>
  <c r="K672" s="1"/>
  <c r="Y1184" l="1"/>
  <c r="I1184" s="1"/>
  <c r="U1186"/>
  <c r="X1185"/>
  <c r="W1185"/>
  <c r="L672"/>
  <c r="J673"/>
  <c r="K673" s="1"/>
  <c r="Y1185" l="1"/>
  <c r="I1185" s="1"/>
  <c r="U1187"/>
  <c r="W1186"/>
  <c r="X1186"/>
  <c r="L673"/>
  <c r="J674"/>
  <c r="K674" s="1"/>
  <c r="Y1186" l="1"/>
  <c r="I1186" s="1"/>
  <c r="U1188"/>
  <c r="X1187"/>
  <c r="W1187"/>
  <c r="L674"/>
  <c r="J675"/>
  <c r="K675" s="1"/>
  <c r="Y1187" l="1"/>
  <c r="I1187" s="1"/>
  <c r="U1189"/>
  <c r="W1188"/>
  <c r="X1188"/>
  <c r="L675"/>
  <c r="J676"/>
  <c r="K676" s="1"/>
  <c r="Y1188" l="1"/>
  <c r="I1188" s="1"/>
  <c r="U1190"/>
  <c r="X1189"/>
  <c r="W1189"/>
  <c r="L676"/>
  <c r="J677"/>
  <c r="K677" s="1"/>
  <c r="Y1189" l="1"/>
  <c r="I1189" s="1"/>
  <c r="U1191"/>
  <c r="W1190"/>
  <c r="X1190"/>
  <c r="L677"/>
  <c r="J678"/>
  <c r="K678" s="1"/>
  <c r="Y1190" l="1"/>
  <c r="I1190" s="1"/>
  <c r="U1192"/>
  <c r="X1191"/>
  <c r="W1191"/>
  <c r="L678"/>
  <c r="J679"/>
  <c r="K679" s="1"/>
  <c r="Y1191" l="1"/>
  <c r="I1191" s="1"/>
  <c r="U1193"/>
  <c r="W1192"/>
  <c r="X1192"/>
  <c r="L679"/>
  <c r="J680"/>
  <c r="K680" s="1"/>
  <c r="Y1192" l="1"/>
  <c r="I1192" s="1"/>
  <c r="U1194"/>
  <c r="X1193"/>
  <c r="W1193"/>
  <c r="L680"/>
  <c r="J681"/>
  <c r="K681" s="1"/>
  <c r="Y1193" l="1"/>
  <c r="I1193" s="1"/>
  <c r="U1195"/>
  <c r="W1194"/>
  <c r="X1194"/>
  <c r="L681"/>
  <c r="J682"/>
  <c r="K682" s="1"/>
  <c r="Y1194" l="1"/>
  <c r="I1194" s="1"/>
  <c r="U1196"/>
  <c r="X1195"/>
  <c r="W1195"/>
  <c r="L682"/>
  <c r="J683"/>
  <c r="K683" s="1"/>
  <c r="Y1195" l="1"/>
  <c r="I1195" s="1"/>
  <c r="U1197"/>
  <c r="W1196"/>
  <c r="X1196"/>
  <c r="L683"/>
  <c r="J684"/>
  <c r="K684" s="1"/>
  <c r="Y1196" l="1"/>
  <c r="I1196" s="1"/>
  <c r="U1198"/>
  <c r="X1197"/>
  <c r="W1197"/>
  <c r="L684"/>
  <c r="J685"/>
  <c r="K685" s="1"/>
  <c r="Y1197" l="1"/>
  <c r="I1197" s="1"/>
  <c r="U1199"/>
  <c r="W1198"/>
  <c r="X1198"/>
  <c r="L685"/>
  <c r="J686"/>
  <c r="K686" s="1"/>
  <c r="Y1198" l="1"/>
  <c r="I1198" s="1"/>
  <c r="U1200"/>
  <c r="X1199"/>
  <c r="W1199"/>
  <c r="L686"/>
  <c r="J687"/>
  <c r="K687" s="1"/>
  <c r="Y1199" l="1"/>
  <c r="I1199" s="1"/>
  <c r="U1201"/>
  <c r="W1200"/>
  <c r="X1200"/>
  <c r="L687"/>
  <c r="J688"/>
  <c r="K688" s="1"/>
  <c r="Y1200" l="1"/>
  <c r="I1200" s="1"/>
  <c r="U1202"/>
  <c r="X1201"/>
  <c r="W1201"/>
  <c r="L688"/>
  <c r="J689"/>
  <c r="K689" s="1"/>
  <c r="Y1201" l="1"/>
  <c r="I1201" s="1"/>
  <c r="U1203"/>
  <c r="W1202"/>
  <c r="X1202"/>
  <c r="L689"/>
  <c r="J690"/>
  <c r="K690" s="1"/>
  <c r="Y1202" l="1"/>
  <c r="I1202" s="1"/>
  <c r="U1204"/>
  <c r="X1203"/>
  <c r="W1203"/>
  <c r="L690"/>
  <c r="J691"/>
  <c r="K691" s="1"/>
  <c r="Y1203" l="1"/>
  <c r="I1203" s="1"/>
  <c r="U1205"/>
  <c r="W1204"/>
  <c r="X1204"/>
  <c r="L691"/>
  <c r="J692"/>
  <c r="K692" s="1"/>
  <c r="Y1204" l="1"/>
  <c r="I1204" s="1"/>
  <c r="U1206"/>
  <c r="X1205"/>
  <c r="W1205"/>
  <c r="L692"/>
  <c r="J693"/>
  <c r="K693" s="1"/>
  <c r="Y1205" l="1"/>
  <c r="I1205" s="1"/>
  <c r="U1207"/>
  <c r="W1206"/>
  <c r="X1206"/>
  <c r="L693"/>
  <c r="J694"/>
  <c r="K694" s="1"/>
  <c r="Y1206" l="1"/>
  <c r="I1206" s="1"/>
  <c r="U1208"/>
  <c r="X1207"/>
  <c r="W1207"/>
  <c r="L694"/>
  <c r="J695"/>
  <c r="K695" s="1"/>
  <c r="Y1207" l="1"/>
  <c r="I1207" s="1"/>
  <c r="U1209"/>
  <c r="W1208"/>
  <c r="X1208"/>
  <c r="L695"/>
  <c r="J696"/>
  <c r="K696" s="1"/>
  <c r="Y1208" l="1"/>
  <c r="I1208" s="1"/>
  <c r="U1210"/>
  <c r="X1209"/>
  <c r="W1209"/>
  <c r="L696"/>
  <c r="J697"/>
  <c r="K697" s="1"/>
  <c r="Y1209" l="1"/>
  <c r="I1209" s="1"/>
  <c r="U1211"/>
  <c r="W1210"/>
  <c r="X1210"/>
  <c r="L697"/>
  <c r="J698"/>
  <c r="K698" s="1"/>
  <c r="Y1210" l="1"/>
  <c r="I1210" s="1"/>
  <c r="U1212"/>
  <c r="X1211"/>
  <c r="W1211"/>
  <c r="L698"/>
  <c r="J699"/>
  <c r="K699" s="1"/>
  <c r="Y1211" l="1"/>
  <c r="I1211" s="1"/>
  <c r="U1213"/>
  <c r="W1212"/>
  <c r="X1212"/>
  <c r="L699"/>
  <c r="J700"/>
  <c r="K700" s="1"/>
  <c r="Y1212" l="1"/>
  <c r="I1212" s="1"/>
  <c r="U1214"/>
  <c r="X1213"/>
  <c r="W1213"/>
  <c r="L700"/>
  <c r="J701"/>
  <c r="K701" s="1"/>
  <c r="Y1213" l="1"/>
  <c r="I1213" s="1"/>
  <c r="U1215"/>
  <c r="W1214"/>
  <c r="X1214"/>
  <c r="L701"/>
  <c r="J702"/>
  <c r="K702" s="1"/>
  <c r="Y1214" l="1"/>
  <c r="I1214" s="1"/>
  <c r="U1216"/>
  <c r="X1215"/>
  <c r="W1215"/>
  <c r="L702"/>
  <c r="J703"/>
  <c r="K703" s="1"/>
  <c r="Y1215" l="1"/>
  <c r="I1215" s="1"/>
  <c r="U1217"/>
  <c r="W1216"/>
  <c r="X1216"/>
  <c r="L703"/>
  <c r="J704"/>
  <c r="K704" s="1"/>
  <c r="Y1216" l="1"/>
  <c r="I1216" s="1"/>
  <c r="U1218"/>
  <c r="X1217"/>
  <c r="W1217"/>
  <c r="L704"/>
  <c r="J705"/>
  <c r="K705" s="1"/>
  <c r="Y1217" l="1"/>
  <c r="I1217" s="1"/>
  <c r="U1219"/>
  <c r="W1218"/>
  <c r="X1218"/>
  <c r="L705"/>
  <c r="J706"/>
  <c r="K706" s="1"/>
  <c r="Y1218" l="1"/>
  <c r="I1218" s="1"/>
  <c r="U1220"/>
  <c r="X1219"/>
  <c r="W1219"/>
  <c r="L706"/>
  <c r="J707"/>
  <c r="K707" s="1"/>
  <c r="Y1219" l="1"/>
  <c r="I1219" s="1"/>
  <c r="U1221"/>
  <c r="W1220"/>
  <c r="X1220"/>
  <c r="L707"/>
  <c r="J708"/>
  <c r="K708" s="1"/>
  <c r="Y1220" l="1"/>
  <c r="I1220" s="1"/>
  <c r="U1222"/>
  <c r="X1221"/>
  <c r="W1221"/>
  <c r="L708"/>
  <c r="J709"/>
  <c r="K709" s="1"/>
  <c r="Y1221" l="1"/>
  <c r="I1221" s="1"/>
  <c r="U1223"/>
  <c r="W1222"/>
  <c r="X1222"/>
  <c r="L709"/>
  <c r="J710"/>
  <c r="K710" s="1"/>
  <c r="Y1222" l="1"/>
  <c r="I1222" s="1"/>
  <c r="U1224"/>
  <c r="X1223"/>
  <c r="W1223"/>
  <c r="L710"/>
  <c r="J711"/>
  <c r="K711" s="1"/>
  <c r="Y1223" l="1"/>
  <c r="I1223" s="1"/>
  <c r="U1225"/>
  <c r="W1224"/>
  <c r="X1224"/>
  <c r="L711"/>
  <c r="J712"/>
  <c r="K712" s="1"/>
  <c r="Y1224" l="1"/>
  <c r="I1224" s="1"/>
  <c r="U1226"/>
  <c r="X1225"/>
  <c r="W1225"/>
  <c r="L712"/>
  <c r="J713"/>
  <c r="K713" s="1"/>
  <c r="Y1225" l="1"/>
  <c r="I1225" s="1"/>
  <c r="U1227"/>
  <c r="W1226"/>
  <c r="X1226"/>
  <c r="L713"/>
  <c r="J714"/>
  <c r="K714" s="1"/>
  <c r="Y1226" l="1"/>
  <c r="I1226" s="1"/>
  <c r="U1228"/>
  <c r="X1227"/>
  <c r="W1227"/>
  <c r="L714"/>
  <c r="J715"/>
  <c r="K715" s="1"/>
  <c r="Y1227" l="1"/>
  <c r="I1227" s="1"/>
  <c r="U1229"/>
  <c r="W1228"/>
  <c r="X1228"/>
  <c r="L715"/>
  <c r="J716"/>
  <c r="K716" s="1"/>
  <c r="Y1228" l="1"/>
  <c r="I1228" s="1"/>
  <c r="U1230"/>
  <c r="X1229"/>
  <c r="W1229"/>
  <c r="L716"/>
  <c r="J717"/>
  <c r="K717" s="1"/>
  <c r="Y1229" l="1"/>
  <c r="I1229" s="1"/>
  <c r="U1231"/>
  <c r="W1230"/>
  <c r="X1230"/>
  <c r="L717"/>
  <c r="J718"/>
  <c r="K718" s="1"/>
  <c r="Y1230" l="1"/>
  <c r="I1230" s="1"/>
  <c r="U1232"/>
  <c r="X1231"/>
  <c r="W1231"/>
  <c r="L718"/>
  <c r="J719"/>
  <c r="K719" s="1"/>
  <c r="Y1231" l="1"/>
  <c r="I1231" s="1"/>
  <c r="U1233"/>
  <c r="W1232"/>
  <c r="X1232"/>
  <c r="L719"/>
  <c r="J720"/>
  <c r="K720" s="1"/>
  <c r="Y1232" l="1"/>
  <c r="I1232" s="1"/>
  <c r="U1234"/>
  <c r="X1233"/>
  <c r="W1233"/>
  <c r="L720"/>
  <c r="J721"/>
  <c r="K721" s="1"/>
  <c r="Y1233" l="1"/>
  <c r="I1233" s="1"/>
  <c r="U1235"/>
  <c r="W1234"/>
  <c r="X1234"/>
  <c r="L721"/>
  <c r="J722"/>
  <c r="K722" s="1"/>
  <c r="Y1234" l="1"/>
  <c r="I1234" s="1"/>
  <c r="U1236"/>
  <c r="X1235"/>
  <c r="W1235"/>
  <c r="L722"/>
  <c r="J723"/>
  <c r="K723" s="1"/>
  <c r="Y1235" l="1"/>
  <c r="I1235" s="1"/>
  <c r="U1237"/>
  <c r="W1236"/>
  <c r="X1236"/>
  <c r="L723"/>
  <c r="J724"/>
  <c r="K724" s="1"/>
  <c r="Y1236" l="1"/>
  <c r="I1236" s="1"/>
  <c r="U1238"/>
  <c r="X1237"/>
  <c r="W1237"/>
  <c r="L724"/>
  <c r="J725"/>
  <c r="K725" s="1"/>
  <c r="Y1237" l="1"/>
  <c r="I1237" s="1"/>
  <c r="U1239"/>
  <c r="W1238"/>
  <c r="X1238"/>
  <c r="L725"/>
  <c r="J726"/>
  <c r="K726" s="1"/>
  <c r="Y1238" l="1"/>
  <c r="I1238" s="1"/>
  <c r="U1240"/>
  <c r="X1239"/>
  <c r="W1239"/>
  <c r="L726"/>
  <c r="J727"/>
  <c r="K727" s="1"/>
  <c r="Y1239" l="1"/>
  <c r="I1239" s="1"/>
  <c r="U1241"/>
  <c r="W1240"/>
  <c r="X1240"/>
  <c r="L727"/>
  <c r="J728"/>
  <c r="K728" s="1"/>
  <c r="Y1240" l="1"/>
  <c r="I1240" s="1"/>
  <c r="U1242"/>
  <c r="X1241"/>
  <c r="W1241"/>
  <c r="L728"/>
  <c r="J729"/>
  <c r="K729" s="1"/>
  <c r="Y1241" l="1"/>
  <c r="I1241" s="1"/>
  <c r="U1243"/>
  <c r="W1242"/>
  <c r="X1242"/>
  <c r="L729"/>
  <c r="J730"/>
  <c r="K730" s="1"/>
  <c r="Y1242" l="1"/>
  <c r="I1242" s="1"/>
  <c r="U1244"/>
  <c r="X1243"/>
  <c r="W1243"/>
  <c r="L730"/>
  <c r="J731"/>
  <c r="K731" s="1"/>
  <c r="Y1243" l="1"/>
  <c r="I1243" s="1"/>
  <c r="U1245"/>
  <c r="W1244"/>
  <c r="X1244"/>
  <c r="L731"/>
  <c r="J732"/>
  <c r="K732" s="1"/>
  <c r="Y1244" l="1"/>
  <c r="I1244" s="1"/>
  <c r="U1246"/>
  <c r="X1245"/>
  <c r="W1245"/>
  <c r="L732"/>
  <c r="J733"/>
  <c r="K733" s="1"/>
  <c r="Y1245" l="1"/>
  <c r="I1245" s="1"/>
  <c r="U1247"/>
  <c r="W1246"/>
  <c r="X1246"/>
  <c r="L733"/>
  <c r="J734"/>
  <c r="K734" s="1"/>
  <c r="Y1246" l="1"/>
  <c r="I1246" s="1"/>
  <c r="U1248"/>
  <c r="X1247"/>
  <c r="W1247"/>
  <c r="L734"/>
  <c r="J735"/>
  <c r="K735" s="1"/>
  <c r="Y1247" l="1"/>
  <c r="I1247" s="1"/>
  <c r="U1249"/>
  <c r="W1248"/>
  <c r="X1248"/>
  <c r="L735"/>
  <c r="J736"/>
  <c r="K736" s="1"/>
  <c r="Y1248" l="1"/>
  <c r="I1248" s="1"/>
  <c r="U1250"/>
  <c r="X1249"/>
  <c r="W1249"/>
  <c r="L736"/>
  <c r="J737"/>
  <c r="K737" s="1"/>
  <c r="Y1249" l="1"/>
  <c r="I1249" s="1"/>
  <c r="U1251"/>
  <c r="W1250"/>
  <c r="X1250"/>
  <c r="L737"/>
  <c r="J738"/>
  <c r="K738" s="1"/>
  <c r="Y1250" l="1"/>
  <c r="I1250" s="1"/>
  <c r="U1252"/>
  <c r="X1251"/>
  <c r="W1251"/>
  <c r="L738"/>
  <c r="J739"/>
  <c r="K739" s="1"/>
  <c r="Y1251" l="1"/>
  <c r="I1251" s="1"/>
  <c r="U1253"/>
  <c r="W1252"/>
  <c r="X1252"/>
  <c r="L739"/>
  <c r="J740"/>
  <c r="K740" s="1"/>
  <c r="Y1252" l="1"/>
  <c r="I1252" s="1"/>
  <c r="U1254"/>
  <c r="X1253"/>
  <c r="W1253"/>
  <c r="L740"/>
  <c r="J741"/>
  <c r="K741" s="1"/>
  <c r="Y1253" l="1"/>
  <c r="I1253" s="1"/>
  <c r="U1255"/>
  <c r="W1254"/>
  <c r="X1254"/>
  <c r="L741"/>
  <c r="J742"/>
  <c r="K742" s="1"/>
  <c r="Y1254" l="1"/>
  <c r="I1254" s="1"/>
  <c r="U1256"/>
  <c r="X1255"/>
  <c r="W1255"/>
  <c r="L742"/>
  <c r="J743"/>
  <c r="K743" s="1"/>
  <c r="Y1255" l="1"/>
  <c r="I1255" s="1"/>
  <c r="U1257"/>
  <c r="W1256"/>
  <c r="X1256"/>
  <c r="L743"/>
  <c r="J744"/>
  <c r="K744" s="1"/>
  <c r="Y1256" l="1"/>
  <c r="I1256" s="1"/>
  <c r="U1258"/>
  <c r="X1257"/>
  <c r="W1257"/>
  <c r="L744"/>
  <c r="J745"/>
  <c r="K745" s="1"/>
  <c r="Y1257" l="1"/>
  <c r="I1257" s="1"/>
  <c r="U1259"/>
  <c r="W1258"/>
  <c r="X1258"/>
  <c r="L745"/>
  <c r="J746"/>
  <c r="K746" s="1"/>
  <c r="Y1258" l="1"/>
  <c r="I1258" s="1"/>
  <c r="U1260"/>
  <c r="X1259"/>
  <c r="W1259"/>
  <c r="L746"/>
  <c r="J747"/>
  <c r="K747" s="1"/>
  <c r="Y1259" l="1"/>
  <c r="I1259" s="1"/>
  <c r="U1261"/>
  <c r="W1260"/>
  <c r="X1260"/>
  <c r="L747"/>
  <c r="J748"/>
  <c r="K748" s="1"/>
  <c r="Y1260" l="1"/>
  <c r="I1260" s="1"/>
  <c r="U1262"/>
  <c r="X1261"/>
  <c r="W1261"/>
  <c r="L748"/>
  <c r="J749"/>
  <c r="K749" s="1"/>
  <c r="Y1261" l="1"/>
  <c r="I1261" s="1"/>
  <c r="U1263"/>
  <c r="W1262"/>
  <c r="X1262"/>
  <c r="L749"/>
  <c r="J750"/>
  <c r="K750" s="1"/>
  <c r="Y1262" l="1"/>
  <c r="I1262" s="1"/>
  <c r="U1264"/>
  <c r="X1263"/>
  <c r="W1263"/>
  <c r="L750"/>
  <c r="J751"/>
  <c r="K751" s="1"/>
  <c r="Y1263" l="1"/>
  <c r="I1263" s="1"/>
  <c r="U1265"/>
  <c r="W1264"/>
  <c r="X1264"/>
  <c r="L751"/>
  <c r="J752"/>
  <c r="K752" s="1"/>
  <c r="Y1264" l="1"/>
  <c r="I1264" s="1"/>
  <c r="U1266"/>
  <c r="X1265"/>
  <c r="W1265"/>
  <c r="L752"/>
  <c r="J753"/>
  <c r="K753" s="1"/>
  <c r="Y1265" l="1"/>
  <c r="I1265" s="1"/>
  <c r="U1267"/>
  <c r="W1266"/>
  <c r="X1266"/>
  <c r="L753"/>
  <c r="J754"/>
  <c r="K754" s="1"/>
  <c r="Y1266" l="1"/>
  <c r="I1266" s="1"/>
  <c r="U1268"/>
  <c r="W1267"/>
  <c r="X1267"/>
  <c r="L754"/>
  <c r="J755"/>
  <c r="K755" s="1"/>
  <c r="Y1267" l="1"/>
  <c r="I1267" s="1"/>
  <c r="U1269"/>
  <c r="W1268"/>
  <c r="X1268"/>
  <c r="L755"/>
  <c r="J756"/>
  <c r="K756" s="1"/>
  <c r="Y1268" l="1"/>
  <c r="I1268" s="1"/>
  <c r="U1270"/>
  <c r="W1269"/>
  <c r="X1269"/>
  <c r="L756"/>
  <c r="J757"/>
  <c r="K757" s="1"/>
  <c r="Y1269" l="1"/>
  <c r="I1269" s="1"/>
  <c r="U1271"/>
  <c r="W1270"/>
  <c r="X1270"/>
  <c r="L757"/>
  <c r="J758"/>
  <c r="K758" s="1"/>
  <c r="Y1270" l="1"/>
  <c r="I1270" s="1"/>
  <c r="U1272"/>
  <c r="W1271"/>
  <c r="X1271"/>
  <c r="L758"/>
  <c r="J759"/>
  <c r="K759" s="1"/>
  <c r="Y1271" l="1"/>
  <c r="I1271" s="1"/>
  <c r="U1273"/>
  <c r="W1272"/>
  <c r="X1272"/>
  <c r="L759"/>
  <c r="J760"/>
  <c r="K760" s="1"/>
  <c r="Y1272" l="1"/>
  <c r="I1272" s="1"/>
  <c r="U1274"/>
  <c r="W1273"/>
  <c r="X1273"/>
  <c r="L760"/>
  <c r="J761"/>
  <c r="K761" s="1"/>
  <c r="Y1273" l="1"/>
  <c r="I1273" s="1"/>
  <c r="U1275"/>
  <c r="W1274"/>
  <c r="X1274"/>
  <c r="L761"/>
  <c r="J762"/>
  <c r="K762" s="1"/>
  <c r="Y1274" l="1"/>
  <c r="I1274" s="1"/>
  <c r="U1276"/>
  <c r="W1275"/>
  <c r="X1275"/>
  <c r="L762"/>
  <c r="J763"/>
  <c r="K763" s="1"/>
  <c r="Y1275" l="1"/>
  <c r="I1275" s="1"/>
  <c r="U1277"/>
  <c r="W1276"/>
  <c r="X1276"/>
  <c r="L763"/>
  <c r="J764"/>
  <c r="K764" s="1"/>
  <c r="Y1276" l="1"/>
  <c r="I1276" s="1"/>
  <c r="U1278"/>
  <c r="W1277"/>
  <c r="X1277"/>
  <c r="L764"/>
  <c r="J765"/>
  <c r="K765" s="1"/>
  <c r="Y1277" l="1"/>
  <c r="I1277" s="1"/>
  <c r="U1279"/>
  <c r="W1278"/>
  <c r="X1278"/>
  <c r="L765"/>
  <c r="J766"/>
  <c r="K766" s="1"/>
  <c r="Y1278" l="1"/>
  <c r="I1278" s="1"/>
  <c r="U1280"/>
  <c r="W1279"/>
  <c r="X1279"/>
  <c r="L766"/>
  <c r="J767"/>
  <c r="K767" s="1"/>
  <c r="Y1279" l="1"/>
  <c r="I1279" s="1"/>
  <c r="U1281"/>
  <c r="W1280"/>
  <c r="X1280"/>
  <c r="L767"/>
  <c r="J768"/>
  <c r="K768" s="1"/>
  <c r="Y1280" l="1"/>
  <c r="I1280" s="1"/>
  <c r="U1282"/>
  <c r="W1281"/>
  <c r="X1281"/>
  <c r="L768"/>
  <c r="J769"/>
  <c r="K769" s="1"/>
  <c r="Y1281" l="1"/>
  <c r="I1281" s="1"/>
  <c r="U1283"/>
  <c r="W1282"/>
  <c r="X1282"/>
  <c r="L769"/>
  <c r="J770"/>
  <c r="K770" s="1"/>
  <c r="Y1282" l="1"/>
  <c r="I1282" s="1"/>
  <c r="U1284"/>
  <c r="W1283"/>
  <c r="X1283"/>
  <c r="L770"/>
  <c r="J771"/>
  <c r="K771" s="1"/>
  <c r="Y1283" l="1"/>
  <c r="I1283" s="1"/>
  <c r="U1285"/>
  <c r="W1284"/>
  <c r="X1284"/>
  <c r="L771"/>
  <c r="J772"/>
  <c r="K772" s="1"/>
  <c r="Y1284" l="1"/>
  <c r="I1284" s="1"/>
  <c r="U1286"/>
  <c r="W1285"/>
  <c r="X1285"/>
  <c r="L772"/>
  <c r="J773"/>
  <c r="K773" s="1"/>
  <c r="Y1285" l="1"/>
  <c r="I1285" s="1"/>
  <c r="U1287"/>
  <c r="W1286"/>
  <c r="X1286"/>
  <c r="L773"/>
  <c r="J774"/>
  <c r="K774" s="1"/>
  <c r="Y1286" l="1"/>
  <c r="I1286" s="1"/>
  <c r="U1288"/>
  <c r="W1287"/>
  <c r="X1287"/>
  <c r="L774"/>
  <c r="J775"/>
  <c r="K775" s="1"/>
  <c r="Y1287" l="1"/>
  <c r="I1287" s="1"/>
  <c r="U1289"/>
  <c r="W1288"/>
  <c r="X1288"/>
  <c r="L775"/>
  <c r="J776"/>
  <c r="K776" s="1"/>
  <c r="Y1288" l="1"/>
  <c r="I1288" s="1"/>
  <c r="U1290"/>
  <c r="W1289"/>
  <c r="X1289"/>
  <c r="L776"/>
  <c r="J777"/>
  <c r="K777" s="1"/>
  <c r="Y1289" l="1"/>
  <c r="I1289" s="1"/>
  <c r="U1291"/>
  <c r="W1290"/>
  <c r="X1290"/>
  <c r="L777"/>
  <c r="J778"/>
  <c r="K778" s="1"/>
  <c r="Y1290" l="1"/>
  <c r="I1290" s="1"/>
  <c r="U1292"/>
  <c r="W1291"/>
  <c r="X1291"/>
  <c r="L778"/>
  <c r="J779"/>
  <c r="K779" s="1"/>
  <c r="Y1291" l="1"/>
  <c r="I1291" s="1"/>
  <c r="U1293"/>
  <c r="W1292"/>
  <c r="X1292"/>
  <c r="L779"/>
  <c r="J780"/>
  <c r="K780" s="1"/>
  <c r="Y1292" l="1"/>
  <c r="I1292" s="1"/>
  <c r="U1294"/>
  <c r="W1293"/>
  <c r="X1293"/>
  <c r="L780"/>
  <c r="J781"/>
  <c r="K781" s="1"/>
  <c r="Y1293" l="1"/>
  <c r="I1293" s="1"/>
  <c r="U1295"/>
  <c r="W1294"/>
  <c r="X1294"/>
  <c r="L781"/>
  <c r="J782"/>
  <c r="K782" s="1"/>
  <c r="Y1294" l="1"/>
  <c r="I1294" s="1"/>
  <c r="U1296"/>
  <c r="W1295"/>
  <c r="X1295"/>
  <c r="L782"/>
  <c r="J783"/>
  <c r="K783" s="1"/>
  <c r="Y1295" l="1"/>
  <c r="I1295" s="1"/>
  <c r="U1297"/>
  <c r="W1296"/>
  <c r="X1296"/>
  <c r="L783"/>
  <c r="J784"/>
  <c r="K784" s="1"/>
  <c r="Y1296" l="1"/>
  <c r="I1296" s="1"/>
  <c r="U1298"/>
  <c r="W1297"/>
  <c r="X1297"/>
  <c r="L784"/>
  <c r="J785"/>
  <c r="K785" s="1"/>
  <c r="Y1297" l="1"/>
  <c r="I1297" s="1"/>
  <c r="U1299"/>
  <c r="W1298"/>
  <c r="X1298"/>
  <c r="L785"/>
  <c r="J786"/>
  <c r="K786" s="1"/>
  <c r="Y1298" l="1"/>
  <c r="I1298" s="1"/>
  <c r="U1300"/>
  <c r="W1299"/>
  <c r="X1299"/>
  <c r="L786"/>
  <c r="J787"/>
  <c r="K787" s="1"/>
  <c r="Y1299" l="1"/>
  <c r="I1299" s="1"/>
  <c r="U1301"/>
  <c r="W1300"/>
  <c r="X1300"/>
  <c r="L787"/>
  <c r="J788"/>
  <c r="K788" s="1"/>
  <c r="Y1300" l="1"/>
  <c r="I1300" s="1"/>
  <c r="U1302"/>
  <c r="W1301"/>
  <c r="X1301"/>
  <c r="L788"/>
  <c r="J789"/>
  <c r="Y1301" l="1"/>
  <c r="I1301" s="1"/>
  <c r="U1303"/>
  <c r="W1302"/>
  <c r="X1302"/>
  <c r="J790"/>
  <c r="K789"/>
  <c r="L789" s="1"/>
  <c r="Y1302" l="1"/>
  <c r="I1302" s="1"/>
  <c r="U1304"/>
  <c r="W1303"/>
  <c r="X1303"/>
  <c r="J791"/>
  <c r="K790"/>
  <c r="L790" s="1"/>
  <c r="Y1303" l="1"/>
  <c r="I1303" s="1"/>
  <c r="U1305"/>
  <c r="W1304"/>
  <c r="X1304"/>
  <c r="J792"/>
  <c r="K791"/>
  <c r="L791" s="1"/>
  <c r="Y1304" l="1"/>
  <c r="I1304" s="1"/>
  <c r="U1306"/>
  <c r="W1305"/>
  <c r="X1305"/>
  <c r="J793"/>
  <c r="K792"/>
  <c r="L792" s="1"/>
  <c r="Y1305" l="1"/>
  <c r="I1305" s="1"/>
  <c r="U1307"/>
  <c r="W1306"/>
  <c r="X1306"/>
  <c r="J794"/>
  <c r="K793"/>
  <c r="L793" s="1"/>
  <c r="Y1306" l="1"/>
  <c r="I1306" s="1"/>
  <c r="U1308"/>
  <c r="W1307"/>
  <c r="X1307"/>
  <c r="J795"/>
  <c r="K794"/>
  <c r="L794" s="1"/>
  <c r="Y1307" l="1"/>
  <c r="I1307" s="1"/>
  <c r="U1309"/>
  <c r="W1308"/>
  <c r="X1308"/>
  <c r="J796"/>
  <c r="K795"/>
  <c r="L795" s="1"/>
  <c r="Y1308" l="1"/>
  <c r="I1308" s="1"/>
  <c r="U1310"/>
  <c r="W1309"/>
  <c r="X1309"/>
  <c r="J797"/>
  <c r="K796"/>
  <c r="L796" s="1"/>
  <c r="Y1309" l="1"/>
  <c r="I1309" s="1"/>
  <c r="U1311"/>
  <c r="W1310"/>
  <c r="X1310"/>
  <c r="J798"/>
  <c r="K797"/>
  <c r="L797" s="1"/>
  <c r="Y1310" l="1"/>
  <c r="I1310" s="1"/>
  <c r="U1312"/>
  <c r="W1311"/>
  <c r="X1311"/>
  <c r="J799"/>
  <c r="K798"/>
  <c r="L798" s="1"/>
  <c r="Y1311" l="1"/>
  <c r="I1311" s="1"/>
  <c r="U1313"/>
  <c r="W1312"/>
  <c r="X1312"/>
  <c r="J800"/>
  <c r="K799"/>
  <c r="L799" s="1"/>
  <c r="Y1312" l="1"/>
  <c r="I1312" s="1"/>
  <c r="U1314"/>
  <c r="W1313"/>
  <c r="X1313"/>
  <c r="J801"/>
  <c r="K800"/>
  <c r="L800" s="1"/>
  <c r="Y1313" l="1"/>
  <c r="I1313" s="1"/>
  <c r="U1315"/>
  <c r="W1314"/>
  <c r="X1314"/>
  <c r="J802"/>
  <c r="K801"/>
  <c r="L801" s="1"/>
  <c r="Y1314" l="1"/>
  <c r="I1314" s="1"/>
  <c r="U1316"/>
  <c r="W1315"/>
  <c r="X1315"/>
  <c r="J803"/>
  <c r="K802"/>
  <c r="L802" s="1"/>
  <c r="Y1315" l="1"/>
  <c r="I1315" s="1"/>
  <c r="U1317"/>
  <c r="W1316"/>
  <c r="X1316"/>
  <c r="J804"/>
  <c r="K803"/>
  <c r="L803" s="1"/>
  <c r="Y1316" l="1"/>
  <c r="I1316" s="1"/>
  <c r="U1318"/>
  <c r="W1317"/>
  <c r="X1317"/>
  <c r="J805"/>
  <c r="K804"/>
  <c r="L804" s="1"/>
  <c r="Y1317" l="1"/>
  <c r="I1317" s="1"/>
  <c r="U1319"/>
  <c r="W1318"/>
  <c r="X1318"/>
  <c r="J806"/>
  <c r="K805"/>
  <c r="L805" s="1"/>
  <c r="Y1318" l="1"/>
  <c r="I1318" s="1"/>
  <c r="U1320"/>
  <c r="W1319"/>
  <c r="X1319"/>
  <c r="J807"/>
  <c r="K806"/>
  <c r="L806" s="1"/>
  <c r="Y1319" l="1"/>
  <c r="I1319" s="1"/>
  <c r="U1321"/>
  <c r="W1320"/>
  <c r="X1320"/>
  <c r="J808"/>
  <c r="K807"/>
  <c r="L807" s="1"/>
  <c r="Y1320" l="1"/>
  <c r="I1320" s="1"/>
  <c r="U1322"/>
  <c r="W1321"/>
  <c r="X1321"/>
  <c r="J809"/>
  <c r="K808"/>
  <c r="L808" s="1"/>
  <c r="Y1321" l="1"/>
  <c r="I1321" s="1"/>
  <c r="U1323"/>
  <c r="W1322"/>
  <c r="X1322"/>
  <c r="J810"/>
  <c r="K809"/>
  <c r="L809" s="1"/>
  <c r="Y1322" l="1"/>
  <c r="I1322" s="1"/>
  <c r="U1324"/>
  <c r="W1323"/>
  <c r="X1323"/>
  <c r="J811"/>
  <c r="K810"/>
  <c r="L810" s="1"/>
  <c r="Y1323" l="1"/>
  <c r="I1323" s="1"/>
  <c r="U1325"/>
  <c r="W1324"/>
  <c r="X1324"/>
  <c r="J812"/>
  <c r="K811"/>
  <c r="L811" s="1"/>
  <c r="Y1324" l="1"/>
  <c r="I1324" s="1"/>
  <c r="U1326"/>
  <c r="W1325"/>
  <c r="X1325"/>
  <c r="J813"/>
  <c r="K812"/>
  <c r="L812" s="1"/>
  <c r="Y1325" l="1"/>
  <c r="I1325" s="1"/>
  <c r="U1327"/>
  <c r="W1326"/>
  <c r="X1326"/>
  <c r="J814"/>
  <c r="K813"/>
  <c r="L813" s="1"/>
  <c r="Y1326" l="1"/>
  <c r="I1326" s="1"/>
  <c r="U1328"/>
  <c r="W1327"/>
  <c r="X1327"/>
  <c r="J815"/>
  <c r="K814"/>
  <c r="L814" s="1"/>
  <c r="Y1327" l="1"/>
  <c r="I1327" s="1"/>
  <c r="U1329"/>
  <c r="W1328"/>
  <c r="X1328"/>
  <c r="J816"/>
  <c r="K815"/>
  <c r="L815" s="1"/>
  <c r="Y1328" l="1"/>
  <c r="I1328" s="1"/>
  <c r="U1330"/>
  <c r="W1329"/>
  <c r="X1329"/>
  <c r="Y1329" s="1"/>
  <c r="J817"/>
  <c r="K816"/>
  <c r="L816" s="1"/>
  <c r="I1329" l="1"/>
  <c r="U1331"/>
  <c r="W1330"/>
  <c r="X1330"/>
  <c r="J818"/>
  <c r="K817"/>
  <c r="L817" s="1"/>
  <c r="Y1330" l="1"/>
  <c r="I1330" s="1"/>
  <c r="U1332"/>
  <c r="W1331"/>
  <c r="X1331"/>
  <c r="J819"/>
  <c r="K818"/>
  <c r="L818" s="1"/>
  <c r="Y1331" l="1"/>
  <c r="I1331" s="1"/>
  <c r="U1333"/>
  <c r="W1332"/>
  <c r="X1332"/>
  <c r="J820"/>
  <c r="K819"/>
  <c r="L819" s="1"/>
  <c r="Y1332" l="1"/>
  <c r="I1332" s="1"/>
  <c r="U1334"/>
  <c r="W1333"/>
  <c r="X1333"/>
  <c r="J821"/>
  <c r="K820"/>
  <c r="L820" s="1"/>
  <c r="Y1333" l="1"/>
  <c r="I1333" s="1"/>
  <c r="U1335"/>
  <c r="W1334"/>
  <c r="X1334"/>
  <c r="J822"/>
  <c r="K821"/>
  <c r="L821" s="1"/>
  <c r="Y1334" l="1"/>
  <c r="I1334" s="1"/>
  <c r="U1336"/>
  <c r="W1335"/>
  <c r="X1335"/>
  <c r="J823"/>
  <c r="K822"/>
  <c r="L822" s="1"/>
  <c r="Y1335" l="1"/>
  <c r="I1335" s="1"/>
  <c r="U1337"/>
  <c r="W1336"/>
  <c r="X1336"/>
  <c r="J824"/>
  <c r="K823"/>
  <c r="L823" s="1"/>
  <c r="Y1336" l="1"/>
  <c r="I1336" s="1"/>
  <c r="U1338"/>
  <c r="W1337"/>
  <c r="X1337"/>
  <c r="J825"/>
  <c r="K824"/>
  <c r="L824" s="1"/>
  <c r="Y1337" l="1"/>
  <c r="I1337" s="1"/>
  <c r="U1339"/>
  <c r="W1338"/>
  <c r="X1338"/>
  <c r="J826"/>
  <c r="K825"/>
  <c r="L825" s="1"/>
  <c r="Y1338" l="1"/>
  <c r="I1338" s="1"/>
  <c r="U1340"/>
  <c r="W1339"/>
  <c r="X1339"/>
  <c r="J827"/>
  <c r="K826"/>
  <c r="L826" s="1"/>
  <c r="Y1339" l="1"/>
  <c r="I1339" s="1"/>
  <c r="U1341"/>
  <c r="W1340"/>
  <c r="X1340"/>
  <c r="J828"/>
  <c r="K827"/>
  <c r="L827" s="1"/>
  <c r="Y1340" l="1"/>
  <c r="I1340" s="1"/>
  <c r="U1342"/>
  <c r="W1341"/>
  <c r="X1341"/>
  <c r="J829"/>
  <c r="K828"/>
  <c r="L828" s="1"/>
  <c r="Y1341" l="1"/>
  <c r="I1341" s="1"/>
  <c r="U1343"/>
  <c r="W1342"/>
  <c r="X1342"/>
  <c r="J830"/>
  <c r="K829"/>
  <c r="L829" s="1"/>
  <c r="Y1342" l="1"/>
  <c r="I1342" s="1"/>
  <c r="U1344"/>
  <c r="W1343"/>
  <c r="X1343"/>
  <c r="J831"/>
  <c r="K830"/>
  <c r="L830" s="1"/>
  <c r="Y1343" l="1"/>
  <c r="I1343" s="1"/>
  <c r="U1345"/>
  <c r="W1344"/>
  <c r="X1344"/>
  <c r="J832"/>
  <c r="K831"/>
  <c r="L831" s="1"/>
  <c r="Y1344" l="1"/>
  <c r="I1344" s="1"/>
  <c r="U1346"/>
  <c r="W1345"/>
  <c r="X1345"/>
  <c r="J833"/>
  <c r="K832"/>
  <c r="L832" s="1"/>
  <c r="Y1345" l="1"/>
  <c r="I1345" s="1"/>
  <c r="U1347"/>
  <c r="W1346"/>
  <c r="X1346"/>
  <c r="J834"/>
  <c r="K833"/>
  <c r="L833" s="1"/>
  <c r="Y1346" l="1"/>
  <c r="I1346" s="1"/>
  <c r="U1348"/>
  <c r="W1347"/>
  <c r="X1347"/>
  <c r="J835"/>
  <c r="K834"/>
  <c r="L834" s="1"/>
  <c r="Y1347" l="1"/>
  <c r="I1347" s="1"/>
  <c r="U1349"/>
  <c r="W1348"/>
  <c r="X1348"/>
  <c r="J836"/>
  <c r="K835"/>
  <c r="L835" s="1"/>
  <c r="Y1348" l="1"/>
  <c r="I1348" s="1"/>
  <c r="U1350"/>
  <c r="W1349"/>
  <c r="X1349"/>
  <c r="J837"/>
  <c r="K836"/>
  <c r="L836" s="1"/>
  <c r="Y1349" l="1"/>
  <c r="I1349" s="1"/>
  <c r="U1351"/>
  <c r="W1350"/>
  <c r="X1350"/>
  <c r="J838"/>
  <c r="K837"/>
  <c r="L837" s="1"/>
  <c r="Y1350" l="1"/>
  <c r="I1350" s="1"/>
  <c r="U1352"/>
  <c r="W1351"/>
  <c r="X1351"/>
  <c r="J839"/>
  <c r="K838"/>
  <c r="L838" s="1"/>
  <c r="Y1351" l="1"/>
  <c r="I1351" s="1"/>
  <c r="U1353"/>
  <c r="W1352"/>
  <c r="X1352"/>
  <c r="J840"/>
  <c r="K839"/>
  <c r="L839" s="1"/>
  <c r="Y1352" l="1"/>
  <c r="I1352" s="1"/>
  <c r="U1354"/>
  <c r="W1353"/>
  <c r="X1353"/>
  <c r="J841"/>
  <c r="K840"/>
  <c r="L840" s="1"/>
  <c r="Y1353" l="1"/>
  <c r="I1353" s="1"/>
  <c r="U1355"/>
  <c r="W1354"/>
  <c r="X1354"/>
  <c r="J842"/>
  <c r="K841"/>
  <c r="L841" s="1"/>
  <c r="Y1354" l="1"/>
  <c r="I1354" s="1"/>
  <c r="U1356"/>
  <c r="W1355"/>
  <c r="X1355"/>
  <c r="J843"/>
  <c r="K842"/>
  <c r="L842" s="1"/>
  <c r="Y1355" l="1"/>
  <c r="I1355" s="1"/>
  <c r="U1357"/>
  <c r="W1356"/>
  <c r="X1356"/>
  <c r="J844"/>
  <c r="K843"/>
  <c r="L843" s="1"/>
  <c r="Y1356" l="1"/>
  <c r="I1356" s="1"/>
  <c r="U1358"/>
  <c r="W1357"/>
  <c r="X1357"/>
  <c r="J845"/>
  <c r="K844"/>
  <c r="L844" s="1"/>
  <c r="Y1357" l="1"/>
  <c r="I1357" s="1"/>
  <c r="U1359"/>
  <c r="W1358"/>
  <c r="X1358"/>
  <c r="J846"/>
  <c r="K845"/>
  <c r="L845" s="1"/>
  <c r="Y1358" l="1"/>
  <c r="I1358" s="1"/>
  <c r="U1360"/>
  <c r="W1359"/>
  <c r="X1359"/>
  <c r="J847"/>
  <c r="K846"/>
  <c r="L846" s="1"/>
  <c r="Y1359" l="1"/>
  <c r="I1359" s="1"/>
  <c r="U1361"/>
  <c r="W1360"/>
  <c r="X1360"/>
  <c r="J848"/>
  <c r="K847"/>
  <c r="L847" s="1"/>
  <c r="Y1360" l="1"/>
  <c r="I1360" s="1"/>
  <c r="U1362"/>
  <c r="W1361"/>
  <c r="X1361"/>
  <c r="J849"/>
  <c r="K848"/>
  <c r="L848" s="1"/>
  <c r="Y1361" l="1"/>
  <c r="I1361" s="1"/>
  <c r="U1363"/>
  <c r="W1362"/>
  <c r="X1362"/>
  <c r="J850"/>
  <c r="K849"/>
  <c r="L849" s="1"/>
  <c r="Y1362" l="1"/>
  <c r="I1362" s="1"/>
  <c r="U1364"/>
  <c r="W1363"/>
  <c r="X1363"/>
  <c r="J851"/>
  <c r="K850"/>
  <c r="L850" s="1"/>
  <c r="Y1363" l="1"/>
  <c r="I1363" s="1"/>
  <c r="U1365"/>
  <c r="W1364"/>
  <c r="X1364"/>
  <c r="J852"/>
  <c r="K851"/>
  <c r="L851" s="1"/>
  <c r="Y1364" l="1"/>
  <c r="I1364" s="1"/>
  <c r="U1366"/>
  <c r="W1365"/>
  <c r="X1365"/>
  <c r="J853"/>
  <c r="K852"/>
  <c r="L852" s="1"/>
  <c r="Y1365" l="1"/>
  <c r="I1365" s="1"/>
  <c r="U1367"/>
  <c r="W1366"/>
  <c r="X1366"/>
  <c r="J854"/>
  <c r="K853"/>
  <c r="L853" s="1"/>
  <c r="Y1366" l="1"/>
  <c r="I1366" s="1"/>
  <c r="U1368"/>
  <c r="W1367"/>
  <c r="X1367"/>
  <c r="J855"/>
  <c r="K854"/>
  <c r="L854" s="1"/>
  <c r="Y1367" l="1"/>
  <c r="I1367" s="1"/>
  <c r="U1369"/>
  <c r="W1368"/>
  <c r="X1368"/>
  <c r="J856"/>
  <c r="K855"/>
  <c r="L855" s="1"/>
  <c r="Y1368" l="1"/>
  <c r="I1368" s="1"/>
  <c r="U1370"/>
  <c r="W1369"/>
  <c r="X1369"/>
  <c r="J857"/>
  <c r="K856"/>
  <c r="L856" s="1"/>
  <c r="Y1369" l="1"/>
  <c r="I1369" s="1"/>
  <c r="U1371"/>
  <c r="W1370"/>
  <c r="X1370"/>
  <c r="J858"/>
  <c r="K857"/>
  <c r="L857" s="1"/>
  <c r="Y1370" l="1"/>
  <c r="I1370" s="1"/>
  <c r="U1372"/>
  <c r="W1371"/>
  <c r="X1371"/>
  <c r="J859"/>
  <c r="K858"/>
  <c r="L858" s="1"/>
  <c r="Y1371" l="1"/>
  <c r="I1371" s="1"/>
  <c r="U1373"/>
  <c r="W1372"/>
  <c r="X1372"/>
  <c r="J860"/>
  <c r="K859"/>
  <c r="L859" s="1"/>
  <c r="Y1372" l="1"/>
  <c r="I1372" s="1"/>
  <c r="U1374"/>
  <c r="W1373"/>
  <c r="X1373"/>
  <c r="J861"/>
  <c r="K860"/>
  <c r="L860" s="1"/>
  <c r="Y1373" l="1"/>
  <c r="I1373" s="1"/>
  <c r="U1375"/>
  <c r="W1374"/>
  <c r="X1374"/>
  <c r="J862"/>
  <c r="K861"/>
  <c r="L861" s="1"/>
  <c r="Y1374" l="1"/>
  <c r="I1374" s="1"/>
  <c r="U1376"/>
  <c r="W1375"/>
  <c r="X1375"/>
  <c r="J863"/>
  <c r="K862"/>
  <c r="L862" s="1"/>
  <c r="Y1375" l="1"/>
  <c r="I1375" s="1"/>
  <c r="U1377"/>
  <c r="W1376"/>
  <c r="X1376"/>
  <c r="J864"/>
  <c r="K863"/>
  <c r="L863" s="1"/>
  <c r="Y1376" l="1"/>
  <c r="I1376" s="1"/>
  <c r="U1378"/>
  <c r="W1377"/>
  <c r="X1377"/>
  <c r="J865"/>
  <c r="K864"/>
  <c r="L864" s="1"/>
  <c r="Y1377" l="1"/>
  <c r="I1377" s="1"/>
  <c r="U1379"/>
  <c r="W1378"/>
  <c r="X1378"/>
  <c r="J866"/>
  <c r="K865"/>
  <c r="L865" s="1"/>
  <c r="Y1378" l="1"/>
  <c r="I1378" s="1"/>
  <c r="U1380"/>
  <c r="W1379"/>
  <c r="X1379"/>
  <c r="J867"/>
  <c r="K866"/>
  <c r="L866" s="1"/>
  <c r="Y1379" l="1"/>
  <c r="I1379" s="1"/>
  <c r="U1381"/>
  <c r="W1380"/>
  <c r="X1380"/>
  <c r="J868"/>
  <c r="K867"/>
  <c r="L867" s="1"/>
  <c r="Y1380" l="1"/>
  <c r="I1380" s="1"/>
  <c r="U1382"/>
  <c r="W1381"/>
  <c r="X1381"/>
  <c r="J869"/>
  <c r="K868"/>
  <c r="L868" s="1"/>
  <c r="Y1381" l="1"/>
  <c r="I1381" s="1"/>
  <c r="U1383"/>
  <c r="W1382"/>
  <c r="X1382"/>
  <c r="J870"/>
  <c r="K869"/>
  <c r="L869" s="1"/>
  <c r="Y1382" l="1"/>
  <c r="I1382" s="1"/>
  <c r="U1384"/>
  <c r="W1383"/>
  <c r="X1383"/>
  <c r="J871"/>
  <c r="K870"/>
  <c r="L870" s="1"/>
  <c r="Y1383" l="1"/>
  <c r="I1383" s="1"/>
  <c r="U1385"/>
  <c r="W1384"/>
  <c r="X1384"/>
  <c r="J872"/>
  <c r="K871"/>
  <c r="L871" s="1"/>
  <c r="Y1384" l="1"/>
  <c r="I1384" s="1"/>
  <c r="U1386"/>
  <c r="W1385"/>
  <c r="X1385"/>
  <c r="J873"/>
  <c r="K872"/>
  <c r="L872" s="1"/>
  <c r="Y1385" l="1"/>
  <c r="I1385" s="1"/>
  <c r="U1387"/>
  <c r="W1386"/>
  <c r="X1386"/>
  <c r="J874"/>
  <c r="K873"/>
  <c r="L873" s="1"/>
  <c r="Y1386" l="1"/>
  <c r="I1386" s="1"/>
  <c r="U1388"/>
  <c r="W1387"/>
  <c r="X1387"/>
  <c r="J875"/>
  <c r="K874"/>
  <c r="L874" s="1"/>
  <c r="Y1387" l="1"/>
  <c r="I1387" s="1"/>
  <c r="U1389"/>
  <c r="W1388"/>
  <c r="X1388"/>
  <c r="J876"/>
  <c r="K875"/>
  <c r="L875" s="1"/>
  <c r="Y1388" l="1"/>
  <c r="I1388" s="1"/>
  <c r="U1390"/>
  <c r="W1389"/>
  <c r="X1389"/>
  <c r="J877"/>
  <c r="K876"/>
  <c r="L876" s="1"/>
  <c r="Y1389" l="1"/>
  <c r="I1389" s="1"/>
  <c r="U1391"/>
  <c r="W1390"/>
  <c r="X1390"/>
  <c r="J878"/>
  <c r="K877"/>
  <c r="L877" s="1"/>
  <c r="Y1390" l="1"/>
  <c r="I1390" s="1"/>
  <c r="U1392"/>
  <c r="W1391"/>
  <c r="X1391"/>
  <c r="J879"/>
  <c r="K878"/>
  <c r="L878" s="1"/>
  <c r="Y1391" l="1"/>
  <c r="I1391" s="1"/>
  <c r="U1393"/>
  <c r="W1392"/>
  <c r="X1392"/>
  <c r="J880"/>
  <c r="K879"/>
  <c r="L879" s="1"/>
  <c r="Y1392" l="1"/>
  <c r="I1392" s="1"/>
  <c r="U1394"/>
  <c r="W1393"/>
  <c r="X1393"/>
  <c r="J881"/>
  <c r="K880"/>
  <c r="L880" s="1"/>
  <c r="Y1393" l="1"/>
  <c r="I1393" s="1"/>
  <c r="U1395"/>
  <c r="W1394"/>
  <c r="X1394"/>
  <c r="J882"/>
  <c r="K882" s="1"/>
  <c r="K881"/>
  <c r="L881" s="1"/>
  <c r="Y1394" l="1"/>
  <c r="I1394" s="1"/>
  <c r="U1396"/>
  <c r="W1395"/>
  <c r="X1395"/>
  <c r="L882"/>
  <c r="J883"/>
  <c r="K883" s="1"/>
  <c r="Y1395" l="1"/>
  <c r="I1395" s="1"/>
  <c r="U1397"/>
  <c r="W1396"/>
  <c r="X1396"/>
  <c r="L883"/>
  <c r="J884"/>
  <c r="K884" s="1"/>
  <c r="Y1396" l="1"/>
  <c r="I1396" s="1"/>
  <c r="U1398"/>
  <c r="W1397"/>
  <c r="X1397"/>
  <c r="L884"/>
  <c r="J885"/>
  <c r="K885" s="1"/>
  <c r="Y1397" l="1"/>
  <c r="I1397" s="1"/>
  <c r="U1399"/>
  <c r="W1398"/>
  <c r="X1398"/>
  <c r="L885"/>
  <c r="J886"/>
  <c r="K886" s="1"/>
  <c r="Y1398" l="1"/>
  <c r="I1398" s="1"/>
  <c r="U1400"/>
  <c r="W1399"/>
  <c r="X1399"/>
  <c r="L886"/>
  <c r="J887"/>
  <c r="K887" s="1"/>
  <c r="Y1399" l="1"/>
  <c r="I1399" s="1"/>
  <c r="U1401"/>
  <c r="W1400"/>
  <c r="X1400"/>
  <c r="L887"/>
  <c r="J888"/>
  <c r="K888" s="1"/>
  <c r="Y1400" l="1"/>
  <c r="I1400" s="1"/>
  <c r="U1402"/>
  <c r="W1401"/>
  <c r="X1401"/>
  <c r="L888"/>
  <c r="J889"/>
  <c r="K889" s="1"/>
  <c r="Y1401" l="1"/>
  <c r="I1401" s="1"/>
  <c r="U1403"/>
  <c r="W1402"/>
  <c r="X1402"/>
  <c r="L889"/>
  <c r="J890"/>
  <c r="K890" s="1"/>
  <c r="Y1402" l="1"/>
  <c r="I1402" s="1"/>
  <c r="U1404"/>
  <c r="W1403"/>
  <c r="X1403"/>
  <c r="L890"/>
  <c r="J891"/>
  <c r="K891" s="1"/>
  <c r="Y1403" l="1"/>
  <c r="I1403" s="1"/>
  <c r="U1405"/>
  <c r="W1404"/>
  <c r="X1404"/>
  <c r="L891"/>
  <c r="J892"/>
  <c r="K892" s="1"/>
  <c r="Y1404" l="1"/>
  <c r="I1404" s="1"/>
  <c r="U1406"/>
  <c r="W1405"/>
  <c r="X1405"/>
  <c r="L892"/>
  <c r="J893"/>
  <c r="K893" s="1"/>
  <c r="Y1405" l="1"/>
  <c r="I1405" s="1"/>
  <c r="U1407"/>
  <c r="W1406"/>
  <c r="X1406"/>
  <c r="L893"/>
  <c r="J894"/>
  <c r="K894" s="1"/>
  <c r="Y1406" l="1"/>
  <c r="I1406" s="1"/>
  <c r="U1408"/>
  <c r="W1407"/>
  <c r="X1407"/>
  <c r="L894"/>
  <c r="J895"/>
  <c r="K895" s="1"/>
  <c r="Y1407" l="1"/>
  <c r="I1407" s="1"/>
  <c r="U1409"/>
  <c r="W1408"/>
  <c r="X1408"/>
  <c r="L895"/>
  <c r="J896"/>
  <c r="K896" s="1"/>
  <c r="Y1408" l="1"/>
  <c r="I1408" s="1"/>
  <c r="U1410"/>
  <c r="W1409"/>
  <c r="X1409"/>
  <c r="L896"/>
  <c r="J897"/>
  <c r="K897" s="1"/>
  <c r="Y1409" l="1"/>
  <c r="I1409" s="1"/>
  <c r="U1411"/>
  <c r="W1410"/>
  <c r="X1410"/>
  <c r="L897"/>
  <c r="J898"/>
  <c r="K898" s="1"/>
  <c r="Y1410" l="1"/>
  <c r="I1410" s="1"/>
  <c r="U1412"/>
  <c r="W1411"/>
  <c r="X1411"/>
  <c r="L898"/>
  <c r="J899"/>
  <c r="K899" s="1"/>
  <c r="Y1411" l="1"/>
  <c r="I1411" s="1"/>
  <c r="U1413"/>
  <c r="W1412"/>
  <c r="X1412"/>
  <c r="L899"/>
  <c r="J900"/>
  <c r="K900" s="1"/>
  <c r="Y1412" l="1"/>
  <c r="I1412" s="1"/>
  <c r="U1414"/>
  <c r="W1413"/>
  <c r="X1413"/>
  <c r="L900"/>
  <c r="J901"/>
  <c r="K901" s="1"/>
  <c r="Y1413" l="1"/>
  <c r="I1413" s="1"/>
  <c r="U1415"/>
  <c r="W1414"/>
  <c r="X1414"/>
  <c r="L901"/>
  <c r="J902"/>
  <c r="K902" s="1"/>
  <c r="Y1414" l="1"/>
  <c r="I1414" s="1"/>
  <c r="U1416"/>
  <c r="W1415"/>
  <c r="X1415"/>
  <c r="L902"/>
  <c r="J903"/>
  <c r="K903" s="1"/>
  <c r="Y1415" l="1"/>
  <c r="I1415" s="1"/>
  <c r="U1417"/>
  <c r="W1416"/>
  <c r="X1416"/>
  <c r="L903"/>
  <c r="J904"/>
  <c r="K904" s="1"/>
  <c r="Y1416" l="1"/>
  <c r="I1416" s="1"/>
  <c r="U1418"/>
  <c r="W1417"/>
  <c r="X1417"/>
  <c r="L904"/>
  <c r="J905"/>
  <c r="K905" s="1"/>
  <c r="Y1417" l="1"/>
  <c r="I1417" s="1"/>
  <c r="U1419"/>
  <c r="W1418"/>
  <c r="X1418"/>
  <c r="L905"/>
  <c r="J906"/>
  <c r="K906" s="1"/>
  <c r="Y1418" l="1"/>
  <c r="I1418" s="1"/>
  <c r="U1420"/>
  <c r="W1419"/>
  <c r="X1419"/>
  <c r="L906"/>
  <c r="J907"/>
  <c r="K907" s="1"/>
  <c r="Y1419" l="1"/>
  <c r="I1419" s="1"/>
  <c r="U1421"/>
  <c r="W1420"/>
  <c r="X1420"/>
  <c r="L907"/>
  <c r="J908"/>
  <c r="K908" s="1"/>
  <c r="Y1420" l="1"/>
  <c r="I1420" s="1"/>
  <c r="U1422"/>
  <c r="W1421"/>
  <c r="X1421"/>
  <c r="L908"/>
  <c r="J909"/>
  <c r="K909" s="1"/>
  <c r="Y1421" l="1"/>
  <c r="I1421" s="1"/>
  <c r="U1423"/>
  <c r="W1422"/>
  <c r="X1422"/>
  <c r="L909"/>
  <c r="J910"/>
  <c r="K910" s="1"/>
  <c r="Y1422" l="1"/>
  <c r="I1422" s="1"/>
  <c r="U1424"/>
  <c r="W1423"/>
  <c r="X1423"/>
  <c r="L910"/>
  <c r="J911"/>
  <c r="K911" s="1"/>
  <c r="Y1423" l="1"/>
  <c r="I1423" s="1"/>
  <c r="U1425"/>
  <c r="W1424"/>
  <c r="X1424"/>
  <c r="L911"/>
  <c r="J912"/>
  <c r="K912" s="1"/>
  <c r="Y1424" l="1"/>
  <c r="I1424" s="1"/>
  <c r="U1426"/>
  <c r="W1425"/>
  <c r="X1425"/>
  <c r="L912"/>
  <c r="J913"/>
  <c r="K913" s="1"/>
  <c r="Y1425" l="1"/>
  <c r="I1425" s="1"/>
  <c r="U1427"/>
  <c r="W1426"/>
  <c r="X1426"/>
  <c r="L913"/>
  <c r="J914"/>
  <c r="K914" s="1"/>
  <c r="Y1426" l="1"/>
  <c r="I1426" s="1"/>
  <c r="U1428"/>
  <c r="W1427"/>
  <c r="X1427"/>
  <c r="L914"/>
  <c r="J915"/>
  <c r="K915" s="1"/>
  <c r="Y1427" l="1"/>
  <c r="I1427" s="1"/>
  <c r="U1429"/>
  <c r="W1428"/>
  <c r="X1428"/>
  <c r="L915"/>
  <c r="J916"/>
  <c r="K916" s="1"/>
  <c r="Y1428" l="1"/>
  <c r="I1428" s="1"/>
  <c r="U1430"/>
  <c r="W1429"/>
  <c r="X1429"/>
  <c r="L916"/>
  <c r="J917"/>
  <c r="K917" s="1"/>
  <c r="Y1429" l="1"/>
  <c r="I1429" s="1"/>
  <c r="U1431"/>
  <c r="W1430"/>
  <c r="X1430"/>
  <c r="L917"/>
  <c r="J918"/>
  <c r="K918" s="1"/>
  <c r="Y1430" l="1"/>
  <c r="I1430" s="1"/>
  <c r="U1432"/>
  <c r="W1431"/>
  <c r="X1431"/>
  <c r="L918"/>
  <c r="J919"/>
  <c r="K919" s="1"/>
  <c r="Y1431" l="1"/>
  <c r="I1431" s="1"/>
  <c r="U1433"/>
  <c r="W1432"/>
  <c r="X1432"/>
  <c r="L919"/>
  <c r="J920"/>
  <c r="K920" s="1"/>
  <c r="Y1432" l="1"/>
  <c r="I1432" s="1"/>
  <c r="U1434"/>
  <c r="W1433"/>
  <c r="X1433"/>
  <c r="L920"/>
  <c r="J921"/>
  <c r="K921" s="1"/>
  <c r="Y1433" l="1"/>
  <c r="I1433" s="1"/>
  <c r="U1435"/>
  <c r="W1434"/>
  <c r="X1434"/>
  <c r="L921"/>
  <c r="J922"/>
  <c r="K922" s="1"/>
  <c r="Y1434" l="1"/>
  <c r="I1434" s="1"/>
  <c r="U1436"/>
  <c r="W1435"/>
  <c r="X1435"/>
  <c r="L922"/>
  <c r="J923"/>
  <c r="K923" s="1"/>
  <c r="Y1435" l="1"/>
  <c r="I1435" s="1"/>
  <c r="U1437"/>
  <c r="W1436"/>
  <c r="X1436"/>
  <c r="L923"/>
  <c r="J924"/>
  <c r="K924" s="1"/>
  <c r="Y1436" l="1"/>
  <c r="I1436" s="1"/>
  <c r="U1438"/>
  <c r="W1437"/>
  <c r="X1437"/>
  <c r="L924"/>
  <c r="J925"/>
  <c r="K925" s="1"/>
  <c r="Y1437" l="1"/>
  <c r="I1437" s="1"/>
  <c r="U1439"/>
  <c r="W1438"/>
  <c r="X1438"/>
  <c r="L925"/>
  <c r="J926"/>
  <c r="K926" s="1"/>
  <c r="Y1438" l="1"/>
  <c r="I1438" s="1"/>
  <c r="U1440"/>
  <c r="W1439"/>
  <c r="X1439"/>
  <c r="L926"/>
  <c r="J927"/>
  <c r="K927" s="1"/>
  <c r="Y1439" l="1"/>
  <c r="I1439" s="1"/>
  <c r="U1441"/>
  <c r="W1440"/>
  <c r="X1440"/>
  <c r="L927"/>
  <c r="J928"/>
  <c r="K928" s="1"/>
  <c r="Y1440" l="1"/>
  <c r="I1440" s="1"/>
  <c r="U1442"/>
  <c r="W1441"/>
  <c r="X1441"/>
  <c r="L928"/>
  <c r="J929"/>
  <c r="K929" s="1"/>
  <c r="Y1441" l="1"/>
  <c r="I1441" s="1"/>
  <c r="U1443"/>
  <c r="W1442"/>
  <c r="X1442"/>
  <c r="L929"/>
  <c r="J930"/>
  <c r="K930" s="1"/>
  <c r="Y1442" l="1"/>
  <c r="I1442" s="1"/>
  <c r="U1444"/>
  <c r="W1443"/>
  <c r="X1443"/>
  <c r="L930"/>
  <c r="J931"/>
  <c r="K931" s="1"/>
  <c r="Y1443" l="1"/>
  <c r="I1443" s="1"/>
  <c r="U1445"/>
  <c r="W1444"/>
  <c r="X1444"/>
  <c r="L931"/>
  <c r="J932"/>
  <c r="K932" s="1"/>
  <c r="Y1444" l="1"/>
  <c r="I1444" s="1"/>
  <c r="U1446"/>
  <c r="W1445"/>
  <c r="X1445"/>
  <c r="L932"/>
  <c r="J933"/>
  <c r="K933" s="1"/>
  <c r="Y1445" l="1"/>
  <c r="I1445" s="1"/>
  <c r="U1447"/>
  <c r="W1446"/>
  <c r="X1446"/>
  <c r="L933"/>
  <c r="J934"/>
  <c r="K934" s="1"/>
  <c r="Y1446" l="1"/>
  <c r="I1446" s="1"/>
  <c r="U1448"/>
  <c r="W1447"/>
  <c r="X1447"/>
  <c r="L934"/>
  <c r="J935"/>
  <c r="K935" s="1"/>
  <c r="Y1447" l="1"/>
  <c r="I1447" s="1"/>
  <c r="U1449"/>
  <c r="W1448"/>
  <c r="X1448"/>
  <c r="L935"/>
  <c r="J936"/>
  <c r="K936" s="1"/>
  <c r="Y1448" l="1"/>
  <c r="I1448" s="1"/>
  <c r="U1450"/>
  <c r="W1449"/>
  <c r="X1449"/>
  <c r="L936"/>
  <c r="J937"/>
  <c r="K937" s="1"/>
  <c r="Y1449" l="1"/>
  <c r="I1449" s="1"/>
  <c r="U1451"/>
  <c r="W1450"/>
  <c r="X1450"/>
  <c r="L937"/>
  <c r="J938"/>
  <c r="K938" s="1"/>
  <c r="Y1450" l="1"/>
  <c r="I1450" s="1"/>
  <c r="U1452"/>
  <c r="W1451"/>
  <c r="X1451"/>
  <c r="L938"/>
  <c r="J939"/>
  <c r="K939" s="1"/>
  <c r="Y1451" l="1"/>
  <c r="I1451" s="1"/>
  <c r="U1453"/>
  <c r="W1452"/>
  <c r="X1452"/>
  <c r="L939"/>
  <c r="J940"/>
  <c r="K940" s="1"/>
  <c r="Y1452" l="1"/>
  <c r="I1452" s="1"/>
  <c r="U1454"/>
  <c r="W1453"/>
  <c r="X1453"/>
  <c r="L940"/>
  <c r="J941"/>
  <c r="K941" s="1"/>
  <c r="Y1453" l="1"/>
  <c r="I1453" s="1"/>
  <c r="U1455"/>
  <c r="W1454"/>
  <c r="X1454"/>
  <c r="L941"/>
  <c r="J942"/>
  <c r="K942" s="1"/>
  <c r="Y1454" l="1"/>
  <c r="I1454" s="1"/>
  <c r="U1456"/>
  <c r="W1455"/>
  <c r="X1455"/>
  <c r="L942"/>
  <c r="J943"/>
  <c r="K943" s="1"/>
  <c r="Y1455" l="1"/>
  <c r="I1455" s="1"/>
  <c r="U1457"/>
  <c r="W1456"/>
  <c r="X1456"/>
  <c r="L943"/>
  <c r="J944"/>
  <c r="K944" s="1"/>
  <c r="Y1456" l="1"/>
  <c r="I1456" s="1"/>
  <c r="U1458"/>
  <c r="W1457"/>
  <c r="X1457"/>
  <c r="L944"/>
  <c r="J945"/>
  <c r="K945" s="1"/>
  <c r="Y1457" l="1"/>
  <c r="I1457" s="1"/>
  <c r="U1459"/>
  <c r="W1458"/>
  <c r="X1458"/>
  <c r="L945"/>
  <c r="J946"/>
  <c r="K946" s="1"/>
  <c r="Y1458" l="1"/>
  <c r="I1458" s="1"/>
  <c r="U1460"/>
  <c r="W1459"/>
  <c r="X1459"/>
  <c r="L946"/>
  <c r="J947"/>
  <c r="K947" s="1"/>
  <c r="Y1459" l="1"/>
  <c r="I1459" s="1"/>
  <c r="U1461"/>
  <c r="W1460"/>
  <c r="X1460"/>
  <c r="L947"/>
  <c r="J948"/>
  <c r="K948" s="1"/>
  <c r="Y1460" l="1"/>
  <c r="I1460" s="1"/>
  <c r="U1462"/>
  <c r="W1461"/>
  <c r="X1461"/>
  <c r="L948"/>
  <c r="J949"/>
  <c r="K949" s="1"/>
  <c r="Y1461" l="1"/>
  <c r="I1461" s="1"/>
  <c r="U1463"/>
  <c r="W1462"/>
  <c r="X1462"/>
  <c r="L949"/>
  <c r="J950"/>
  <c r="K950" s="1"/>
  <c r="Y1462" l="1"/>
  <c r="I1462" s="1"/>
  <c r="U1464"/>
  <c r="W1463"/>
  <c r="X1463"/>
  <c r="L950"/>
  <c r="J951"/>
  <c r="K951" s="1"/>
  <c r="Y1463" l="1"/>
  <c r="I1463" s="1"/>
  <c r="U1465"/>
  <c r="W1464"/>
  <c r="X1464"/>
  <c r="L951"/>
  <c r="J952"/>
  <c r="K952" s="1"/>
  <c r="Y1464" l="1"/>
  <c r="I1464" s="1"/>
  <c r="U1466"/>
  <c r="W1465"/>
  <c r="X1465"/>
  <c r="L952"/>
  <c r="J953"/>
  <c r="K953" s="1"/>
  <c r="Y1465" l="1"/>
  <c r="I1465" s="1"/>
  <c r="U1467"/>
  <c r="W1466"/>
  <c r="X1466"/>
  <c r="L953"/>
  <c r="J954"/>
  <c r="K954" s="1"/>
  <c r="Y1466" l="1"/>
  <c r="I1466" s="1"/>
  <c r="U1468"/>
  <c r="W1467"/>
  <c r="X1467"/>
  <c r="L954"/>
  <c r="J955"/>
  <c r="K955" s="1"/>
  <c r="Y1467" l="1"/>
  <c r="I1467" s="1"/>
  <c r="U1469"/>
  <c r="W1468"/>
  <c r="X1468"/>
  <c r="L955"/>
  <c r="J956"/>
  <c r="K956" s="1"/>
  <c r="Y1468" l="1"/>
  <c r="I1468" s="1"/>
  <c r="U1470"/>
  <c r="W1469"/>
  <c r="X1469"/>
  <c r="L956"/>
  <c r="J957"/>
  <c r="K957" s="1"/>
  <c r="Y1469" l="1"/>
  <c r="I1469" s="1"/>
  <c r="U1471"/>
  <c r="W1470"/>
  <c r="X1470"/>
  <c r="L957"/>
  <c r="J958"/>
  <c r="K958" s="1"/>
  <c r="Y1470" l="1"/>
  <c r="I1470" s="1"/>
  <c r="U1472"/>
  <c r="W1471"/>
  <c r="X1471"/>
  <c r="L958"/>
  <c r="J959"/>
  <c r="K959" s="1"/>
  <c r="Y1471" l="1"/>
  <c r="I1471" s="1"/>
  <c r="U1473"/>
  <c r="W1472"/>
  <c r="X1472"/>
  <c r="L959"/>
  <c r="J960"/>
  <c r="K960" s="1"/>
  <c r="Y1472" l="1"/>
  <c r="I1472" s="1"/>
  <c r="U1474"/>
  <c r="W1473"/>
  <c r="X1473"/>
  <c r="L960"/>
  <c r="J961"/>
  <c r="K961" s="1"/>
  <c r="Y1473" l="1"/>
  <c r="I1473" s="1"/>
  <c r="U1475"/>
  <c r="W1474"/>
  <c r="X1474"/>
  <c r="L961"/>
  <c r="J962"/>
  <c r="K962" s="1"/>
  <c r="Y1474" l="1"/>
  <c r="I1474" s="1"/>
  <c r="U1476"/>
  <c r="W1475"/>
  <c r="X1475"/>
  <c r="L962"/>
  <c r="J963"/>
  <c r="K963" s="1"/>
  <c r="Y1475" l="1"/>
  <c r="I1475" s="1"/>
  <c r="U1477"/>
  <c r="W1476"/>
  <c r="X1476"/>
  <c r="L963"/>
  <c r="J964"/>
  <c r="K964" s="1"/>
  <c r="Y1476" l="1"/>
  <c r="I1476" s="1"/>
  <c r="U1478"/>
  <c r="W1477"/>
  <c r="X1477"/>
  <c r="L964"/>
  <c r="J965"/>
  <c r="K965" s="1"/>
  <c r="Y1477" l="1"/>
  <c r="I1477" s="1"/>
  <c r="U1479"/>
  <c r="W1478"/>
  <c r="X1478"/>
  <c r="L965"/>
  <c r="J966"/>
  <c r="K966" s="1"/>
  <c r="Y1478" l="1"/>
  <c r="I1478" s="1"/>
  <c r="U1480"/>
  <c r="W1479"/>
  <c r="X1479"/>
  <c r="L966"/>
  <c r="J967"/>
  <c r="K967" s="1"/>
  <c r="Y1479" l="1"/>
  <c r="I1479" s="1"/>
  <c r="U1481"/>
  <c r="W1480"/>
  <c r="X1480"/>
  <c r="L967"/>
  <c r="J968"/>
  <c r="K968" s="1"/>
  <c r="Y1480" l="1"/>
  <c r="I1480" s="1"/>
  <c r="U1482"/>
  <c r="W1481"/>
  <c r="X1481"/>
  <c r="L968"/>
  <c r="J969"/>
  <c r="K969" s="1"/>
  <c r="Y1481" l="1"/>
  <c r="I1481" s="1"/>
  <c r="U1483"/>
  <c r="W1482"/>
  <c r="X1482"/>
  <c r="L969"/>
  <c r="J970"/>
  <c r="K970" s="1"/>
  <c r="Y1482" l="1"/>
  <c r="I1482" s="1"/>
  <c r="U1484"/>
  <c r="W1483"/>
  <c r="X1483"/>
  <c r="L970"/>
  <c r="J971"/>
  <c r="K971" s="1"/>
  <c r="Y1483" l="1"/>
  <c r="I1483" s="1"/>
  <c r="U1485"/>
  <c r="W1484"/>
  <c r="X1484"/>
  <c r="L971"/>
  <c r="J972"/>
  <c r="K972" s="1"/>
  <c r="Y1484" l="1"/>
  <c r="I1484" s="1"/>
  <c r="U1486"/>
  <c r="W1485"/>
  <c r="X1485"/>
  <c r="L972"/>
  <c r="J973"/>
  <c r="K973" s="1"/>
  <c r="Y1485" l="1"/>
  <c r="I1485" s="1"/>
  <c r="U1487"/>
  <c r="W1486"/>
  <c r="X1486"/>
  <c r="L973"/>
  <c r="J974"/>
  <c r="K974" s="1"/>
  <c r="Y1486" l="1"/>
  <c r="I1486" s="1"/>
  <c r="U1488"/>
  <c r="W1487"/>
  <c r="X1487"/>
  <c r="L974"/>
  <c r="J975"/>
  <c r="K975" s="1"/>
  <c r="Y1487" l="1"/>
  <c r="I1487" s="1"/>
  <c r="U1489"/>
  <c r="W1488"/>
  <c r="X1488"/>
  <c r="L975"/>
  <c r="J976"/>
  <c r="K976" s="1"/>
  <c r="Y1488" l="1"/>
  <c r="I1488" s="1"/>
  <c r="U1490"/>
  <c r="W1489"/>
  <c r="X1489"/>
  <c r="L976"/>
  <c r="J977"/>
  <c r="K977" s="1"/>
  <c r="Y1489" l="1"/>
  <c r="I1489" s="1"/>
  <c r="U1491"/>
  <c r="W1490"/>
  <c r="X1490"/>
  <c r="L977"/>
  <c r="J978"/>
  <c r="K978" s="1"/>
  <c r="Y1490" l="1"/>
  <c r="I1490" s="1"/>
  <c r="U1492"/>
  <c r="W1491"/>
  <c r="X1491"/>
  <c r="L978"/>
  <c r="J979"/>
  <c r="K979" s="1"/>
  <c r="Y1491" l="1"/>
  <c r="I1491" s="1"/>
  <c r="U1493"/>
  <c r="W1492"/>
  <c r="X1492"/>
  <c r="L979"/>
  <c r="J980"/>
  <c r="K980" s="1"/>
  <c r="Y1492" l="1"/>
  <c r="I1492" s="1"/>
  <c r="U1494"/>
  <c r="W1493"/>
  <c r="X1493"/>
  <c r="L980"/>
  <c r="J981"/>
  <c r="K981" s="1"/>
  <c r="Y1493" l="1"/>
  <c r="I1493" s="1"/>
  <c r="U1495"/>
  <c r="W1494"/>
  <c r="X1494"/>
  <c r="L981"/>
  <c r="J982"/>
  <c r="K982" s="1"/>
  <c r="Y1494" l="1"/>
  <c r="I1494" s="1"/>
  <c r="U1496"/>
  <c r="W1495"/>
  <c r="X1495"/>
  <c r="L982"/>
  <c r="J983"/>
  <c r="K983" s="1"/>
  <c r="Y1495" l="1"/>
  <c r="I1495" s="1"/>
  <c r="U1497"/>
  <c r="W1496"/>
  <c r="X1496"/>
  <c r="L983"/>
  <c r="J984"/>
  <c r="K984" s="1"/>
  <c r="Y1496" l="1"/>
  <c r="I1496" s="1"/>
  <c r="U1498"/>
  <c r="W1497"/>
  <c r="X1497"/>
  <c r="L984"/>
  <c r="J985"/>
  <c r="K985" s="1"/>
  <c r="Y1497" l="1"/>
  <c r="I1497" s="1"/>
  <c r="U1499"/>
  <c r="W1498"/>
  <c r="X1498"/>
  <c r="L985"/>
  <c r="J986"/>
  <c r="K986" s="1"/>
  <c r="Y1498" l="1"/>
  <c r="I1498" s="1"/>
  <c r="U1500"/>
  <c r="W1499"/>
  <c r="X1499"/>
  <c r="L986"/>
  <c r="J987"/>
  <c r="K987" s="1"/>
  <c r="Y1499" l="1"/>
  <c r="I1499" s="1"/>
  <c r="U1501"/>
  <c r="W1500"/>
  <c r="X1500"/>
  <c r="L987"/>
  <c r="J988"/>
  <c r="Y1500" l="1"/>
  <c r="I1500" s="1"/>
  <c r="U1502"/>
  <c r="W1501"/>
  <c r="X1501"/>
  <c r="J989"/>
  <c r="K988"/>
  <c r="L988" s="1"/>
  <c r="Y1501" l="1"/>
  <c r="I1501" s="1"/>
  <c r="U1503"/>
  <c r="W1502"/>
  <c r="X1502"/>
  <c r="J990"/>
  <c r="K990" s="1"/>
  <c r="K989"/>
  <c r="L989" s="1"/>
  <c r="Y1502" l="1"/>
  <c r="I1502" s="1"/>
  <c r="U1504"/>
  <c r="W1503"/>
  <c r="X1503"/>
  <c r="L990"/>
  <c r="J991"/>
  <c r="Y1503" l="1"/>
  <c r="I1503" s="1"/>
  <c r="U1505"/>
  <c r="W1504"/>
  <c r="X1504"/>
  <c r="J992"/>
  <c r="K991"/>
  <c r="L991" s="1"/>
  <c r="Y1504" l="1"/>
  <c r="I1504" s="1"/>
  <c r="U1506"/>
  <c r="W1505"/>
  <c r="X1505"/>
  <c r="J993"/>
  <c r="K993" s="1"/>
  <c r="K992"/>
  <c r="L992" s="1"/>
  <c r="Y1505" l="1"/>
  <c r="I1505" s="1"/>
  <c r="U1507"/>
  <c r="W1506"/>
  <c r="X1506"/>
  <c r="L993"/>
  <c r="J994"/>
  <c r="Y1506" l="1"/>
  <c r="I1506" s="1"/>
  <c r="U1508"/>
  <c r="W1507"/>
  <c r="X1507"/>
  <c r="J995"/>
  <c r="K994"/>
  <c r="L994" s="1"/>
  <c r="Y1507" l="1"/>
  <c r="I1507" s="1"/>
  <c r="U1509"/>
  <c r="W1508"/>
  <c r="X1508"/>
  <c r="J996"/>
  <c r="K995"/>
  <c r="L995" s="1"/>
  <c r="Y1508" l="1"/>
  <c r="I1508" s="1"/>
  <c r="U1510"/>
  <c r="W1509"/>
  <c r="X1509"/>
  <c r="J997"/>
  <c r="K996"/>
  <c r="L996" s="1"/>
  <c r="Y1509" l="1"/>
  <c r="I1509" s="1"/>
  <c r="U1511"/>
  <c r="W1510"/>
  <c r="X1510"/>
  <c r="J998"/>
  <c r="K997"/>
  <c r="L997" s="1"/>
  <c r="Y1510" l="1"/>
  <c r="I1510" s="1"/>
  <c r="U1512"/>
  <c r="W1511"/>
  <c r="X1511"/>
  <c r="J999"/>
  <c r="K998"/>
  <c r="L998" s="1"/>
  <c r="Y1511" l="1"/>
  <c r="I1511" s="1"/>
  <c r="U1513"/>
  <c r="W1512"/>
  <c r="X1512"/>
  <c r="J1000"/>
  <c r="K999"/>
  <c r="L999" s="1"/>
  <c r="Y1512" l="1"/>
  <c r="I1512" s="1"/>
  <c r="U1514"/>
  <c r="W1513"/>
  <c r="X1513"/>
  <c r="J1001"/>
  <c r="K1001" s="1"/>
  <c r="K1000"/>
  <c r="L1000" s="1"/>
  <c r="Y1513" l="1"/>
  <c r="I1513" s="1"/>
  <c r="U1515"/>
  <c r="W1514"/>
  <c r="X1514"/>
  <c r="L1001"/>
  <c r="J1002"/>
  <c r="K1002" s="1"/>
  <c r="Y1514" l="1"/>
  <c r="I1514" s="1"/>
  <c r="U1516"/>
  <c r="W1515"/>
  <c r="X1515"/>
  <c r="L1002"/>
  <c r="J1003"/>
  <c r="K1003" s="1"/>
  <c r="Y1515" l="1"/>
  <c r="I1515" s="1"/>
  <c r="U1517"/>
  <c r="W1516"/>
  <c r="X1516"/>
  <c r="L1003"/>
  <c r="J1004"/>
  <c r="K1004" s="1"/>
  <c r="Y1516" l="1"/>
  <c r="I1516" s="1"/>
  <c r="U1518"/>
  <c r="W1517"/>
  <c r="X1517"/>
  <c r="L1004"/>
  <c r="J1005"/>
  <c r="K1005" s="1"/>
  <c r="Y1517" l="1"/>
  <c r="I1517" s="1"/>
  <c r="U1519"/>
  <c r="W1518"/>
  <c r="X1518"/>
  <c r="L1005"/>
  <c r="J1006"/>
  <c r="K1006" s="1"/>
  <c r="Y1518" l="1"/>
  <c r="I1518" s="1"/>
  <c r="U1520"/>
  <c r="W1519"/>
  <c r="X1519"/>
  <c r="L1006"/>
  <c r="J1007"/>
  <c r="K1007" s="1"/>
  <c r="Y1519" l="1"/>
  <c r="I1519" s="1"/>
  <c r="U1521"/>
  <c r="W1520"/>
  <c r="X1520"/>
  <c r="L1007"/>
  <c r="J1008"/>
  <c r="K1008" s="1"/>
  <c r="Y1520" l="1"/>
  <c r="I1520" s="1"/>
  <c r="U1522"/>
  <c r="W1521"/>
  <c r="X1521"/>
  <c r="L1008"/>
  <c r="J1009"/>
  <c r="K1009" s="1"/>
  <c r="Y1521" l="1"/>
  <c r="I1521" s="1"/>
  <c r="U1523"/>
  <c r="W1522"/>
  <c r="X1522"/>
  <c r="L1009"/>
  <c r="J1010"/>
  <c r="K1010" s="1"/>
  <c r="Y1522" l="1"/>
  <c r="I1522" s="1"/>
  <c r="U1524"/>
  <c r="W1523"/>
  <c r="X1523"/>
  <c r="L1010"/>
  <c r="J1011"/>
  <c r="K1011" s="1"/>
  <c r="Y1523" l="1"/>
  <c r="I1523" s="1"/>
  <c r="U1525"/>
  <c r="W1524"/>
  <c r="X1524"/>
  <c r="L1011"/>
  <c r="J1012"/>
  <c r="K1012" s="1"/>
  <c r="Y1524" l="1"/>
  <c r="I1524" s="1"/>
  <c r="U1526"/>
  <c r="W1525"/>
  <c r="X1525"/>
  <c r="L1012"/>
  <c r="J1013"/>
  <c r="K1013" s="1"/>
  <c r="Y1525" l="1"/>
  <c r="I1525" s="1"/>
  <c r="U1527"/>
  <c r="W1526"/>
  <c r="X1526"/>
  <c r="L1013"/>
  <c r="J1014"/>
  <c r="K1014" s="1"/>
  <c r="Y1526" l="1"/>
  <c r="I1526" s="1"/>
  <c r="U1528"/>
  <c r="W1527"/>
  <c r="X1527"/>
  <c r="L1014"/>
  <c r="J1015"/>
  <c r="K1015" s="1"/>
  <c r="Y1527" l="1"/>
  <c r="I1527" s="1"/>
  <c r="U1529"/>
  <c r="W1528"/>
  <c r="X1528"/>
  <c r="L1015"/>
  <c r="J1016"/>
  <c r="K1016" s="1"/>
  <c r="Y1528" l="1"/>
  <c r="I1528" s="1"/>
  <c r="U1530"/>
  <c r="W1529"/>
  <c r="X1529"/>
  <c r="L1016"/>
  <c r="J1017"/>
  <c r="K1017" s="1"/>
  <c r="Y1529" l="1"/>
  <c r="I1529" s="1"/>
  <c r="U1531"/>
  <c r="W1530"/>
  <c r="X1530"/>
  <c r="L1017"/>
  <c r="J1018"/>
  <c r="K1018" s="1"/>
  <c r="Y1530" l="1"/>
  <c r="I1530" s="1"/>
  <c r="U1532"/>
  <c r="W1531"/>
  <c r="X1531"/>
  <c r="L1018"/>
  <c r="J1019"/>
  <c r="K1019" s="1"/>
  <c r="Y1531" l="1"/>
  <c r="I1531" s="1"/>
  <c r="U1533"/>
  <c r="W1532"/>
  <c r="X1532"/>
  <c r="L1019"/>
  <c r="J1020"/>
  <c r="K1020" s="1"/>
  <c r="Y1532" l="1"/>
  <c r="I1532" s="1"/>
  <c r="U1534"/>
  <c r="W1533"/>
  <c r="X1533"/>
  <c r="L1020"/>
  <c r="J1021"/>
  <c r="K1021" s="1"/>
  <c r="Y1533" l="1"/>
  <c r="I1533" s="1"/>
  <c r="U1535"/>
  <c r="W1534"/>
  <c r="X1534"/>
  <c r="L1021"/>
  <c r="J1022"/>
  <c r="K1022" s="1"/>
  <c r="Y1534" l="1"/>
  <c r="I1534" s="1"/>
  <c r="U1536"/>
  <c r="W1535"/>
  <c r="X1535"/>
  <c r="L1022"/>
  <c r="J1023"/>
  <c r="K1023" s="1"/>
  <c r="Y1535" l="1"/>
  <c r="I1535" s="1"/>
  <c r="U1537"/>
  <c r="W1536"/>
  <c r="X1536"/>
  <c r="L1023"/>
  <c r="J1024"/>
  <c r="K1024" s="1"/>
  <c r="Y1536" l="1"/>
  <c r="I1536" s="1"/>
  <c r="U1538"/>
  <c r="W1537"/>
  <c r="X1537"/>
  <c r="L1024"/>
  <c r="J1025"/>
  <c r="K1025" s="1"/>
  <c r="Y1537" l="1"/>
  <c r="I1537" s="1"/>
  <c r="U1539"/>
  <c r="W1538"/>
  <c r="X1538"/>
  <c r="L1025"/>
  <c r="J1026"/>
  <c r="K1026" s="1"/>
  <c r="Y1538" l="1"/>
  <c r="I1538" s="1"/>
  <c r="U1540"/>
  <c r="W1539"/>
  <c r="X1539"/>
  <c r="L1026"/>
  <c r="J1027"/>
  <c r="K1027" s="1"/>
  <c r="Y1539" l="1"/>
  <c r="I1539" s="1"/>
  <c r="U1541"/>
  <c r="W1540"/>
  <c r="X1540"/>
  <c r="L1027"/>
  <c r="J1028"/>
  <c r="K1028" s="1"/>
  <c r="Y1540" l="1"/>
  <c r="I1540" s="1"/>
  <c r="U1542"/>
  <c r="W1541"/>
  <c r="X1541"/>
  <c r="L1028"/>
  <c r="J1029"/>
  <c r="K1029" s="1"/>
  <c r="Y1541" l="1"/>
  <c r="I1541" s="1"/>
  <c r="U1543"/>
  <c r="W1542"/>
  <c r="X1542"/>
  <c r="L1029"/>
  <c r="J1030"/>
  <c r="K1030" s="1"/>
  <c r="Y1542" l="1"/>
  <c r="I1542" s="1"/>
  <c r="U1544"/>
  <c r="W1543"/>
  <c r="X1543"/>
  <c r="L1030"/>
  <c r="J1031"/>
  <c r="K1031" s="1"/>
  <c r="Y1543" l="1"/>
  <c r="I1543" s="1"/>
  <c r="U1545"/>
  <c r="W1544"/>
  <c r="X1544"/>
  <c r="L1031"/>
  <c r="J1032"/>
  <c r="K1032" s="1"/>
  <c r="Y1544" l="1"/>
  <c r="I1544" s="1"/>
  <c r="U1546"/>
  <c r="W1545"/>
  <c r="X1545"/>
  <c r="L1032"/>
  <c r="J1033"/>
  <c r="K1033" s="1"/>
  <c r="Y1545" l="1"/>
  <c r="I1545" s="1"/>
  <c r="U1547"/>
  <c r="W1546"/>
  <c r="X1546"/>
  <c r="L1033"/>
  <c r="J1034"/>
  <c r="K1034" s="1"/>
  <c r="Y1546" l="1"/>
  <c r="I1546" s="1"/>
  <c r="U1548"/>
  <c r="W1547"/>
  <c r="X1547"/>
  <c r="L1034"/>
  <c r="J1035"/>
  <c r="K1035" s="1"/>
  <c r="Y1547" l="1"/>
  <c r="I1547" s="1"/>
  <c r="U1549"/>
  <c r="W1548"/>
  <c r="X1548"/>
  <c r="L1035"/>
  <c r="J1036"/>
  <c r="K1036" s="1"/>
  <c r="Y1548" l="1"/>
  <c r="I1548" s="1"/>
  <c r="U1550"/>
  <c r="W1549"/>
  <c r="X1549"/>
  <c r="L1036"/>
  <c r="J1037"/>
  <c r="K1037" s="1"/>
  <c r="Y1549" l="1"/>
  <c r="I1549" s="1"/>
  <c r="U1551"/>
  <c r="W1550"/>
  <c r="X1550"/>
  <c r="L1037"/>
  <c r="J1038"/>
  <c r="K1038" s="1"/>
  <c r="Y1550" l="1"/>
  <c r="I1550" s="1"/>
  <c r="U1552"/>
  <c r="W1551"/>
  <c r="X1551"/>
  <c r="L1038"/>
  <c r="J1039"/>
  <c r="K1039" s="1"/>
  <c r="Y1551" l="1"/>
  <c r="I1551" s="1"/>
  <c r="U1553"/>
  <c r="W1552"/>
  <c r="X1552"/>
  <c r="L1039"/>
  <c r="J1040"/>
  <c r="K1040" s="1"/>
  <c r="Y1552" l="1"/>
  <c r="I1552" s="1"/>
  <c r="U1554"/>
  <c r="W1553"/>
  <c r="X1553"/>
  <c r="L1040"/>
  <c r="J1041"/>
  <c r="K1041" s="1"/>
  <c r="Y1553" l="1"/>
  <c r="I1553" s="1"/>
  <c r="U1555"/>
  <c r="W1554"/>
  <c r="X1554"/>
  <c r="L1041"/>
  <c r="J1042"/>
  <c r="K1042" s="1"/>
  <c r="Y1554" l="1"/>
  <c r="I1554" s="1"/>
  <c r="U1556"/>
  <c r="W1555"/>
  <c r="X1555"/>
  <c r="L1042"/>
  <c r="J1043"/>
  <c r="K1043" s="1"/>
  <c r="Y1555" l="1"/>
  <c r="I1555" s="1"/>
  <c r="U1557"/>
  <c r="W1556"/>
  <c r="X1556"/>
  <c r="L1043"/>
  <c r="J1044"/>
  <c r="K1044" s="1"/>
  <c r="Y1556" l="1"/>
  <c r="I1556" s="1"/>
  <c r="U1558"/>
  <c r="W1557"/>
  <c r="X1557"/>
  <c r="L1044"/>
  <c r="J1045"/>
  <c r="K1045" s="1"/>
  <c r="Y1557" l="1"/>
  <c r="I1557" s="1"/>
  <c r="U1559"/>
  <c r="W1558"/>
  <c r="X1558"/>
  <c r="L1045"/>
  <c r="J1046"/>
  <c r="K1046" s="1"/>
  <c r="Y1558" l="1"/>
  <c r="I1558" s="1"/>
  <c r="U1560"/>
  <c r="W1559"/>
  <c r="X1559"/>
  <c r="L1046"/>
  <c r="J1047"/>
  <c r="K1047" s="1"/>
  <c r="Y1559" l="1"/>
  <c r="I1559" s="1"/>
  <c r="U1561"/>
  <c r="W1560"/>
  <c r="X1560"/>
  <c r="L1047"/>
  <c r="J1048"/>
  <c r="K1048" s="1"/>
  <c r="Y1560" l="1"/>
  <c r="I1560" s="1"/>
  <c r="U1562"/>
  <c r="W1561"/>
  <c r="X1561"/>
  <c r="L1048"/>
  <c r="J1049"/>
  <c r="K1049" s="1"/>
  <c r="Y1561" l="1"/>
  <c r="I1561" s="1"/>
  <c r="U1563"/>
  <c r="W1562"/>
  <c r="X1562"/>
  <c r="L1049"/>
  <c r="J1050"/>
  <c r="K1050" s="1"/>
  <c r="Y1562" l="1"/>
  <c r="I1562" s="1"/>
  <c r="U1564"/>
  <c r="W1563"/>
  <c r="X1563"/>
  <c r="L1050"/>
  <c r="J1051"/>
  <c r="K1051" s="1"/>
  <c r="Y1563" l="1"/>
  <c r="I1563" s="1"/>
  <c r="U1565"/>
  <c r="W1564"/>
  <c r="X1564"/>
  <c r="L1051"/>
  <c r="J1052"/>
  <c r="K1052" s="1"/>
  <c r="Y1564" l="1"/>
  <c r="I1564" s="1"/>
  <c r="U1566"/>
  <c r="W1565"/>
  <c r="X1565"/>
  <c r="L1052"/>
  <c r="J1053"/>
  <c r="K1053" s="1"/>
  <c r="Y1565" l="1"/>
  <c r="I1565" s="1"/>
  <c r="U1567"/>
  <c r="W1566"/>
  <c r="X1566"/>
  <c r="L1053"/>
  <c r="J1054"/>
  <c r="K1054" s="1"/>
  <c r="Y1566" l="1"/>
  <c r="I1566" s="1"/>
  <c r="U1568"/>
  <c r="W1567"/>
  <c r="X1567"/>
  <c r="L1054"/>
  <c r="J1055"/>
  <c r="K1055" s="1"/>
  <c r="Y1567" l="1"/>
  <c r="I1567" s="1"/>
  <c r="U1569"/>
  <c r="W1568"/>
  <c r="X1568"/>
  <c r="L1055"/>
  <c r="J1056"/>
  <c r="K1056" s="1"/>
  <c r="Y1568" l="1"/>
  <c r="I1568" s="1"/>
  <c r="U1570"/>
  <c r="W1569"/>
  <c r="X1569"/>
  <c r="L1056"/>
  <c r="J1057"/>
  <c r="K1057" s="1"/>
  <c r="Y1569" l="1"/>
  <c r="I1569" s="1"/>
  <c r="U1571"/>
  <c r="W1570"/>
  <c r="X1570"/>
  <c r="L1057"/>
  <c r="J1058"/>
  <c r="K1058" s="1"/>
  <c r="Y1570" l="1"/>
  <c r="I1570" s="1"/>
  <c r="U1572"/>
  <c r="W1571"/>
  <c r="X1571"/>
  <c r="L1058"/>
  <c r="J1059"/>
  <c r="K1059" s="1"/>
  <c r="Y1571" l="1"/>
  <c r="I1571" s="1"/>
  <c r="U1573"/>
  <c r="W1572"/>
  <c r="X1572"/>
  <c r="L1059"/>
  <c r="J1060"/>
  <c r="K1060" s="1"/>
  <c r="Y1572" l="1"/>
  <c r="I1572" s="1"/>
  <c r="U1574"/>
  <c r="W1573"/>
  <c r="X1573"/>
  <c r="L1060"/>
  <c r="J1061"/>
  <c r="K1061" s="1"/>
  <c r="Y1573" l="1"/>
  <c r="I1573" s="1"/>
  <c r="U1575"/>
  <c r="W1574"/>
  <c r="X1574"/>
  <c r="L1061"/>
  <c r="J1062"/>
  <c r="K1062" s="1"/>
  <c r="Y1574" l="1"/>
  <c r="I1574" s="1"/>
  <c r="U1576"/>
  <c r="W1575"/>
  <c r="X1575"/>
  <c r="L1062"/>
  <c r="J1063"/>
  <c r="K1063" s="1"/>
  <c r="Y1575" l="1"/>
  <c r="I1575" s="1"/>
  <c r="U1577"/>
  <c r="W1576"/>
  <c r="X1576"/>
  <c r="L1063"/>
  <c r="J1064"/>
  <c r="K1064" s="1"/>
  <c r="Y1576" l="1"/>
  <c r="I1576" s="1"/>
  <c r="U1578"/>
  <c r="W1577"/>
  <c r="X1577"/>
  <c r="L1064"/>
  <c r="J1065"/>
  <c r="K1065" s="1"/>
  <c r="Y1577" l="1"/>
  <c r="I1577" s="1"/>
  <c r="U1579"/>
  <c r="W1578"/>
  <c r="X1578"/>
  <c r="L1065"/>
  <c r="J1066"/>
  <c r="K1066" s="1"/>
  <c r="Y1578" l="1"/>
  <c r="I1578" s="1"/>
  <c r="U1580"/>
  <c r="W1579"/>
  <c r="X1579"/>
  <c r="L1066"/>
  <c r="J1067"/>
  <c r="K1067" s="1"/>
  <c r="Y1579" l="1"/>
  <c r="I1579" s="1"/>
  <c r="U1581"/>
  <c r="W1580"/>
  <c r="X1580"/>
  <c r="L1067"/>
  <c r="J1068"/>
  <c r="K1068" s="1"/>
  <c r="Y1580" l="1"/>
  <c r="I1580" s="1"/>
  <c r="U1582"/>
  <c r="W1581"/>
  <c r="X1581"/>
  <c r="L1068"/>
  <c r="J1069"/>
  <c r="K1069" s="1"/>
  <c r="Y1581" l="1"/>
  <c r="I1581" s="1"/>
  <c r="U1583"/>
  <c r="W1582"/>
  <c r="X1582"/>
  <c r="L1069"/>
  <c r="J1070"/>
  <c r="K1070" s="1"/>
  <c r="Y1582" l="1"/>
  <c r="I1582" s="1"/>
  <c r="U1584"/>
  <c r="W1583"/>
  <c r="X1583"/>
  <c r="L1070"/>
  <c r="J1071"/>
  <c r="K1071" s="1"/>
  <c r="Y1583" l="1"/>
  <c r="I1583" s="1"/>
  <c r="U1585"/>
  <c r="W1584"/>
  <c r="X1584"/>
  <c r="L1071"/>
  <c r="J1072"/>
  <c r="K1072" s="1"/>
  <c r="Y1584" l="1"/>
  <c r="I1584" s="1"/>
  <c r="U1586"/>
  <c r="W1585"/>
  <c r="X1585"/>
  <c r="L1072"/>
  <c r="J1073"/>
  <c r="K1073" s="1"/>
  <c r="Y1585" l="1"/>
  <c r="I1585" s="1"/>
  <c r="U1587"/>
  <c r="W1586"/>
  <c r="X1586"/>
  <c r="L1073"/>
  <c r="J1074"/>
  <c r="K1074" s="1"/>
  <c r="Y1586" l="1"/>
  <c r="I1586" s="1"/>
  <c r="U1588"/>
  <c r="W1587"/>
  <c r="X1587"/>
  <c r="L1074"/>
  <c r="J1075"/>
  <c r="K1075" s="1"/>
  <c r="Y1587" l="1"/>
  <c r="I1587" s="1"/>
  <c r="U1589"/>
  <c r="W1588"/>
  <c r="X1588"/>
  <c r="L1075"/>
  <c r="J1076"/>
  <c r="K1076" s="1"/>
  <c r="Y1588" l="1"/>
  <c r="I1588" s="1"/>
  <c r="U1590"/>
  <c r="W1589"/>
  <c r="X1589"/>
  <c r="L1076"/>
  <c r="J1077"/>
  <c r="K1077" s="1"/>
  <c r="Y1589" l="1"/>
  <c r="I1589" s="1"/>
  <c r="U1591"/>
  <c r="W1590"/>
  <c r="X1590"/>
  <c r="L1077"/>
  <c r="J1078"/>
  <c r="K1078" s="1"/>
  <c r="Y1590" l="1"/>
  <c r="I1590" s="1"/>
  <c r="U1592"/>
  <c r="W1591"/>
  <c r="X1591"/>
  <c r="L1078"/>
  <c r="J1079"/>
  <c r="K1079" s="1"/>
  <c r="Y1591" l="1"/>
  <c r="I1591" s="1"/>
  <c r="U1593"/>
  <c r="W1592"/>
  <c r="X1592"/>
  <c r="L1079"/>
  <c r="J1080"/>
  <c r="K1080" s="1"/>
  <c r="Y1592" l="1"/>
  <c r="I1592" s="1"/>
  <c r="U1594"/>
  <c r="W1593"/>
  <c r="X1593"/>
  <c r="L1080"/>
  <c r="J1081"/>
  <c r="K1081" s="1"/>
  <c r="Y1593" l="1"/>
  <c r="I1593" s="1"/>
  <c r="U1595"/>
  <c r="W1594"/>
  <c r="X1594"/>
  <c r="L1081"/>
  <c r="J1082"/>
  <c r="K1082" s="1"/>
  <c r="Y1594" l="1"/>
  <c r="I1594" s="1"/>
  <c r="U1596"/>
  <c r="W1595"/>
  <c r="X1595"/>
  <c r="L1082"/>
  <c r="J1083"/>
  <c r="K1083" s="1"/>
  <c r="Y1595" l="1"/>
  <c r="I1595" s="1"/>
  <c r="U1597"/>
  <c r="W1596"/>
  <c r="X1596"/>
  <c r="L1083"/>
  <c r="J1084"/>
  <c r="K1084" s="1"/>
  <c r="Y1596" l="1"/>
  <c r="I1596" s="1"/>
  <c r="U1598"/>
  <c r="W1597"/>
  <c r="X1597"/>
  <c r="L1084"/>
  <c r="J1085"/>
  <c r="K1085" s="1"/>
  <c r="Y1597" l="1"/>
  <c r="I1597" s="1"/>
  <c r="U1599"/>
  <c r="W1598"/>
  <c r="X1598"/>
  <c r="L1085"/>
  <c r="J1086"/>
  <c r="K1086" s="1"/>
  <c r="Y1598" l="1"/>
  <c r="I1598" s="1"/>
  <c r="U1600"/>
  <c r="W1599"/>
  <c r="X1599"/>
  <c r="L1086"/>
  <c r="J1087"/>
  <c r="K1087" s="1"/>
  <c r="Y1599" l="1"/>
  <c r="I1599" s="1"/>
  <c r="U1601"/>
  <c r="W1600"/>
  <c r="X1600"/>
  <c r="L1087"/>
  <c r="J1088"/>
  <c r="K1088" s="1"/>
  <c r="Y1600" l="1"/>
  <c r="I1600" s="1"/>
  <c r="U1602"/>
  <c r="W1601"/>
  <c r="X1601"/>
  <c r="L1088"/>
  <c r="J1089"/>
  <c r="K1089" s="1"/>
  <c r="Y1601" l="1"/>
  <c r="I1601" s="1"/>
  <c r="U1603"/>
  <c r="W1602"/>
  <c r="X1602"/>
  <c r="L1089"/>
  <c r="J1090"/>
  <c r="K1090" s="1"/>
  <c r="Y1602" l="1"/>
  <c r="I1602" s="1"/>
  <c r="U1604"/>
  <c r="W1603"/>
  <c r="X1603"/>
  <c r="L1090"/>
  <c r="J1091"/>
  <c r="K1091" s="1"/>
  <c r="Y1603" l="1"/>
  <c r="I1603" s="1"/>
  <c r="U1605"/>
  <c r="W1604"/>
  <c r="X1604"/>
  <c r="L1091"/>
  <c r="J1092"/>
  <c r="K1092" s="1"/>
  <c r="Y1604" l="1"/>
  <c r="I1604" s="1"/>
  <c r="U1606"/>
  <c r="W1605"/>
  <c r="X1605"/>
  <c r="L1092"/>
  <c r="J1093"/>
  <c r="K1093" s="1"/>
  <c r="Y1605" l="1"/>
  <c r="I1605" s="1"/>
  <c r="U1607"/>
  <c r="W1606"/>
  <c r="X1606"/>
  <c r="L1093"/>
  <c r="J1094"/>
  <c r="K1094" s="1"/>
  <c r="Y1606" l="1"/>
  <c r="I1606" s="1"/>
  <c r="U1608"/>
  <c r="W1607"/>
  <c r="X1607"/>
  <c r="L1094"/>
  <c r="J1095"/>
  <c r="K1095" s="1"/>
  <c r="Y1607" l="1"/>
  <c r="I1607" s="1"/>
  <c r="U1609"/>
  <c r="W1608"/>
  <c r="X1608"/>
  <c r="L1095"/>
  <c r="J1096"/>
  <c r="K1096" s="1"/>
  <c r="Y1608" l="1"/>
  <c r="I1608" s="1"/>
  <c r="U1610"/>
  <c r="W1609"/>
  <c r="X1609"/>
  <c r="L1096"/>
  <c r="J1097"/>
  <c r="K1097" s="1"/>
  <c r="Y1609" l="1"/>
  <c r="I1609" s="1"/>
  <c r="U1611"/>
  <c r="W1610"/>
  <c r="X1610"/>
  <c r="L1097"/>
  <c r="J1098"/>
  <c r="K1098" s="1"/>
  <c r="Y1610" l="1"/>
  <c r="I1610" s="1"/>
  <c r="U1612"/>
  <c r="W1611"/>
  <c r="X1611"/>
  <c r="L1098"/>
  <c r="J1099"/>
  <c r="K1099" s="1"/>
  <c r="Y1611" l="1"/>
  <c r="I1611" s="1"/>
  <c r="U1613"/>
  <c r="W1612"/>
  <c r="X1612"/>
  <c r="L1099"/>
  <c r="J1100"/>
  <c r="K1100" s="1"/>
  <c r="Y1612" l="1"/>
  <c r="I1612" s="1"/>
  <c r="U1614"/>
  <c r="W1613"/>
  <c r="X1613"/>
  <c r="L1100"/>
  <c r="J1101"/>
  <c r="K1101" s="1"/>
  <c r="Y1613" l="1"/>
  <c r="I1613" s="1"/>
  <c r="U1615"/>
  <c r="W1614"/>
  <c r="X1614"/>
  <c r="L1101"/>
  <c r="J1102"/>
  <c r="K1102" s="1"/>
  <c r="Y1614" l="1"/>
  <c r="I1614" s="1"/>
  <c r="U1616"/>
  <c r="W1615"/>
  <c r="X1615"/>
  <c r="L1102"/>
  <c r="J1103"/>
  <c r="K1103" s="1"/>
  <c r="Y1615" l="1"/>
  <c r="I1615" s="1"/>
  <c r="U1617"/>
  <c r="W1616"/>
  <c r="X1616"/>
  <c r="L1103"/>
  <c r="J1104"/>
  <c r="K1104" s="1"/>
  <c r="Y1616" l="1"/>
  <c r="I1616" s="1"/>
  <c r="U1618"/>
  <c r="W1617"/>
  <c r="X1617"/>
  <c r="L1104"/>
  <c r="J1105"/>
  <c r="K1105" s="1"/>
  <c r="Y1617" l="1"/>
  <c r="I1617" s="1"/>
  <c r="U1619"/>
  <c r="W1618"/>
  <c r="X1618"/>
  <c r="L1105"/>
  <c r="J1106"/>
  <c r="K1106" s="1"/>
  <c r="Y1618" l="1"/>
  <c r="I1618" s="1"/>
  <c r="U1620"/>
  <c r="W1619"/>
  <c r="X1619"/>
  <c r="L1106"/>
  <c r="J1107"/>
  <c r="K1107" s="1"/>
  <c r="Y1619" l="1"/>
  <c r="I1619" s="1"/>
  <c r="U1621"/>
  <c r="W1620"/>
  <c r="X1620"/>
  <c r="L1107"/>
  <c r="J1108"/>
  <c r="K1108" s="1"/>
  <c r="Y1620" l="1"/>
  <c r="I1620" s="1"/>
  <c r="U1622"/>
  <c r="W1621"/>
  <c r="X1621"/>
  <c r="L1108"/>
  <c r="J1109"/>
  <c r="K1109" s="1"/>
  <c r="Y1621" l="1"/>
  <c r="I1621" s="1"/>
  <c r="U1623"/>
  <c r="W1622"/>
  <c r="X1622"/>
  <c r="L1109"/>
  <c r="J1110"/>
  <c r="K1110" s="1"/>
  <c r="Y1622" l="1"/>
  <c r="I1622" s="1"/>
  <c r="U1624"/>
  <c r="W1623"/>
  <c r="X1623"/>
  <c r="L1110"/>
  <c r="J1111"/>
  <c r="K1111" s="1"/>
  <c r="Y1623" l="1"/>
  <c r="I1623" s="1"/>
  <c r="U1625"/>
  <c r="W1624"/>
  <c r="X1624"/>
  <c r="L1111"/>
  <c r="J1112"/>
  <c r="K1112" s="1"/>
  <c r="Y1624" l="1"/>
  <c r="I1624" s="1"/>
  <c r="U1626"/>
  <c r="W1625"/>
  <c r="X1625"/>
  <c r="L1112"/>
  <c r="J1113"/>
  <c r="K1113" s="1"/>
  <c r="Y1625" l="1"/>
  <c r="I1625" s="1"/>
  <c r="U1627"/>
  <c r="W1626"/>
  <c r="X1626"/>
  <c r="L1113"/>
  <c r="J1114"/>
  <c r="K1114" s="1"/>
  <c r="Y1626" l="1"/>
  <c r="I1626" s="1"/>
  <c r="U1628"/>
  <c r="W1627"/>
  <c r="X1627"/>
  <c r="L1114"/>
  <c r="J1115"/>
  <c r="K1115" s="1"/>
  <c r="Y1627" l="1"/>
  <c r="I1627" s="1"/>
  <c r="U1629"/>
  <c r="W1628"/>
  <c r="X1628"/>
  <c r="L1115"/>
  <c r="J1116"/>
  <c r="K1116" s="1"/>
  <c r="Y1628" l="1"/>
  <c r="I1628" s="1"/>
  <c r="U1630"/>
  <c r="W1629"/>
  <c r="X1629"/>
  <c r="L1116"/>
  <c r="J1117"/>
  <c r="K1117" s="1"/>
  <c r="Y1629" l="1"/>
  <c r="I1629" s="1"/>
  <c r="U1631"/>
  <c r="W1630"/>
  <c r="X1630"/>
  <c r="L1117"/>
  <c r="J1118"/>
  <c r="K1118" s="1"/>
  <c r="Y1630" l="1"/>
  <c r="I1630" s="1"/>
  <c r="U1632"/>
  <c r="W1631"/>
  <c r="X1631"/>
  <c r="L1118"/>
  <c r="J1119"/>
  <c r="K1119" s="1"/>
  <c r="Y1631" l="1"/>
  <c r="I1631" s="1"/>
  <c r="U1633"/>
  <c r="W1632"/>
  <c r="X1632"/>
  <c r="L1119"/>
  <c r="J1120"/>
  <c r="K1120" s="1"/>
  <c r="Y1632" l="1"/>
  <c r="I1632" s="1"/>
  <c r="U1634"/>
  <c r="W1633"/>
  <c r="X1633"/>
  <c r="L1120"/>
  <c r="J1121"/>
  <c r="K1121" s="1"/>
  <c r="Y1633" l="1"/>
  <c r="I1633" s="1"/>
  <c r="U1635"/>
  <c r="W1634"/>
  <c r="X1634"/>
  <c r="L1121"/>
  <c r="J1122"/>
  <c r="K1122" s="1"/>
  <c r="Y1634" l="1"/>
  <c r="I1634" s="1"/>
  <c r="U1636"/>
  <c r="W1635"/>
  <c r="X1635"/>
  <c r="L1122"/>
  <c r="J1123"/>
  <c r="K1123" s="1"/>
  <c r="Y1635" l="1"/>
  <c r="I1635" s="1"/>
  <c r="U1637"/>
  <c r="W1636"/>
  <c r="X1636"/>
  <c r="L1123"/>
  <c r="J1124"/>
  <c r="K1124" s="1"/>
  <c r="Y1636" l="1"/>
  <c r="I1636" s="1"/>
  <c r="U1638"/>
  <c r="W1637"/>
  <c r="X1637"/>
  <c r="L1124"/>
  <c r="J1125"/>
  <c r="K1125" s="1"/>
  <c r="Y1637" l="1"/>
  <c r="I1637" s="1"/>
  <c r="U1639"/>
  <c r="W1638"/>
  <c r="X1638"/>
  <c r="L1125"/>
  <c r="J1126"/>
  <c r="K1126" s="1"/>
  <c r="Y1638" l="1"/>
  <c r="I1638" s="1"/>
  <c r="U1640"/>
  <c r="W1639"/>
  <c r="X1639"/>
  <c r="L1126"/>
  <c r="J1127"/>
  <c r="K1127" s="1"/>
  <c r="Y1639" l="1"/>
  <c r="I1639" s="1"/>
  <c r="U1641"/>
  <c r="W1640"/>
  <c r="X1640"/>
  <c r="L1127"/>
  <c r="J1128"/>
  <c r="K1128" s="1"/>
  <c r="Y1640" l="1"/>
  <c r="I1640" s="1"/>
  <c r="U1642"/>
  <c r="W1641"/>
  <c r="X1641"/>
  <c r="L1128"/>
  <c r="J1129"/>
  <c r="K1129" s="1"/>
  <c r="Y1641" l="1"/>
  <c r="I1641"/>
  <c r="U1643"/>
  <c r="W1642"/>
  <c r="X1642"/>
  <c r="L1129"/>
  <c r="J1130"/>
  <c r="K1130" s="1"/>
  <c r="Y1642" l="1"/>
  <c r="I1642" s="1"/>
  <c r="U1644"/>
  <c r="W1643"/>
  <c r="X1643"/>
  <c r="L1130"/>
  <c r="J1131"/>
  <c r="K1131" s="1"/>
  <c r="Y1643" l="1"/>
  <c r="I1643" s="1"/>
  <c r="U1645"/>
  <c r="W1644"/>
  <c r="X1644"/>
  <c r="L1131"/>
  <c r="J1132"/>
  <c r="K1132" s="1"/>
  <c r="Y1644" l="1"/>
  <c r="I1644" s="1"/>
  <c r="U1646"/>
  <c r="W1645"/>
  <c r="X1645"/>
  <c r="L1132"/>
  <c r="J1133"/>
  <c r="K1133" s="1"/>
  <c r="Y1645" l="1"/>
  <c r="I1645" s="1"/>
  <c r="U1647"/>
  <c r="W1646"/>
  <c r="X1646"/>
  <c r="L1133"/>
  <c r="J1134"/>
  <c r="K1134" s="1"/>
  <c r="Y1646" l="1"/>
  <c r="I1646" s="1"/>
  <c r="U1648"/>
  <c r="W1647"/>
  <c r="X1647"/>
  <c r="L1134"/>
  <c r="J1135"/>
  <c r="K1135" s="1"/>
  <c r="Y1647" l="1"/>
  <c r="I1647" s="1"/>
  <c r="U1649"/>
  <c r="W1648"/>
  <c r="X1648"/>
  <c r="L1135"/>
  <c r="J1136"/>
  <c r="K1136" s="1"/>
  <c r="Y1648" l="1"/>
  <c r="I1648" s="1"/>
  <c r="U1650"/>
  <c r="W1649"/>
  <c r="X1649"/>
  <c r="L1136"/>
  <c r="J1137"/>
  <c r="K1137" s="1"/>
  <c r="Y1649" l="1"/>
  <c r="I1649" s="1"/>
  <c r="U1651"/>
  <c r="W1650"/>
  <c r="X1650"/>
  <c r="L1137"/>
  <c r="J1138"/>
  <c r="K1138" s="1"/>
  <c r="Y1650" l="1"/>
  <c r="I1650" s="1"/>
  <c r="U1652"/>
  <c r="W1651"/>
  <c r="X1651"/>
  <c r="L1138"/>
  <c r="J1139"/>
  <c r="K1139" s="1"/>
  <c r="Y1651" l="1"/>
  <c r="I1651" s="1"/>
  <c r="U1653"/>
  <c r="W1652"/>
  <c r="X1652"/>
  <c r="L1139"/>
  <c r="J1140"/>
  <c r="K1140" s="1"/>
  <c r="Y1652" l="1"/>
  <c r="I1652" s="1"/>
  <c r="U1654"/>
  <c r="W1653"/>
  <c r="X1653"/>
  <c r="L1140"/>
  <c r="J1141"/>
  <c r="K1141" s="1"/>
  <c r="Y1653" l="1"/>
  <c r="I1653" s="1"/>
  <c r="U1655"/>
  <c r="W1654"/>
  <c r="X1654"/>
  <c r="L1141"/>
  <c r="J1142"/>
  <c r="K1142" s="1"/>
  <c r="Y1654" l="1"/>
  <c r="I1654" s="1"/>
  <c r="U1656"/>
  <c r="W1655"/>
  <c r="X1655"/>
  <c r="L1142"/>
  <c r="J1143"/>
  <c r="K1143" s="1"/>
  <c r="Y1655" l="1"/>
  <c r="I1655" s="1"/>
  <c r="U1657"/>
  <c r="W1656"/>
  <c r="X1656"/>
  <c r="L1143"/>
  <c r="J1144"/>
  <c r="K1144" s="1"/>
  <c r="Y1656" l="1"/>
  <c r="I1656" s="1"/>
  <c r="U1658"/>
  <c r="W1657"/>
  <c r="X1657"/>
  <c r="L1144"/>
  <c r="J1145"/>
  <c r="K1145" s="1"/>
  <c r="Y1657" l="1"/>
  <c r="I1657" s="1"/>
  <c r="U1659"/>
  <c r="W1658"/>
  <c r="X1658"/>
  <c r="L1145"/>
  <c r="J1146"/>
  <c r="K1146" s="1"/>
  <c r="Y1658" l="1"/>
  <c r="I1658" s="1"/>
  <c r="U1660"/>
  <c r="W1659"/>
  <c r="X1659"/>
  <c r="L1146"/>
  <c r="J1147"/>
  <c r="K1147" s="1"/>
  <c r="Y1659" l="1"/>
  <c r="I1659" s="1"/>
  <c r="U1661"/>
  <c r="W1660"/>
  <c r="X1660"/>
  <c r="L1147"/>
  <c r="J1148"/>
  <c r="K1148" s="1"/>
  <c r="Y1660" l="1"/>
  <c r="I1660" s="1"/>
  <c r="U1662"/>
  <c r="W1661"/>
  <c r="X1661"/>
  <c r="L1148"/>
  <c r="J1149"/>
  <c r="K1149" s="1"/>
  <c r="Y1661" l="1"/>
  <c r="I1661" s="1"/>
  <c r="U1663"/>
  <c r="W1662"/>
  <c r="X1662"/>
  <c r="L1149"/>
  <c r="J1150"/>
  <c r="K1150" s="1"/>
  <c r="Y1662" l="1"/>
  <c r="I1662" s="1"/>
  <c r="U1664"/>
  <c r="W1663"/>
  <c r="X1663"/>
  <c r="L1150"/>
  <c r="J1151"/>
  <c r="K1151" s="1"/>
  <c r="Y1663" l="1"/>
  <c r="I1663" s="1"/>
  <c r="U1665"/>
  <c r="W1664"/>
  <c r="X1664"/>
  <c r="L1151"/>
  <c r="J1152"/>
  <c r="K1152" s="1"/>
  <c r="Y1664" l="1"/>
  <c r="I1664" s="1"/>
  <c r="U1666"/>
  <c r="W1665"/>
  <c r="X1665"/>
  <c r="L1152"/>
  <c r="J1153"/>
  <c r="K1153" s="1"/>
  <c r="Y1665" l="1"/>
  <c r="I1665" s="1"/>
  <c r="U1667"/>
  <c r="W1666"/>
  <c r="X1666"/>
  <c r="L1153"/>
  <c r="J1154"/>
  <c r="K1154" s="1"/>
  <c r="Y1666" l="1"/>
  <c r="I1666" s="1"/>
  <c r="U1668"/>
  <c r="W1667"/>
  <c r="X1667"/>
  <c r="L1154"/>
  <c r="J1155"/>
  <c r="K1155" s="1"/>
  <c r="Y1667" l="1"/>
  <c r="I1667" s="1"/>
  <c r="U1669"/>
  <c r="W1668"/>
  <c r="X1668"/>
  <c r="L1155"/>
  <c r="J1156"/>
  <c r="K1156" s="1"/>
  <c r="Y1668" l="1"/>
  <c r="I1668" s="1"/>
  <c r="U1670"/>
  <c r="W1669"/>
  <c r="X1669"/>
  <c r="L1156"/>
  <c r="J1157"/>
  <c r="K1157" s="1"/>
  <c r="Y1669" l="1"/>
  <c r="I1669" s="1"/>
  <c r="U1671"/>
  <c r="W1670"/>
  <c r="X1670"/>
  <c r="L1157"/>
  <c r="J1158"/>
  <c r="K1158" s="1"/>
  <c r="Y1670" l="1"/>
  <c r="I1670" s="1"/>
  <c r="U1672"/>
  <c r="W1671"/>
  <c r="X1671"/>
  <c r="L1158"/>
  <c r="J1159"/>
  <c r="K1159" s="1"/>
  <c r="Y1671" l="1"/>
  <c r="I1671" s="1"/>
  <c r="U1673"/>
  <c r="W1672"/>
  <c r="X1672"/>
  <c r="L1159"/>
  <c r="J1160"/>
  <c r="K1160" s="1"/>
  <c r="Y1672" l="1"/>
  <c r="I1672" s="1"/>
  <c r="U1674"/>
  <c r="W1673"/>
  <c r="X1673"/>
  <c r="L1160"/>
  <c r="J1161"/>
  <c r="K1161" s="1"/>
  <c r="Y1673" l="1"/>
  <c r="I1673" s="1"/>
  <c r="U1675"/>
  <c r="W1674"/>
  <c r="X1674"/>
  <c r="L1161"/>
  <c r="J1162"/>
  <c r="K1162" s="1"/>
  <c r="Y1674" l="1"/>
  <c r="I1674" s="1"/>
  <c r="U1676"/>
  <c r="W1675"/>
  <c r="X1675"/>
  <c r="L1162"/>
  <c r="J1163"/>
  <c r="K1163" s="1"/>
  <c r="Y1675" l="1"/>
  <c r="I1675" s="1"/>
  <c r="U1677"/>
  <c r="W1676"/>
  <c r="X1676"/>
  <c r="L1163"/>
  <c r="J1164"/>
  <c r="K1164" s="1"/>
  <c r="Y1676" l="1"/>
  <c r="I1676" s="1"/>
  <c r="U1678"/>
  <c r="W1677"/>
  <c r="X1677"/>
  <c r="L1164"/>
  <c r="J1165"/>
  <c r="K1165" s="1"/>
  <c r="Y1677" l="1"/>
  <c r="I1677" s="1"/>
  <c r="U1679"/>
  <c r="W1678"/>
  <c r="X1678"/>
  <c r="L1165"/>
  <c r="J1166"/>
  <c r="K1166" s="1"/>
  <c r="Y1678" l="1"/>
  <c r="I1678" s="1"/>
  <c r="U1680"/>
  <c r="W1679"/>
  <c r="X1679"/>
  <c r="L1166"/>
  <c r="J1167"/>
  <c r="K1167" s="1"/>
  <c r="Y1679" l="1"/>
  <c r="I1679" s="1"/>
  <c r="U1681"/>
  <c r="W1680"/>
  <c r="X1680"/>
  <c r="L1167"/>
  <c r="J1168"/>
  <c r="K1168" s="1"/>
  <c r="Y1680" l="1"/>
  <c r="I1680" s="1"/>
  <c r="U1682"/>
  <c r="W1681"/>
  <c r="X1681"/>
  <c r="L1168"/>
  <c r="J1169"/>
  <c r="K1169" s="1"/>
  <c r="Y1681" l="1"/>
  <c r="I1681" s="1"/>
  <c r="W1682"/>
  <c r="X1682"/>
  <c r="L1169"/>
  <c r="J1170"/>
  <c r="K1170" s="1"/>
  <c r="Y1682" l="1"/>
  <c r="I1682"/>
  <c r="L1170"/>
  <c r="J1171"/>
  <c r="K1171" s="1"/>
  <c r="L1171" l="1"/>
  <c r="J1172"/>
  <c r="K1172" s="1"/>
  <c r="L1172" l="1"/>
  <c r="J1173"/>
  <c r="K1173" s="1"/>
  <c r="L1173" l="1"/>
  <c r="J1174"/>
  <c r="K1174" s="1"/>
  <c r="L1174" l="1"/>
  <c r="J1175"/>
  <c r="K1175" s="1"/>
  <c r="L1175" l="1"/>
  <c r="J1176"/>
  <c r="K1176" s="1"/>
  <c r="L1176" l="1"/>
  <c r="J1177"/>
  <c r="K1177" s="1"/>
  <c r="L1177" l="1"/>
  <c r="J1178"/>
  <c r="K1178" s="1"/>
  <c r="L1178" l="1"/>
  <c r="J1179"/>
  <c r="K1179" s="1"/>
  <c r="L1179" l="1"/>
  <c r="J1180"/>
  <c r="K1180" s="1"/>
  <c r="L1180" l="1"/>
  <c r="J1181"/>
  <c r="K1181" s="1"/>
  <c r="L1181" l="1"/>
  <c r="J1182"/>
  <c r="K1182" s="1"/>
  <c r="L1182" l="1"/>
  <c r="J1183"/>
  <c r="K1183" s="1"/>
  <c r="L1183" l="1"/>
  <c r="J1184"/>
  <c r="K1184" s="1"/>
  <c r="L1184" l="1"/>
  <c r="J1185"/>
  <c r="K1185" s="1"/>
  <c r="L1185" l="1"/>
  <c r="J1186"/>
  <c r="K1186" s="1"/>
  <c r="L1186" l="1"/>
  <c r="J1187"/>
  <c r="K1187" s="1"/>
  <c r="L1187" l="1"/>
  <c r="J1188"/>
  <c r="K1188" s="1"/>
  <c r="L1188" l="1"/>
  <c r="J1189"/>
  <c r="K1189" s="1"/>
  <c r="L1189" l="1"/>
  <c r="J1190"/>
  <c r="K1190" s="1"/>
  <c r="L1190" l="1"/>
  <c r="J1191"/>
  <c r="K1191" s="1"/>
  <c r="L1191" l="1"/>
  <c r="J1192"/>
  <c r="K1192" s="1"/>
  <c r="L1192" l="1"/>
  <c r="J1193"/>
  <c r="K1193" s="1"/>
  <c r="L1193" l="1"/>
  <c r="J1194"/>
  <c r="K1194" s="1"/>
  <c r="L1194" l="1"/>
  <c r="J1195"/>
  <c r="K1195" s="1"/>
  <c r="L1195" l="1"/>
  <c r="J1196"/>
  <c r="K1196" s="1"/>
  <c r="L1196" l="1"/>
  <c r="J1197"/>
  <c r="K1197" s="1"/>
  <c r="L1197" l="1"/>
  <c r="J1198"/>
  <c r="K1198" s="1"/>
  <c r="L1198" l="1"/>
  <c r="J1199"/>
  <c r="K1199" s="1"/>
  <c r="L1199" l="1"/>
  <c r="J1200"/>
  <c r="K1200" s="1"/>
  <c r="L1200" l="1"/>
  <c r="J1201"/>
  <c r="K1201" s="1"/>
  <c r="L1201" l="1"/>
  <c r="J1202"/>
  <c r="K1202" s="1"/>
  <c r="L1202" l="1"/>
  <c r="J1203"/>
  <c r="K1203" s="1"/>
  <c r="L1203" l="1"/>
  <c r="J1204"/>
  <c r="K1204" s="1"/>
  <c r="L1204" l="1"/>
  <c r="J1205"/>
  <c r="K1205" s="1"/>
  <c r="L1205" l="1"/>
  <c r="J1206"/>
  <c r="K1206" s="1"/>
  <c r="L1206" l="1"/>
  <c r="J1207"/>
  <c r="K1207" s="1"/>
  <c r="L1207" l="1"/>
  <c r="J1208"/>
  <c r="K1208" s="1"/>
  <c r="L1208" l="1"/>
  <c r="J1209"/>
  <c r="K1209" s="1"/>
  <c r="L1209" l="1"/>
  <c r="J1210"/>
  <c r="K1210" s="1"/>
  <c r="L1210" l="1"/>
  <c r="J1211"/>
  <c r="K1211" s="1"/>
  <c r="L1211" l="1"/>
  <c r="J1212"/>
  <c r="K1212" s="1"/>
  <c r="L1212" l="1"/>
  <c r="J1213"/>
  <c r="K1213" s="1"/>
  <c r="L1213" l="1"/>
  <c r="J1214"/>
  <c r="K1214" s="1"/>
  <c r="L1214" l="1"/>
  <c r="J1215"/>
  <c r="K1215" s="1"/>
  <c r="L1215" l="1"/>
  <c r="J1216"/>
  <c r="K1216" s="1"/>
  <c r="L1216" l="1"/>
  <c r="J1217"/>
  <c r="K1217" s="1"/>
  <c r="L1217" l="1"/>
  <c r="J1218"/>
  <c r="K1218" s="1"/>
  <c r="L1218" l="1"/>
  <c r="J1219"/>
  <c r="K1219" s="1"/>
  <c r="L1219" l="1"/>
  <c r="J1220"/>
  <c r="K1220" s="1"/>
  <c r="L1220" l="1"/>
  <c r="J1221"/>
  <c r="K1221" s="1"/>
  <c r="L1221" l="1"/>
  <c r="J1222"/>
  <c r="K1222" s="1"/>
  <c r="L1222" l="1"/>
  <c r="J1223"/>
  <c r="K1223" s="1"/>
  <c r="L1223" l="1"/>
  <c r="J1224"/>
  <c r="K1224" s="1"/>
  <c r="L1224" l="1"/>
  <c r="J1225"/>
  <c r="K1225" s="1"/>
  <c r="L1225" l="1"/>
  <c r="J1226"/>
  <c r="K1226" s="1"/>
  <c r="L1226" l="1"/>
  <c r="J1227"/>
  <c r="K1227" s="1"/>
  <c r="L1227" l="1"/>
  <c r="J1228"/>
  <c r="K1228" s="1"/>
  <c r="L1228" l="1"/>
  <c r="J1229"/>
  <c r="K1229" s="1"/>
  <c r="L1229" l="1"/>
  <c r="J1230"/>
  <c r="K1230" s="1"/>
  <c r="L1230" l="1"/>
  <c r="J1231"/>
  <c r="K1231" s="1"/>
  <c r="L1231" l="1"/>
  <c r="J1232"/>
  <c r="K1232" s="1"/>
  <c r="L1232" l="1"/>
  <c r="J1233"/>
  <c r="K1233" s="1"/>
  <c r="L1233" l="1"/>
  <c r="J1234"/>
  <c r="K1234" s="1"/>
  <c r="L1234" l="1"/>
  <c r="J1235"/>
  <c r="K1235" s="1"/>
  <c r="L1235" l="1"/>
  <c r="J1236"/>
  <c r="K1236" s="1"/>
  <c r="L1236" l="1"/>
  <c r="J1237"/>
  <c r="K1237" s="1"/>
  <c r="L1237" l="1"/>
  <c r="J1238"/>
  <c r="K1238" s="1"/>
  <c r="L1238" l="1"/>
  <c r="J1239"/>
  <c r="K1239" s="1"/>
  <c r="L1239" l="1"/>
  <c r="J1240"/>
  <c r="K1240" s="1"/>
  <c r="L1240" l="1"/>
  <c r="J1241"/>
  <c r="K1241" s="1"/>
  <c r="L1241" l="1"/>
  <c r="J1242"/>
  <c r="K1242" s="1"/>
  <c r="L1242" l="1"/>
  <c r="J1243"/>
  <c r="K1243" s="1"/>
  <c r="L1243" l="1"/>
  <c r="J1244"/>
  <c r="K1244" s="1"/>
  <c r="L1244" l="1"/>
  <c r="J1245"/>
  <c r="K1245" s="1"/>
  <c r="L1245" l="1"/>
  <c r="J1246"/>
  <c r="K1246" s="1"/>
  <c r="L1246" l="1"/>
  <c r="J1247"/>
  <c r="K1247" s="1"/>
  <c r="L1247" l="1"/>
  <c r="J1248"/>
  <c r="K1248" s="1"/>
  <c r="L1248" l="1"/>
  <c r="J1249"/>
  <c r="K1249" s="1"/>
  <c r="L1249" l="1"/>
  <c r="J1250"/>
  <c r="K1250" s="1"/>
  <c r="L1250" l="1"/>
  <c r="J1251"/>
  <c r="K1251" s="1"/>
  <c r="L1251" l="1"/>
  <c r="J1252"/>
  <c r="K1252" s="1"/>
  <c r="L1252" l="1"/>
  <c r="J1253"/>
  <c r="K1253" s="1"/>
  <c r="L1253" l="1"/>
  <c r="J1254"/>
  <c r="K1254" s="1"/>
  <c r="L1254" l="1"/>
  <c r="J1255"/>
  <c r="K1255" s="1"/>
  <c r="L1255" l="1"/>
  <c r="J1256"/>
  <c r="K1256" s="1"/>
  <c r="L1256" l="1"/>
  <c r="J1257"/>
  <c r="K1257" s="1"/>
  <c r="L1257" l="1"/>
  <c r="J1258"/>
  <c r="K1258" s="1"/>
  <c r="L1258" l="1"/>
  <c r="J1259"/>
  <c r="K1259" s="1"/>
  <c r="L1259" l="1"/>
  <c r="J1260"/>
  <c r="K1260" s="1"/>
  <c r="L1260" l="1"/>
  <c r="J1261"/>
  <c r="K1261" s="1"/>
  <c r="L1261" l="1"/>
  <c r="J1262"/>
  <c r="K1262" s="1"/>
  <c r="L1262" l="1"/>
  <c r="J1263"/>
  <c r="K1263" s="1"/>
  <c r="L1263" l="1"/>
  <c r="J1264"/>
  <c r="K1264" s="1"/>
  <c r="L1264" l="1"/>
  <c r="J1265"/>
  <c r="K1265" s="1"/>
  <c r="L1265" l="1"/>
  <c r="J1266"/>
  <c r="K1266" s="1"/>
  <c r="L1266" l="1"/>
  <c r="J1267"/>
  <c r="K1267" s="1"/>
  <c r="L1267" l="1"/>
  <c r="J1268"/>
  <c r="K1268" s="1"/>
  <c r="L1268" l="1"/>
  <c r="J1269"/>
  <c r="K1269" s="1"/>
  <c r="L1269" l="1"/>
  <c r="J1270"/>
  <c r="K1270" s="1"/>
  <c r="L1270" l="1"/>
  <c r="J1271"/>
  <c r="K1271" s="1"/>
  <c r="L1271" l="1"/>
  <c r="J1272"/>
  <c r="K1272" s="1"/>
  <c r="L1272" l="1"/>
  <c r="J1273"/>
  <c r="K1273" s="1"/>
  <c r="L1273" l="1"/>
  <c r="J1274"/>
  <c r="K1274" s="1"/>
  <c r="L1274" l="1"/>
  <c r="J1275"/>
  <c r="K1275" s="1"/>
  <c r="L1275" l="1"/>
  <c r="J1276"/>
  <c r="K1276" s="1"/>
  <c r="L1276" l="1"/>
  <c r="J1277"/>
  <c r="K1277" s="1"/>
  <c r="L1277" l="1"/>
  <c r="J1278"/>
  <c r="K1278" s="1"/>
  <c r="L1278" l="1"/>
  <c r="J1279"/>
  <c r="K1279" s="1"/>
  <c r="L1279" l="1"/>
  <c r="J1280"/>
  <c r="K1280" s="1"/>
  <c r="L1280" l="1"/>
  <c r="J1281"/>
  <c r="K1281" s="1"/>
  <c r="L1281" l="1"/>
  <c r="J1282"/>
  <c r="K1282" s="1"/>
  <c r="L1282" l="1"/>
  <c r="J1283"/>
  <c r="K1283" s="1"/>
  <c r="L1283" l="1"/>
  <c r="J1284"/>
  <c r="K1284" s="1"/>
  <c r="L1284" l="1"/>
  <c r="J1285"/>
  <c r="K1285" s="1"/>
  <c r="L1285" l="1"/>
  <c r="J1286"/>
  <c r="K1286" s="1"/>
  <c r="L1286" l="1"/>
  <c r="J1287"/>
  <c r="K1287" s="1"/>
  <c r="L1287" l="1"/>
  <c r="J1288"/>
  <c r="K1288" s="1"/>
  <c r="L1288" l="1"/>
  <c r="J1289"/>
  <c r="K1289" s="1"/>
  <c r="L1289" l="1"/>
  <c r="J1290"/>
  <c r="K1290" s="1"/>
  <c r="L1290" l="1"/>
  <c r="J1291"/>
  <c r="K1291" s="1"/>
  <c r="L1291" l="1"/>
  <c r="J1292"/>
  <c r="K1292" s="1"/>
  <c r="L1292" l="1"/>
  <c r="J1293"/>
  <c r="K1293" s="1"/>
  <c r="L1293" l="1"/>
  <c r="J1294"/>
  <c r="K1294" s="1"/>
  <c r="L1294" l="1"/>
  <c r="J1295"/>
  <c r="K1295" s="1"/>
  <c r="L1295" l="1"/>
  <c r="J1296"/>
  <c r="K1296" s="1"/>
  <c r="L1296" l="1"/>
  <c r="J1297"/>
  <c r="K1297" s="1"/>
  <c r="L1297" l="1"/>
  <c r="J1298"/>
  <c r="K1298" s="1"/>
  <c r="L1298" l="1"/>
  <c r="J1299"/>
  <c r="K1299" s="1"/>
  <c r="L1299" l="1"/>
  <c r="J1300"/>
  <c r="K1300" s="1"/>
  <c r="L1300" l="1"/>
  <c r="J1301"/>
  <c r="K1301" s="1"/>
  <c r="L1301" l="1"/>
  <c r="J1302"/>
  <c r="K1302" s="1"/>
  <c r="L1302" l="1"/>
  <c r="J1303"/>
  <c r="K1303" s="1"/>
  <c r="L1303" l="1"/>
  <c r="J1304"/>
  <c r="K1304" s="1"/>
  <c r="L1304" l="1"/>
  <c r="J1305"/>
  <c r="K1305" s="1"/>
  <c r="L1305" l="1"/>
  <c r="J1306"/>
  <c r="K1306" s="1"/>
  <c r="L1306" l="1"/>
  <c r="J1307"/>
  <c r="K1307" s="1"/>
  <c r="L1307" l="1"/>
  <c r="J1308"/>
  <c r="K1308" s="1"/>
  <c r="L1308" l="1"/>
  <c r="J1309"/>
  <c r="K1309" s="1"/>
  <c r="L1309" l="1"/>
  <c r="J1310"/>
  <c r="K1310" s="1"/>
  <c r="L1310" l="1"/>
  <c r="J1311"/>
  <c r="K1311" s="1"/>
  <c r="L1311" l="1"/>
  <c r="J1312"/>
  <c r="K1312" s="1"/>
  <c r="L1312" l="1"/>
  <c r="J1313"/>
  <c r="K1313" s="1"/>
  <c r="L1313" l="1"/>
  <c r="J1314"/>
  <c r="K1314" s="1"/>
  <c r="L1314" l="1"/>
  <c r="J1315"/>
  <c r="K1315" s="1"/>
  <c r="L1315" l="1"/>
  <c r="J1316"/>
  <c r="J1317" l="1"/>
  <c r="K1317" s="1"/>
  <c r="K1316"/>
  <c r="L1316" s="1"/>
  <c r="L1317" l="1"/>
  <c r="J1318"/>
  <c r="J1319" l="1"/>
  <c r="K1318"/>
  <c r="L1318" s="1"/>
  <c r="J1320" l="1"/>
  <c r="K1320" s="1"/>
  <c r="K1319"/>
  <c r="L1319" s="1"/>
  <c r="L1320" l="1"/>
  <c r="J1321"/>
  <c r="K1321" s="1"/>
  <c r="L1321" l="1"/>
  <c r="J1322"/>
  <c r="K1322" s="1"/>
  <c r="L1322" l="1"/>
  <c r="J1323"/>
  <c r="K1323" s="1"/>
  <c r="L1323" l="1"/>
  <c r="J1324"/>
  <c r="K1324" s="1"/>
  <c r="L1324" l="1"/>
  <c r="J1325"/>
  <c r="K1325" s="1"/>
  <c r="L1325" l="1"/>
  <c r="J1326"/>
  <c r="K1326" s="1"/>
  <c r="L1326" l="1"/>
  <c r="J1327"/>
  <c r="K1327" s="1"/>
  <c r="L1327" l="1"/>
  <c r="J1328"/>
  <c r="K1328" s="1"/>
  <c r="L1328" l="1"/>
  <c r="J1329"/>
  <c r="K1329" s="1"/>
  <c r="L1329" l="1"/>
  <c r="J1330"/>
  <c r="K1330" s="1"/>
  <c r="L1330" l="1"/>
  <c r="J1331"/>
  <c r="K1331" s="1"/>
  <c r="L1331" l="1"/>
  <c r="J1332"/>
  <c r="K1332" s="1"/>
  <c r="L1332" l="1"/>
  <c r="J1333"/>
  <c r="K1333" s="1"/>
  <c r="L1333" l="1"/>
  <c r="J1334"/>
  <c r="K1334" s="1"/>
  <c r="L1334" l="1"/>
  <c r="J1335"/>
  <c r="K1335" s="1"/>
  <c r="L1335" l="1"/>
  <c r="J1336"/>
  <c r="K1336" s="1"/>
  <c r="L1336" l="1"/>
  <c r="J1337"/>
  <c r="K1337" s="1"/>
  <c r="L1337" l="1"/>
  <c r="J1338"/>
  <c r="K1338" s="1"/>
  <c r="L1338" l="1"/>
  <c r="J1339"/>
  <c r="K1339" s="1"/>
  <c r="L1339" l="1"/>
  <c r="J1340"/>
  <c r="K1340" s="1"/>
  <c r="L1340" l="1"/>
  <c r="J1341"/>
  <c r="K1341" s="1"/>
  <c r="L1341" l="1"/>
  <c r="J1342"/>
  <c r="K1342" s="1"/>
  <c r="L1342" l="1"/>
  <c r="J1343"/>
  <c r="K1343" s="1"/>
  <c r="L1343" l="1"/>
  <c r="J1344"/>
  <c r="K1344" s="1"/>
  <c r="L1344" l="1"/>
  <c r="J1345"/>
  <c r="K1345" s="1"/>
  <c r="L1345" l="1"/>
  <c r="J1346"/>
  <c r="K1346" s="1"/>
  <c r="L1346" l="1"/>
  <c r="J1347"/>
  <c r="K1347" s="1"/>
  <c r="L1347" l="1"/>
  <c r="J1348"/>
  <c r="K1348" s="1"/>
  <c r="L1348" l="1"/>
  <c r="J1349"/>
  <c r="K1349" s="1"/>
  <c r="L1349" l="1"/>
  <c r="J1350"/>
  <c r="K1350" s="1"/>
  <c r="L1350" l="1"/>
  <c r="J1351"/>
  <c r="K1351" s="1"/>
  <c r="L1351" l="1"/>
  <c r="J1352"/>
  <c r="K1352" s="1"/>
  <c r="L1352" l="1"/>
  <c r="J1353"/>
  <c r="K1353" s="1"/>
  <c r="L1353" l="1"/>
  <c r="J1354"/>
  <c r="K1354" s="1"/>
  <c r="L1354" l="1"/>
  <c r="J1355"/>
  <c r="K1355" s="1"/>
  <c r="L1355" l="1"/>
  <c r="J1356"/>
  <c r="K1356" s="1"/>
  <c r="L1356" l="1"/>
  <c r="J1357"/>
  <c r="K1357" s="1"/>
  <c r="L1357" l="1"/>
  <c r="J1358"/>
  <c r="K1358" s="1"/>
  <c r="L1358" l="1"/>
  <c r="J1359"/>
  <c r="K1359" s="1"/>
  <c r="L1359" l="1"/>
  <c r="J1360"/>
  <c r="K1360" s="1"/>
  <c r="L1360" l="1"/>
  <c r="J1361"/>
  <c r="K1361" s="1"/>
  <c r="L1361" l="1"/>
  <c r="J1362"/>
  <c r="K1362" s="1"/>
  <c r="L1362" l="1"/>
  <c r="J1363"/>
  <c r="K1363" s="1"/>
  <c r="L1363" l="1"/>
  <c r="J1364"/>
  <c r="K1364" s="1"/>
  <c r="L1364" l="1"/>
  <c r="J1365"/>
  <c r="K1365" s="1"/>
  <c r="L1365" l="1"/>
  <c r="J1366"/>
  <c r="K1366" s="1"/>
  <c r="L1366" l="1"/>
  <c r="J1367"/>
  <c r="K1367" s="1"/>
  <c r="L1367" l="1"/>
  <c r="J1368"/>
  <c r="K1368" s="1"/>
  <c r="L1368" l="1"/>
  <c r="J1369"/>
  <c r="K1369" s="1"/>
  <c r="L1369" l="1"/>
  <c r="J1370"/>
  <c r="K1370" s="1"/>
  <c r="L1370" l="1"/>
  <c r="J1371"/>
  <c r="K1371" s="1"/>
  <c r="L1371" l="1"/>
  <c r="J1372"/>
  <c r="K1372" s="1"/>
  <c r="L1372" l="1"/>
  <c r="J1373"/>
  <c r="K1373" s="1"/>
  <c r="L1373" l="1"/>
  <c r="J1374"/>
  <c r="K1374" s="1"/>
  <c r="L1374" l="1"/>
  <c r="J1375"/>
  <c r="K1375" s="1"/>
  <c r="L1375" l="1"/>
  <c r="J1376"/>
  <c r="K1376" s="1"/>
  <c r="L1376" l="1"/>
  <c r="J1377"/>
  <c r="K1377" s="1"/>
  <c r="L1377" l="1"/>
  <c r="J1378"/>
  <c r="K1378" s="1"/>
  <c r="L1378" l="1"/>
  <c r="J1379"/>
  <c r="K1379" s="1"/>
  <c r="L1379" l="1"/>
  <c r="J1380"/>
  <c r="K1380" s="1"/>
  <c r="L1380" l="1"/>
  <c r="J1381"/>
  <c r="K1381" s="1"/>
  <c r="L1381" l="1"/>
  <c r="J1382"/>
  <c r="K1382" s="1"/>
  <c r="L1382" l="1"/>
  <c r="J1383"/>
  <c r="K1383" s="1"/>
  <c r="L1383" l="1"/>
  <c r="J1384"/>
  <c r="K1384" s="1"/>
  <c r="L1384" l="1"/>
  <c r="J1385"/>
  <c r="K1385" s="1"/>
  <c r="L1385" l="1"/>
  <c r="J1386"/>
  <c r="K1386" s="1"/>
  <c r="L1386" l="1"/>
  <c r="J1387"/>
  <c r="K1387" s="1"/>
  <c r="L1387" l="1"/>
  <c r="J1388"/>
  <c r="K1388" s="1"/>
  <c r="L1388" l="1"/>
  <c r="J1389"/>
  <c r="K1389" s="1"/>
  <c r="L1389" l="1"/>
  <c r="J1390"/>
  <c r="K1390" s="1"/>
  <c r="L1390" l="1"/>
  <c r="J1391"/>
  <c r="K1391" s="1"/>
  <c r="L1391" l="1"/>
  <c r="J1392"/>
  <c r="K1392" s="1"/>
  <c r="L1392" l="1"/>
  <c r="J1393"/>
  <c r="K1393" s="1"/>
  <c r="L1393" l="1"/>
  <c r="J1394"/>
  <c r="K1394" s="1"/>
  <c r="L1394" l="1"/>
  <c r="J1395"/>
  <c r="K1395" s="1"/>
  <c r="L1395" l="1"/>
  <c r="J1396"/>
  <c r="K1396" s="1"/>
  <c r="L1396" l="1"/>
  <c r="J1397"/>
  <c r="K1397" s="1"/>
  <c r="L1397" l="1"/>
  <c r="J1398"/>
  <c r="K1398" s="1"/>
  <c r="L1398" l="1"/>
  <c r="J1399"/>
  <c r="K1399" s="1"/>
  <c r="L1399" l="1"/>
  <c r="J1400"/>
  <c r="K1400" s="1"/>
  <c r="L1400" l="1"/>
  <c r="J1401"/>
  <c r="K1401" s="1"/>
  <c r="L1401" l="1"/>
  <c r="J1402"/>
  <c r="K1402" s="1"/>
  <c r="L1402" l="1"/>
  <c r="J1403"/>
  <c r="K1403" s="1"/>
  <c r="L1403" l="1"/>
  <c r="J1404"/>
  <c r="K1404" s="1"/>
  <c r="L1404" l="1"/>
  <c r="J1405"/>
  <c r="K1405" s="1"/>
  <c r="L1405" l="1"/>
  <c r="J1406"/>
  <c r="K1406" s="1"/>
  <c r="L1406" l="1"/>
  <c r="J1407"/>
  <c r="J1408" l="1"/>
  <c r="K1407"/>
  <c r="L1407" s="1"/>
  <c r="J1409" l="1"/>
  <c r="K1408"/>
  <c r="L1408" s="1"/>
  <c r="J1410" l="1"/>
  <c r="K1409"/>
  <c r="L1409" s="1"/>
  <c r="J1411" l="1"/>
  <c r="K1410"/>
  <c r="L1410" s="1"/>
  <c r="J1412" l="1"/>
  <c r="K1411"/>
  <c r="L1411" s="1"/>
  <c r="J1413" l="1"/>
  <c r="K1412"/>
  <c r="L1412" s="1"/>
  <c r="J1414" l="1"/>
  <c r="K1414" s="1"/>
  <c r="K1413"/>
  <c r="L1413" s="1"/>
  <c r="L1414" l="1"/>
  <c r="J1415"/>
  <c r="K1415" s="1"/>
  <c r="L1415" l="1"/>
  <c r="J1416"/>
  <c r="K1416" s="1"/>
  <c r="L1416" l="1"/>
  <c r="J1417"/>
  <c r="K1417" s="1"/>
  <c r="L1417" l="1"/>
  <c r="J1418"/>
  <c r="K1418" s="1"/>
  <c r="L1418" l="1"/>
  <c r="J1419"/>
  <c r="K1419" s="1"/>
  <c r="L1419" l="1"/>
  <c r="J1420"/>
  <c r="K1420" s="1"/>
  <c r="L1420" l="1"/>
  <c r="J1421"/>
  <c r="K1421" s="1"/>
  <c r="L1421" l="1"/>
  <c r="J1422"/>
  <c r="K1422" s="1"/>
  <c r="L1422" l="1"/>
  <c r="J1423"/>
  <c r="K1423" s="1"/>
  <c r="L1423" l="1"/>
  <c r="J1424"/>
  <c r="K1424" s="1"/>
  <c r="L1424" l="1"/>
  <c r="J1425"/>
  <c r="K1425" s="1"/>
  <c r="L1425" l="1"/>
  <c r="J1426"/>
  <c r="K1426" s="1"/>
  <c r="L1426" l="1"/>
  <c r="J1427"/>
  <c r="K1427" s="1"/>
  <c r="L1427" l="1"/>
  <c r="J1428"/>
  <c r="K1428" s="1"/>
  <c r="L1428" l="1"/>
  <c r="J1429"/>
  <c r="K1429" s="1"/>
  <c r="L1429" l="1"/>
  <c r="J1430"/>
  <c r="K1430" s="1"/>
  <c r="L1430" l="1"/>
  <c r="J1431"/>
  <c r="K1431" s="1"/>
  <c r="L1431" l="1"/>
  <c r="J1432"/>
  <c r="K1432" s="1"/>
  <c r="L1432" l="1"/>
  <c r="J1433"/>
  <c r="K1433" s="1"/>
  <c r="L1433" l="1"/>
  <c r="J1434"/>
  <c r="K1434" s="1"/>
  <c r="L1434" l="1"/>
  <c r="J1435"/>
  <c r="K1435" s="1"/>
  <c r="L1435" l="1"/>
  <c r="J1436"/>
  <c r="K1436" s="1"/>
  <c r="L1436" l="1"/>
  <c r="J1437"/>
  <c r="K1437" s="1"/>
  <c r="L1437" l="1"/>
  <c r="J1438"/>
  <c r="K1438" s="1"/>
  <c r="L1438" l="1"/>
  <c r="J1439"/>
  <c r="K1439" s="1"/>
  <c r="L1439" l="1"/>
  <c r="J1440"/>
  <c r="K1440" s="1"/>
  <c r="L1440" l="1"/>
  <c r="J1441"/>
  <c r="K1441" s="1"/>
  <c r="L1441" l="1"/>
  <c r="J1442"/>
  <c r="K1442" s="1"/>
  <c r="L1442" l="1"/>
  <c r="J1443"/>
  <c r="K1443" s="1"/>
  <c r="L1443" l="1"/>
  <c r="J1444"/>
  <c r="K1444" s="1"/>
  <c r="L1444" l="1"/>
  <c r="J1445"/>
  <c r="K1445" s="1"/>
  <c r="L1445" l="1"/>
  <c r="J1446"/>
  <c r="K1446" s="1"/>
  <c r="L1446" l="1"/>
  <c r="J1447"/>
  <c r="K1447" s="1"/>
  <c r="L1447" l="1"/>
  <c r="J1448"/>
  <c r="K1448" s="1"/>
  <c r="L1448" l="1"/>
  <c r="J1449"/>
  <c r="K1449" s="1"/>
  <c r="L1449" l="1"/>
  <c r="J1450"/>
  <c r="K1450" s="1"/>
  <c r="L1450" l="1"/>
  <c r="J1451"/>
  <c r="K1451" s="1"/>
  <c r="L1451" l="1"/>
  <c r="J1452"/>
  <c r="K1452" s="1"/>
  <c r="L1452" l="1"/>
  <c r="J1453"/>
  <c r="K1453" s="1"/>
  <c r="L1453" l="1"/>
  <c r="J1454"/>
  <c r="K1454" s="1"/>
  <c r="L1454" l="1"/>
  <c r="J1455"/>
  <c r="K1455" s="1"/>
  <c r="L1455" l="1"/>
  <c r="J1456"/>
  <c r="K1456" s="1"/>
  <c r="L1456" l="1"/>
  <c r="J1457"/>
  <c r="K1457" s="1"/>
  <c r="L1457" l="1"/>
  <c r="J1458"/>
  <c r="K1458" s="1"/>
  <c r="L1458" l="1"/>
  <c r="J1459"/>
  <c r="K1459" s="1"/>
  <c r="L1459" l="1"/>
  <c r="J1460"/>
  <c r="K1460" s="1"/>
  <c r="L1460" l="1"/>
  <c r="J1461"/>
  <c r="K1461" s="1"/>
  <c r="L1461" l="1"/>
  <c r="J1462"/>
  <c r="K1462" s="1"/>
  <c r="L1462" l="1"/>
  <c r="J1463"/>
  <c r="K1463" s="1"/>
  <c r="L1463" l="1"/>
  <c r="J1464"/>
  <c r="K1464" s="1"/>
  <c r="L1464" l="1"/>
  <c r="J1465"/>
  <c r="K1465" s="1"/>
  <c r="L1465" l="1"/>
  <c r="J1466"/>
  <c r="K1466" s="1"/>
  <c r="L1466" l="1"/>
  <c r="J1467"/>
  <c r="K1467" s="1"/>
  <c r="L1467" l="1"/>
  <c r="J1468"/>
  <c r="K1468" s="1"/>
  <c r="L1468" l="1"/>
  <c r="J1469"/>
  <c r="K1469" s="1"/>
  <c r="L1469" l="1"/>
  <c r="J1470"/>
  <c r="K1470" s="1"/>
  <c r="L1470" l="1"/>
  <c r="J1471"/>
  <c r="K1471" s="1"/>
  <c r="L1471" l="1"/>
  <c r="J1472"/>
  <c r="K1472" s="1"/>
  <c r="L1472" l="1"/>
  <c r="J1473"/>
  <c r="K1473" s="1"/>
  <c r="L1473" l="1"/>
  <c r="J1474"/>
  <c r="K1474" s="1"/>
  <c r="L1474" l="1"/>
  <c r="J1475"/>
  <c r="K1475" s="1"/>
  <c r="L1475" l="1"/>
  <c r="J1476"/>
  <c r="K1476" s="1"/>
  <c r="L1476" l="1"/>
  <c r="J1477"/>
  <c r="K1477" s="1"/>
  <c r="L1477" l="1"/>
  <c r="J1478"/>
  <c r="K1478" s="1"/>
  <c r="L1478" l="1"/>
  <c r="J1479"/>
  <c r="K1479" s="1"/>
  <c r="L1479" l="1"/>
  <c r="J1480"/>
  <c r="K1480" s="1"/>
  <c r="L1480" l="1"/>
  <c r="J1481"/>
  <c r="K1481" s="1"/>
  <c r="L1481" l="1"/>
  <c r="J1482"/>
  <c r="K1482" s="1"/>
  <c r="L1482" l="1"/>
  <c r="J1483"/>
  <c r="K1483" s="1"/>
  <c r="L1483" l="1"/>
  <c r="J1484"/>
  <c r="K1484" s="1"/>
  <c r="L1484" l="1"/>
  <c r="J1485"/>
  <c r="K1485" s="1"/>
  <c r="L1485" l="1"/>
  <c r="J1486"/>
  <c r="K1486" s="1"/>
  <c r="L1486" l="1"/>
  <c r="J1487"/>
  <c r="K1487" s="1"/>
  <c r="L1487" l="1"/>
  <c r="J1488"/>
  <c r="K1488" s="1"/>
  <c r="L1488" l="1"/>
  <c r="J1489"/>
  <c r="K1489" s="1"/>
  <c r="L1489" l="1"/>
  <c r="J1490"/>
  <c r="K1490" s="1"/>
  <c r="L1490" l="1"/>
  <c r="J1491"/>
  <c r="K1491" s="1"/>
  <c r="L1491" l="1"/>
  <c r="J1492"/>
  <c r="K1492" s="1"/>
  <c r="L1492" l="1"/>
  <c r="J1493"/>
  <c r="K1493" s="1"/>
  <c r="L1493" l="1"/>
  <c r="J1494"/>
  <c r="K1494" s="1"/>
  <c r="L1494" l="1"/>
  <c r="J1495"/>
  <c r="K1495" s="1"/>
  <c r="L1495" l="1"/>
  <c r="J1496"/>
  <c r="K1496" s="1"/>
  <c r="L1496" l="1"/>
  <c r="J1497"/>
  <c r="K1497" s="1"/>
  <c r="L1497" l="1"/>
  <c r="J1498"/>
  <c r="K1498" s="1"/>
  <c r="L1498" l="1"/>
  <c r="J1499"/>
  <c r="K1499" s="1"/>
  <c r="L1499" l="1"/>
  <c r="J1500"/>
  <c r="K1500" s="1"/>
  <c r="L1500" l="1"/>
  <c r="J1501"/>
  <c r="K1501" s="1"/>
  <c r="L1501" l="1"/>
  <c r="J1502"/>
  <c r="K1502" s="1"/>
  <c r="L1502" l="1"/>
  <c r="J1503"/>
  <c r="K1503" s="1"/>
  <c r="L1503" l="1"/>
  <c r="J1504"/>
  <c r="K1504" s="1"/>
  <c r="L1504" l="1"/>
  <c r="J1505"/>
  <c r="K1505" s="1"/>
  <c r="L1505" l="1"/>
  <c r="J1506"/>
  <c r="K1506" s="1"/>
  <c r="L1506" l="1"/>
  <c r="J1507"/>
  <c r="K1507" s="1"/>
  <c r="L1507" l="1"/>
  <c r="J1508"/>
  <c r="K1508" s="1"/>
  <c r="L1508" l="1"/>
  <c r="J1509"/>
  <c r="K1509" s="1"/>
  <c r="L1509" l="1"/>
  <c r="J1510"/>
  <c r="K1510" s="1"/>
  <c r="L1510" l="1"/>
  <c r="J1511"/>
  <c r="K1511" s="1"/>
  <c r="L1511" l="1"/>
  <c r="J1512"/>
  <c r="K1512" s="1"/>
  <c r="L1512" l="1"/>
  <c r="J1513"/>
  <c r="K1513" s="1"/>
  <c r="L1513" l="1"/>
  <c r="J1514"/>
  <c r="K1514" s="1"/>
  <c r="L1514" l="1"/>
  <c r="J1515"/>
  <c r="K1515" s="1"/>
  <c r="L1515" l="1"/>
  <c r="J1516"/>
  <c r="K1516" s="1"/>
  <c r="L1516" l="1"/>
  <c r="J1517"/>
  <c r="K1517" s="1"/>
  <c r="L1517" l="1"/>
  <c r="J1518"/>
  <c r="K1518" s="1"/>
  <c r="L1518" l="1"/>
  <c r="J1519"/>
  <c r="K1519" s="1"/>
  <c r="L1519" l="1"/>
  <c r="J1520"/>
  <c r="K1520" s="1"/>
  <c r="L1520" l="1"/>
  <c r="J1521"/>
  <c r="K1521" s="1"/>
  <c r="L1521" l="1"/>
  <c r="J1522"/>
  <c r="K1522" s="1"/>
  <c r="L1522" l="1"/>
  <c r="J1523"/>
  <c r="K1523" s="1"/>
  <c r="L1523" l="1"/>
  <c r="J1524"/>
  <c r="K1524" s="1"/>
  <c r="L1524" l="1"/>
  <c r="J1525"/>
  <c r="K1525" s="1"/>
  <c r="L1525" l="1"/>
  <c r="J1526"/>
  <c r="K1526" s="1"/>
  <c r="L1526" l="1"/>
  <c r="J1527"/>
  <c r="K1527" s="1"/>
  <c r="L1527" l="1"/>
  <c r="J1528"/>
  <c r="K1528" s="1"/>
  <c r="L1528" l="1"/>
  <c r="J1529"/>
  <c r="K1529" s="1"/>
  <c r="L1529" l="1"/>
  <c r="J1530"/>
  <c r="K1530" s="1"/>
  <c r="L1530" l="1"/>
  <c r="J1531"/>
  <c r="K1531" s="1"/>
  <c r="L1531" l="1"/>
  <c r="J1532"/>
  <c r="K1532" s="1"/>
  <c r="L1532" l="1"/>
  <c r="J1533"/>
  <c r="K1533" s="1"/>
  <c r="L1533" l="1"/>
  <c r="J1534"/>
  <c r="K1534" s="1"/>
  <c r="L1534" l="1"/>
  <c r="J1535"/>
  <c r="K1535" s="1"/>
  <c r="L1535" l="1"/>
  <c r="J1536"/>
  <c r="K1536" s="1"/>
  <c r="L1536" l="1"/>
  <c r="J1537"/>
  <c r="K1537" s="1"/>
  <c r="L1537" l="1"/>
  <c r="J1538"/>
  <c r="K1538" s="1"/>
  <c r="L1538" l="1"/>
  <c r="J1539"/>
  <c r="K1539" s="1"/>
  <c r="L1539" l="1"/>
  <c r="J1540"/>
  <c r="K1540" s="1"/>
  <c r="L1540" l="1"/>
  <c r="J1541"/>
  <c r="K1541" s="1"/>
  <c r="L1541" l="1"/>
  <c r="J1542"/>
  <c r="K1542" s="1"/>
  <c r="L1542" l="1"/>
  <c r="J1543"/>
  <c r="K1543" s="1"/>
  <c r="L1543" l="1"/>
  <c r="J1544"/>
  <c r="K1544" s="1"/>
  <c r="L1544" l="1"/>
  <c r="J1545"/>
  <c r="K1545" s="1"/>
  <c r="L1545" l="1"/>
  <c r="J1546"/>
  <c r="K1546" s="1"/>
  <c r="L1546" l="1"/>
  <c r="J1547"/>
  <c r="K1547" s="1"/>
  <c r="L1547" l="1"/>
  <c r="J1548"/>
  <c r="K1548" s="1"/>
  <c r="L1548" l="1"/>
  <c r="J1549"/>
  <c r="K1549" s="1"/>
  <c r="L1549" l="1"/>
  <c r="J1550"/>
  <c r="K1550" s="1"/>
  <c r="L1550" l="1"/>
  <c r="J1551"/>
  <c r="K1551" s="1"/>
  <c r="L1551" l="1"/>
  <c r="J1552"/>
  <c r="K1552" s="1"/>
  <c r="L1552" l="1"/>
  <c r="J1553"/>
  <c r="K1553" s="1"/>
  <c r="L1553" l="1"/>
  <c r="J1554"/>
  <c r="K1554" s="1"/>
  <c r="L1554" l="1"/>
  <c r="J1555"/>
  <c r="K1555" s="1"/>
  <c r="L1555" l="1"/>
  <c r="J1556"/>
  <c r="K1556" s="1"/>
  <c r="L1556" l="1"/>
  <c r="J1557"/>
  <c r="K1557" s="1"/>
  <c r="L1557" l="1"/>
  <c r="J1558"/>
  <c r="K1558" s="1"/>
  <c r="L1558" l="1"/>
  <c r="J1559"/>
  <c r="K1559" s="1"/>
  <c r="L1559" l="1"/>
  <c r="J1560"/>
  <c r="K1560" s="1"/>
  <c r="L1560" l="1"/>
  <c r="J1561"/>
  <c r="K1561" s="1"/>
  <c r="L1561" l="1"/>
  <c r="J1562"/>
  <c r="K1562" s="1"/>
  <c r="L1562" l="1"/>
  <c r="J1563"/>
  <c r="K1563" s="1"/>
  <c r="L1563" l="1"/>
  <c r="J1564"/>
  <c r="K1564" s="1"/>
  <c r="L1564" l="1"/>
  <c r="J1565"/>
  <c r="K1565" s="1"/>
  <c r="L1565" l="1"/>
  <c r="J1566"/>
  <c r="K1566" s="1"/>
  <c r="L1566" l="1"/>
  <c r="J1567"/>
  <c r="K1567" s="1"/>
  <c r="L1567" l="1"/>
  <c r="J1568"/>
  <c r="K1568" s="1"/>
  <c r="L1568" l="1"/>
  <c r="J1569"/>
  <c r="K1569" s="1"/>
  <c r="L1569" l="1"/>
  <c r="J1570"/>
  <c r="K1570" s="1"/>
  <c r="L1570" l="1"/>
  <c r="J1571"/>
  <c r="K1571" s="1"/>
  <c r="L1571" l="1"/>
  <c r="J1572"/>
  <c r="K1572" s="1"/>
  <c r="L1572" l="1"/>
  <c r="J1573"/>
  <c r="K1573" s="1"/>
  <c r="L1573" l="1"/>
  <c r="J1574"/>
  <c r="K1574" s="1"/>
  <c r="L1574" l="1"/>
  <c r="J1575"/>
  <c r="K1575" s="1"/>
  <c r="L1575" l="1"/>
  <c r="J1576"/>
  <c r="K1576" s="1"/>
  <c r="L1576" l="1"/>
  <c r="J1577"/>
  <c r="K1577" s="1"/>
  <c r="L1577" l="1"/>
  <c r="J1578"/>
  <c r="K1578" s="1"/>
  <c r="L1578" l="1"/>
  <c r="J1579"/>
  <c r="K1579" s="1"/>
  <c r="L1579" l="1"/>
  <c r="J1580"/>
  <c r="K1580" s="1"/>
  <c r="L1580" l="1"/>
  <c r="J1581"/>
  <c r="K1581" s="1"/>
  <c r="L1581" l="1"/>
  <c r="J1582"/>
  <c r="K1582" s="1"/>
  <c r="L1582" l="1"/>
  <c r="J1583"/>
  <c r="K1583" s="1"/>
  <c r="L1583" l="1"/>
  <c r="J1584"/>
  <c r="K1584" s="1"/>
  <c r="L1584" l="1"/>
  <c r="J1585"/>
  <c r="K1585" s="1"/>
  <c r="L1585" l="1"/>
  <c r="J1586"/>
  <c r="K1586" s="1"/>
  <c r="L1586" l="1"/>
  <c r="J1587"/>
  <c r="K1587" s="1"/>
  <c r="L1587" l="1"/>
  <c r="J1588"/>
  <c r="K1588" s="1"/>
  <c r="L1588" l="1"/>
  <c r="J1589"/>
  <c r="K1589" s="1"/>
  <c r="L1589" l="1"/>
  <c r="J1590"/>
  <c r="K1590" s="1"/>
  <c r="L1590" l="1"/>
  <c r="J1591"/>
  <c r="K1591" s="1"/>
  <c r="L1591" l="1"/>
  <c r="J1592"/>
  <c r="K1592" s="1"/>
  <c r="L1592" l="1"/>
  <c r="J1593"/>
  <c r="K1593" s="1"/>
  <c r="L1593" l="1"/>
  <c r="J1594"/>
  <c r="K1594" s="1"/>
  <c r="L1594" l="1"/>
  <c r="J1595"/>
  <c r="K1595" s="1"/>
  <c r="L1595" l="1"/>
  <c r="J1596"/>
  <c r="K1596" s="1"/>
  <c r="L1596" l="1"/>
  <c r="J1597"/>
  <c r="K1597" s="1"/>
  <c r="L1597" l="1"/>
  <c r="J1598"/>
  <c r="K1598" s="1"/>
  <c r="L1598" l="1"/>
  <c r="J1599"/>
  <c r="K1599" s="1"/>
  <c r="L1599" l="1"/>
  <c r="J1600"/>
  <c r="K1600" s="1"/>
  <c r="L1600" l="1"/>
  <c r="J1601"/>
  <c r="K1601" s="1"/>
  <c r="L1601" l="1"/>
  <c r="J1602"/>
  <c r="K1602" s="1"/>
  <c r="L1602" l="1"/>
  <c r="J1603"/>
  <c r="K1603" s="1"/>
  <c r="L1603" l="1"/>
  <c r="J1604"/>
  <c r="K1604" s="1"/>
  <c r="L1604" l="1"/>
  <c r="J1605"/>
  <c r="K1605" s="1"/>
  <c r="L1605" l="1"/>
  <c r="J1606"/>
  <c r="K1606" s="1"/>
  <c r="L1606" l="1"/>
  <c r="J1607"/>
  <c r="K1607" s="1"/>
  <c r="L1607" l="1"/>
  <c r="J1608"/>
  <c r="K1608" s="1"/>
  <c r="L1608" l="1"/>
  <c r="J1609"/>
  <c r="K1609" s="1"/>
  <c r="L1609" l="1"/>
  <c r="J1610"/>
  <c r="K1610" s="1"/>
  <c r="L1610" l="1"/>
  <c r="J1611"/>
  <c r="K1611" s="1"/>
  <c r="L1611" l="1"/>
  <c r="J1612"/>
  <c r="K1612" s="1"/>
  <c r="L1612" l="1"/>
  <c r="J1613"/>
  <c r="K1613" s="1"/>
  <c r="L1613" l="1"/>
  <c r="J1614"/>
  <c r="K1614" s="1"/>
  <c r="L1614" l="1"/>
  <c r="J1615"/>
  <c r="K1615" s="1"/>
  <c r="L1615" l="1"/>
  <c r="J1616"/>
  <c r="K1616" s="1"/>
  <c r="L1616" l="1"/>
  <c r="J1617"/>
  <c r="K1617" s="1"/>
  <c r="L1617" l="1"/>
  <c r="J1618"/>
  <c r="K1618" s="1"/>
  <c r="L1618" l="1"/>
  <c r="J1619"/>
  <c r="K1619" s="1"/>
  <c r="L1619" l="1"/>
  <c r="J1620"/>
  <c r="K1620" s="1"/>
  <c r="L1620" l="1"/>
  <c r="J1621"/>
  <c r="K1621" s="1"/>
  <c r="L1621" l="1"/>
  <c r="J1622"/>
  <c r="K1622" s="1"/>
  <c r="L1622" l="1"/>
  <c r="J1623"/>
  <c r="K1623" s="1"/>
  <c r="L1623" l="1"/>
  <c r="J1624"/>
  <c r="K1624" s="1"/>
  <c r="L1624" l="1"/>
  <c r="J1625"/>
  <c r="K1625" s="1"/>
  <c r="L1625" l="1"/>
  <c r="J1626"/>
  <c r="K1626" s="1"/>
  <c r="L1626" l="1"/>
  <c r="J1627"/>
  <c r="K1627" s="1"/>
  <c r="L1627" l="1"/>
  <c r="J1628"/>
  <c r="K1628" s="1"/>
  <c r="L1628" l="1"/>
  <c r="J1629"/>
  <c r="K1629" s="1"/>
  <c r="L1629" l="1"/>
  <c r="J1630"/>
  <c r="K1630" s="1"/>
  <c r="L1630" l="1"/>
  <c r="J1631"/>
  <c r="K1631" s="1"/>
  <c r="L1631" l="1"/>
  <c r="J1632"/>
  <c r="K1632" s="1"/>
  <c r="L1632" l="1"/>
  <c r="J1633"/>
  <c r="K1633" s="1"/>
  <c r="L1633" l="1"/>
  <c r="J1634"/>
  <c r="K1634" s="1"/>
  <c r="L1634" l="1"/>
  <c r="J1635"/>
  <c r="K1635" s="1"/>
  <c r="L1635" l="1"/>
  <c r="J1636"/>
  <c r="K1636" s="1"/>
  <c r="L1636" l="1"/>
  <c r="J1637"/>
  <c r="K1637" s="1"/>
  <c r="L1637" l="1"/>
  <c r="J1638"/>
  <c r="K1638" s="1"/>
  <c r="L1638" l="1"/>
  <c r="J1639"/>
  <c r="K1639" s="1"/>
  <c r="L1639" l="1"/>
  <c r="J1640"/>
  <c r="K1640" s="1"/>
  <c r="L1640" l="1"/>
  <c r="J1641"/>
  <c r="K1641" s="1"/>
  <c r="L1641" l="1"/>
  <c r="J1642"/>
  <c r="J1643" l="1"/>
  <c r="K1643" s="1"/>
  <c r="K1642"/>
  <c r="L1642" s="1"/>
  <c r="L1643" l="1"/>
  <c r="J1644"/>
  <c r="K1644" s="1"/>
  <c r="L1644" l="1"/>
  <c r="J1645"/>
  <c r="J1646" l="1"/>
  <c r="K1645"/>
  <c r="L1645" s="1"/>
  <c r="J1647" l="1"/>
  <c r="K1646"/>
  <c r="L1646" s="1"/>
  <c r="J1648" l="1"/>
  <c r="K1647"/>
  <c r="L1647" s="1"/>
  <c r="J1649" l="1"/>
  <c r="K1648"/>
  <c r="L1648" s="1"/>
  <c r="J1650" l="1"/>
  <c r="K1649"/>
  <c r="L1649" s="1"/>
  <c r="J1651" l="1"/>
  <c r="K1650"/>
  <c r="L1650" s="1"/>
  <c r="J1652" l="1"/>
  <c r="K1651"/>
  <c r="L1651" s="1"/>
  <c r="J1653" l="1"/>
  <c r="K1652"/>
  <c r="L1652" s="1"/>
  <c r="J1654" l="1"/>
  <c r="K1653"/>
  <c r="L1653" s="1"/>
  <c r="J1655" l="1"/>
  <c r="K1654"/>
  <c r="L1654" s="1"/>
  <c r="J1656" l="1"/>
  <c r="K1655"/>
  <c r="L1655" s="1"/>
  <c r="J1657" l="1"/>
  <c r="K1656"/>
  <c r="L1656" s="1"/>
  <c r="J1658" l="1"/>
  <c r="K1657"/>
  <c r="L1657" s="1"/>
  <c r="J1659" l="1"/>
  <c r="K1658"/>
  <c r="L1658" s="1"/>
  <c r="J1660" l="1"/>
  <c r="K1659"/>
  <c r="L1659" s="1"/>
  <c r="J1661" l="1"/>
  <c r="K1660"/>
  <c r="L1660" s="1"/>
  <c r="J1662" l="1"/>
  <c r="K1661"/>
  <c r="L1661" s="1"/>
  <c r="J1663" l="1"/>
  <c r="K1662"/>
  <c r="L1662" s="1"/>
  <c r="J1664" l="1"/>
  <c r="K1664" s="1"/>
  <c r="K1663"/>
  <c r="L1663" s="1"/>
  <c r="L1664" l="1"/>
  <c r="J1665"/>
  <c r="J1666" l="1"/>
  <c r="K1665"/>
  <c r="L1665" s="1"/>
  <c r="J1667" l="1"/>
  <c r="K1666"/>
  <c r="L1666" s="1"/>
  <c r="J1668" l="1"/>
  <c r="K1667"/>
  <c r="L1667" s="1"/>
  <c r="J1669" l="1"/>
  <c r="K1668"/>
  <c r="L1668" s="1"/>
  <c r="J1670" l="1"/>
  <c r="K1669"/>
  <c r="L1669" s="1"/>
  <c r="J1671" l="1"/>
  <c r="K1670"/>
  <c r="L1670" s="1"/>
  <c r="J1672" l="1"/>
  <c r="K1671"/>
  <c r="L1671" s="1"/>
  <c r="J1673" l="1"/>
  <c r="K1672"/>
  <c r="L1672" s="1"/>
  <c r="J1674" l="1"/>
  <c r="K1673"/>
  <c r="L1673" s="1"/>
  <c r="J1675" l="1"/>
  <c r="K1674"/>
  <c r="L1674" s="1"/>
  <c r="J1676" l="1"/>
  <c r="K1675"/>
  <c r="L1675" s="1"/>
  <c r="J1677" l="1"/>
  <c r="K1676"/>
  <c r="L1676" s="1"/>
  <c r="J1678" l="1"/>
  <c r="K1677"/>
  <c r="L1677" s="1"/>
  <c r="J1679" l="1"/>
  <c r="K1678"/>
  <c r="L1678" s="1"/>
  <c r="J1680" l="1"/>
  <c r="K1679"/>
  <c r="L1679" s="1"/>
  <c r="J1681" l="1"/>
  <c r="K1680"/>
  <c r="L1680" s="1"/>
  <c r="J1682" l="1"/>
  <c r="K1682" s="1"/>
  <c r="K1681"/>
  <c r="L1681" s="1"/>
  <c r="L1682" l="1"/>
  <c r="L5" l="1"/>
  <c r="L7" s="1"/>
</calcChain>
</file>

<file path=xl/sharedStrings.xml><?xml version="1.0" encoding="utf-8"?>
<sst xmlns="http://schemas.openxmlformats.org/spreadsheetml/2006/main" count="51" uniqueCount="45">
  <si>
    <t>date</t>
    <phoneticPr fontId="1" type="noConversion"/>
  </si>
  <si>
    <t>tw_volume</t>
    <phoneticPr fontId="1" type="noConversion"/>
  </si>
  <si>
    <t>tw_close</t>
    <phoneticPr fontId="1" type="noConversion"/>
  </si>
  <si>
    <t>tw_low</t>
    <phoneticPr fontId="1" type="noConversion"/>
  </si>
  <si>
    <t>tw_high</t>
    <phoneticPr fontId="1" type="noConversion"/>
  </si>
  <si>
    <t>tw_open</t>
    <phoneticPr fontId="1" type="noConversion"/>
  </si>
  <si>
    <t>隔K價差</t>
    <phoneticPr fontId="2" type="noConversion"/>
  </si>
  <si>
    <t>當K價差</t>
    <phoneticPr fontId="2" type="noConversion"/>
  </si>
  <si>
    <t>買賣判斷</t>
    <phoneticPr fontId="1" type="noConversion"/>
  </si>
  <si>
    <t>部位</t>
    <phoneticPr fontId="1" type="noConversion"/>
  </si>
  <si>
    <t>累積損益</t>
    <phoneticPr fontId="1" type="noConversion"/>
  </si>
  <si>
    <t>均線指標分析</t>
    <phoneticPr fontId="1" type="noConversion"/>
  </si>
  <si>
    <t>短均線</t>
    <phoneticPr fontId="1" type="noConversion"/>
  </si>
  <si>
    <t>長均線</t>
    <phoneticPr fontId="1" type="noConversion"/>
  </si>
  <si>
    <t>買賣</t>
    <phoneticPr fontId="1" type="noConversion"/>
  </si>
  <si>
    <t>價量資料區</t>
    <phoneticPr fontId="1" type="noConversion"/>
  </si>
  <si>
    <t>交易決策和損益計算區</t>
    <phoneticPr fontId="1" type="noConversion"/>
  </si>
  <si>
    <t>-</t>
    <phoneticPr fontId="1" type="noConversion"/>
  </si>
  <si>
    <t>部位上限</t>
    <phoneticPr fontId="1" type="noConversion"/>
  </si>
  <si>
    <t>部位下限</t>
    <phoneticPr fontId="1" type="noConversion"/>
  </si>
  <si>
    <t>投資績效</t>
    <phoneticPr fontId="1" type="noConversion"/>
  </si>
  <si>
    <t>損益</t>
    <phoneticPr fontId="1" type="noConversion"/>
  </si>
  <si>
    <t>BH策略</t>
    <phoneticPr fontId="1" type="noConversion"/>
  </si>
  <si>
    <t>相對損益</t>
    <phoneticPr fontId="1" type="noConversion"/>
  </si>
  <si>
    <t>短期天數</t>
    <phoneticPr fontId="1" type="noConversion"/>
  </si>
  <si>
    <t>長期天數</t>
    <phoneticPr fontId="1" type="noConversion"/>
  </si>
  <si>
    <t>當期損益</t>
    <phoneticPr fontId="1" type="noConversion"/>
  </si>
  <si>
    <t>rollover volatility</t>
    <phoneticPr fontId="1" type="noConversion"/>
  </si>
  <si>
    <t>return</t>
    <phoneticPr fontId="1" type="noConversion"/>
  </si>
  <si>
    <t>std. dev. 1</t>
    <phoneticPr fontId="1" type="noConversion"/>
  </si>
  <si>
    <t>std. dev. 2</t>
    <phoneticPr fontId="1" type="noConversion"/>
  </si>
  <si>
    <t>天數</t>
    <phoneticPr fontId="1" type="noConversion"/>
  </si>
  <si>
    <t>Range</t>
    <phoneticPr fontId="1" type="noConversion"/>
  </si>
  <si>
    <t>range</t>
    <phoneticPr fontId="1" type="noConversion"/>
  </si>
  <si>
    <t>EMA-TR</t>
    <phoneticPr fontId="1" type="noConversion"/>
  </si>
  <si>
    <t>TR</t>
    <phoneticPr fontId="1" type="noConversion"/>
  </si>
  <si>
    <t>Bollinger Band</t>
    <phoneticPr fontId="1" type="noConversion"/>
  </si>
  <si>
    <t>Upper Band</t>
    <phoneticPr fontId="1" type="noConversion"/>
  </si>
  <si>
    <t>Lower Band</t>
    <phoneticPr fontId="1" type="noConversion"/>
  </si>
  <si>
    <t>MA</t>
    <phoneticPr fontId="1" type="noConversion"/>
  </si>
  <si>
    <t>天數</t>
  </si>
  <si>
    <t>Factor</t>
    <phoneticPr fontId="1" type="noConversion"/>
  </si>
  <si>
    <t>K1</t>
    <phoneticPr fontId="1" type="noConversion"/>
  </si>
  <si>
    <t>K2</t>
    <phoneticPr fontId="1" type="noConversion"/>
  </si>
  <si>
    <t>買賣*</t>
    <phoneticPr fontId="1" type="noConversion"/>
  </si>
</sst>
</file>

<file path=xl/styles.xml><?xml version="1.0" encoding="utf-8"?>
<styleSheet xmlns="http://schemas.openxmlformats.org/spreadsheetml/2006/main">
  <fonts count="3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9"/>
      <name val="細明體"/>
      <family val="3"/>
      <charset val="136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1" xfId="0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0.10865502542775762"/>
          <c:y val="3.5558336029914109E-2"/>
          <c:w val="0.69115048118985123"/>
          <c:h val="0.89719889180519163"/>
        </c:manualLayout>
      </c:layout>
      <c:lineChart>
        <c:grouping val="standard"/>
        <c:ser>
          <c:idx val="0"/>
          <c:order val="0"/>
          <c:tx>
            <c:v>當期損益</c:v>
          </c:tx>
          <c:marker>
            <c:symbol val="none"/>
          </c:marker>
          <c:val>
            <c:numRef>
              <c:f>result!$K$53:$K$1682</c:f>
              <c:numCache>
                <c:formatCode>General</c:formatCode>
                <c:ptCount val="16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-17.799999999999272</c:v>
                </c:pt>
                <c:pt idx="6">
                  <c:v>-47.900000000000546</c:v>
                </c:pt>
                <c:pt idx="7">
                  <c:v>-22.869999999999891</c:v>
                </c:pt>
                <c:pt idx="8">
                  <c:v>8.819999999999709</c:v>
                </c:pt>
                <c:pt idx="9">
                  <c:v>6.4400000000005093</c:v>
                </c:pt>
                <c:pt idx="10">
                  <c:v>41.729999999999563</c:v>
                </c:pt>
                <c:pt idx="11">
                  <c:v>-52.309999999999491</c:v>
                </c:pt>
                <c:pt idx="12">
                  <c:v>44.649999999999636</c:v>
                </c:pt>
                <c:pt idx="13">
                  <c:v>-14.470000000000255</c:v>
                </c:pt>
                <c:pt idx="14">
                  <c:v>-4.1899999999995998</c:v>
                </c:pt>
                <c:pt idx="15">
                  <c:v>21.399999999999636</c:v>
                </c:pt>
                <c:pt idx="16">
                  <c:v>88.3100000000004</c:v>
                </c:pt>
                <c:pt idx="17">
                  <c:v>267.8100000000004</c:v>
                </c:pt>
                <c:pt idx="18">
                  <c:v>-66.380000000001019</c:v>
                </c:pt>
                <c:pt idx="19">
                  <c:v>110.68000000000029</c:v>
                </c:pt>
                <c:pt idx="20">
                  <c:v>-57.959999999999127</c:v>
                </c:pt>
                <c:pt idx="21">
                  <c:v>-50.200000000000728</c:v>
                </c:pt>
                <c:pt idx="22">
                  <c:v>-22.440000000000509</c:v>
                </c:pt>
                <c:pt idx="23">
                  <c:v>-93.8799999999992</c:v>
                </c:pt>
                <c:pt idx="24">
                  <c:v>53.959999999999127</c:v>
                </c:pt>
                <c:pt idx="25">
                  <c:v>-128</c:v>
                </c:pt>
                <c:pt idx="26">
                  <c:v>48.400000000001455</c:v>
                </c:pt>
                <c:pt idx="27">
                  <c:v>-0.30000000000109139</c:v>
                </c:pt>
                <c:pt idx="28">
                  <c:v>29.079999999999927</c:v>
                </c:pt>
                <c:pt idx="29">
                  <c:v>-247.63999999999942</c:v>
                </c:pt>
                <c:pt idx="30">
                  <c:v>-45</c:v>
                </c:pt>
                <c:pt idx="31">
                  <c:v>1.1099999999996726</c:v>
                </c:pt>
                <c:pt idx="32">
                  <c:v>17.050000000000182</c:v>
                </c:pt>
                <c:pt idx="33">
                  <c:v>32.670000000000073</c:v>
                </c:pt>
                <c:pt idx="34">
                  <c:v>-17.470000000000255</c:v>
                </c:pt>
                <c:pt idx="35">
                  <c:v>-46.8799999999992</c:v>
                </c:pt>
                <c:pt idx="36">
                  <c:v>-10.830000000000837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28.269999999999527</c:v>
                </c:pt>
                <c:pt idx="52">
                  <c:v>-31.779999999999745</c:v>
                </c:pt>
                <c:pt idx="53">
                  <c:v>55.869999999999891</c:v>
                </c:pt>
                <c:pt idx="54">
                  <c:v>-15.739999999999782</c:v>
                </c:pt>
                <c:pt idx="55">
                  <c:v>46.430000000000291</c:v>
                </c:pt>
                <c:pt idx="56">
                  <c:v>38.699999999999818</c:v>
                </c:pt>
                <c:pt idx="57">
                  <c:v>-25.289999999999964</c:v>
                </c:pt>
                <c:pt idx="58">
                  <c:v>46.340000000000146</c:v>
                </c:pt>
                <c:pt idx="59">
                  <c:v>30.309999999999491</c:v>
                </c:pt>
                <c:pt idx="60">
                  <c:v>11.150000000000546</c:v>
                </c:pt>
                <c:pt idx="61">
                  <c:v>3.3299999999999272</c:v>
                </c:pt>
                <c:pt idx="62">
                  <c:v>-18.430000000000291</c:v>
                </c:pt>
                <c:pt idx="63">
                  <c:v>79.369999999999891</c:v>
                </c:pt>
                <c:pt idx="64">
                  <c:v>16.029999999999745</c:v>
                </c:pt>
                <c:pt idx="65">
                  <c:v>-33.170000000000073</c:v>
                </c:pt>
                <c:pt idx="66">
                  <c:v>-37.699999999999818</c:v>
                </c:pt>
                <c:pt idx="67">
                  <c:v>13.850000000000364</c:v>
                </c:pt>
                <c:pt idx="68">
                  <c:v>-85.190000000000509</c:v>
                </c:pt>
                <c:pt idx="69">
                  <c:v>10.289999999999964</c:v>
                </c:pt>
                <c:pt idx="70">
                  <c:v>30.200000000000728</c:v>
                </c:pt>
                <c:pt idx="71">
                  <c:v>-0.94000000000050932</c:v>
                </c:pt>
                <c:pt idx="72">
                  <c:v>-39.159999999999854</c:v>
                </c:pt>
                <c:pt idx="73">
                  <c:v>-9.9899999999997817</c:v>
                </c:pt>
                <c:pt idx="74">
                  <c:v>-9.4499999999998181</c:v>
                </c:pt>
                <c:pt idx="75">
                  <c:v>-11.200000000000728</c:v>
                </c:pt>
                <c:pt idx="76">
                  <c:v>97.460000000000036</c:v>
                </c:pt>
                <c:pt idx="77">
                  <c:v>59.950000000000728</c:v>
                </c:pt>
                <c:pt idx="78">
                  <c:v>18.279999999999745</c:v>
                </c:pt>
                <c:pt idx="79">
                  <c:v>56.530000000000655</c:v>
                </c:pt>
                <c:pt idx="80">
                  <c:v>-15.520000000000437</c:v>
                </c:pt>
                <c:pt idx="81">
                  <c:v>11.5</c:v>
                </c:pt>
                <c:pt idx="82">
                  <c:v>14.940000000000509</c:v>
                </c:pt>
                <c:pt idx="83">
                  <c:v>-59.56000000000131</c:v>
                </c:pt>
                <c:pt idx="84">
                  <c:v>-26.600000000000364</c:v>
                </c:pt>
                <c:pt idx="85">
                  <c:v>79.440000000000509</c:v>
                </c:pt>
                <c:pt idx="86">
                  <c:v>-108.57999999999993</c:v>
                </c:pt>
                <c:pt idx="87">
                  <c:v>-77.819999999999709</c:v>
                </c:pt>
                <c:pt idx="88">
                  <c:v>96.780000000000655</c:v>
                </c:pt>
                <c:pt idx="89">
                  <c:v>-127.32000000000153</c:v>
                </c:pt>
                <c:pt idx="90">
                  <c:v>-8.0999999999985448</c:v>
                </c:pt>
                <c:pt idx="91">
                  <c:v>71.219999999999345</c:v>
                </c:pt>
                <c:pt idx="92">
                  <c:v>224.05999999999949</c:v>
                </c:pt>
                <c:pt idx="93">
                  <c:v>-19.119999999998981</c:v>
                </c:pt>
                <c:pt idx="94">
                  <c:v>-131.96000000000095</c:v>
                </c:pt>
                <c:pt idx="95">
                  <c:v>-5.9999999999490683E-2</c:v>
                </c:pt>
                <c:pt idx="96">
                  <c:v>-46.319999999999709</c:v>
                </c:pt>
                <c:pt idx="97">
                  <c:v>-6.2600000000002183</c:v>
                </c:pt>
                <c:pt idx="98">
                  <c:v>-5.6200000000008004</c:v>
                </c:pt>
                <c:pt idx="99">
                  <c:v>-211.53999999999905</c:v>
                </c:pt>
                <c:pt idx="100">
                  <c:v>15.009999999999309</c:v>
                </c:pt>
                <c:pt idx="101">
                  <c:v>-0.47999999999956344</c:v>
                </c:pt>
                <c:pt idx="102">
                  <c:v>-36.829999999999927</c:v>
                </c:pt>
                <c:pt idx="103">
                  <c:v>-46.150000000000546</c:v>
                </c:pt>
                <c:pt idx="104">
                  <c:v>47.710000000000036</c:v>
                </c:pt>
                <c:pt idx="105">
                  <c:v>-11.469999999999345</c:v>
                </c:pt>
                <c:pt idx="106">
                  <c:v>-67.940000000000509</c:v>
                </c:pt>
                <c:pt idx="107">
                  <c:v>-17.579999999999927</c:v>
                </c:pt>
                <c:pt idx="108">
                  <c:v>26.890000000000327</c:v>
                </c:pt>
                <c:pt idx="109">
                  <c:v>-87.110000000000582</c:v>
                </c:pt>
                <c:pt idx="110">
                  <c:v>-17.319999999999709</c:v>
                </c:pt>
                <c:pt idx="111">
                  <c:v>1.3500000000003638</c:v>
                </c:pt>
                <c:pt idx="112">
                  <c:v>82.579999999999927</c:v>
                </c:pt>
                <c:pt idx="113">
                  <c:v>-17.270000000000437</c:v>
                </c:pt>
                <c:pt idx="114">
                  <c:v>41.360000000000582</c:v>
                </c:pt>
                <c:pt idx="115">
                  <c:v>1</c:v>
                </c:pt>
                <c:pt idx="116">
                  <c:v>8.7399999999997817</c:v>
                </c:pt>
                <c:pt idx="117">
                  <c:v>-30.819999999999709</c:v>
                </c:pt>
                <c:pt idx="118">
                  <c:v>45.919999999999163</c:v>
                </c:pt>
                <c:pt idx="119">
                  <c:v>4.1000000000003638</c:v>
                </c:pt>
                <c:pt idx="120">
                  <c:v>-20.380000000000109</c:v>
                </c:pt>
                <c:pt idx="121">
                  <c:v>-66.139999999999418</c:v>
                </c:pt>
                <c:pt idx="122">
                  <c:v>-51.320000000000618</c:v>
                </c:pt>
                <c:pt idx="123">
                  <c:v>4.3500000000003638</c:v>
                </c:pt>
                <c:pt idx="124">
                  <c:v>69.760000000000218</c:v>
                </c:pt>
                <c:pt idx="125">
                  <c:v>-38.010000000000218</c:v>
                </c:pt>
                <c:pt idx="126">
                  <c:v>-95.279999999999745</c:v>
                </c:pt>
                <c:pt idx="127">
                  <c:v>-14.270000000000437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-1.6499999999996362</c:v>
                </c:pt>
                <c:pt idx="136">
                  <c:v>-39.199999999999818</c:v>
                </c:pt>
                <c:pt idx="137">
                  <c:v>-13.970000000000255</c:v>
                </c:pt>
                <c:pt idx="138">
                  <c:v>-15.25</c:v>
                </c:pt>
                <c:pt idx="139">
                  <c:v>-79.190000000000509</c:v>
                </c:pt>
                <c:pt idx="140">
                  <c:v>-27.289999999999964</c:v>
                </c:pt>
                <c:pt idx="141">
                  <c:v>8.9600000000000364</c:v>
                </c:pt>
                <c:pt idx="142">
                  <c:v>-142.79999999999927</c:v>
                </c:pt>
                <c:pt idx="143">
                  <c:v>27.009999999999309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-44.969999999999345</c:v>
                </c:pt>
                <c:pt idx="158">
                  <c:v>-10.760000000000218</c:v>
                </c:pt>
                <c:pt idx="159">
                  <c:v>121.43000000000029</c:v>
                </c:pt>
                <c:pt idx="160">
                  <c:v>18.399999999999636</c:v>
                </c:pt>
                <c:pt idx="161">
                  <c:v>173.78000000000065</c:v>
                </c:pt>
                <c:pt idx="162">
                  <c:v>16.719999999999345</c:v>
                </c:pt>
                <c:pt idx="163">
                  <c:v>-105.76000000000022</c:v>
                </c:pt>
                <c:pt idx="164">
                  <c:v>30.920000000000073</c:v>
                </c:pt>
                <c:pt idx="165">
                  <c:v>-50.520000000000437</c:v>
                </c:pt>
                <c:pt idx="166">
                  <c:v>171.60000000000036</c:v>
                </c:pt>
                <c:pt idx="167">
                  <c:v>-34.019999999999527</c:v>
                </c:pt>
                <c:pt idx="168">
                  <c:v>-132.69000000000142</c:v>
                </c:pt>
                <c:pt idx="169">
                  <c:v>192.99000000000251</c:v>
                </c:pt>
                <c:pt idx="170">
                  <c:v>-34.890000000000327</c:v>
                </c:pt>
                <c:pt idx="171">
                  <c:v>48.929999999998472</c:v>
                </c:pt>
                <c:pt idx="172">
                  <c:v>226.92000000000098</c:v>
                </c:pt>
                <c:pt idx="173">
                  <c:v>-192.98999999999978</c:v>
                </c:pt>
                <c:pt idx="174">
                  <c:v>191.88000000000011</c:v>
                </c:pt>
                <c:pt idx="175">
                  <c:v>-70.950000000001637</c:v>
                </c:pt>
                <c:pt idx="176">
                  <c:v>147.39000000000033</c:v>
                </c:pt>
                <c:pt idx="177">
                  <c:v>358.08000000000175</c:v>
                </c:pt>
                <c:pt idx="178">
                  <c:v>6.6300000000001091</c:v>
                </c:pt>
                <c:pt idx="179">
                  <c:v>-63</c:v>
                </c:pt>
                <c:pt idx="180">
                  <c:v>-240.99000000000251</c:v>
                </c:pt>
                <c:pt idx="181">
                  <c:v>45.510000000000218</c:v>
                </c:pt>
                <c:pt idx="182">
                  <c:v>5.7900000000008731</c:v>
                </c:pt>
                <c:pt idx="183">
                  <c:v>-15.329999999999018</c:v>
                </c:pt>
                <c:pt idx="184">
                  <c:v>-77.489999999999782</c:v>
                </c:pt>
                <c:pt idx="185">
                  <c:v>69.359999999999673</c:v>
                </c:pt>
                <c:pt idx="186">
                  <c:v>276.65999999999804</c:v>
                </c:pt>
                <c:pt idx="187">
                  <c:v>242.19000000000142</c:v>
                </c:pt>
                <c:pt idx="188">
                  <c:v>-10.739999999999782</c:v>
                </c:pt>
                <c:pt idx="189">
                  <c:v>132.15000000000055</c:v>
                </c:pt>
                <c:pt idx="190">
                  <c:v>-164.07000000000153</c:v>
                </c:pt>
                <c:pt idx="191">
                  <c:v>286.29000000000087</c:v>
                </c:pt>
                <c:pt idx="192">
                  <c:v>66.420000000000982</c:v>
                </c:pt>
                <c:pt idx="193">
                  <c:v>-9.5400000000008731</c:v>
                </c:pt>
                <c:pt idx="194">
                  <c:v>-21.570000000001528</c:v>
                </c:pt>
                <c:pt idx="195">
                  <c:v>153.39000000000033</c:v>
                </c:pt>
                <c:pt idx="196">
                  <c:v>-81.569999999998799</c:v>
                </c:pt>
                <c:pt idx="197">
                  <c:v>-258.83999999999924</c:v>
                </c:pt>
                <c:pt idx="198">
                  <c:v>389.13000000000011</c:v>
                </c:pt>
                <c:pt idx="199">
                  <c:v>74.00999999999749</c:v>
                </c:pt>
                <c:pt idx="200">
                  <c:v>280.29000000000087</c:v>
                </c:pt>
                <c:pt idx="201">
                  <c:v>-45.150000000000546</c:v>
                </c:pt>
                <c:pt idx="202">
                  <c:v>142.71000000000186</c:v>
                </c:pt>
                <c:pt idx="203">
                  <c:v>-104.97000000000207</c:v>
                </c:pt>
                <c:pt idx="204">
                  <c:v>85.470000000002074</c:v>
                </c:pt>
                <c:pt idx="205">
                  <c:v>-30.840000000001965</c:v>
                </c:pt>
                <c:pt idx="206">
                  <c:v>-129.77999999999793</c:v>
                </c:pt>
                <c:pt idx="207">
                  <c:v>125.48999999999978</c:v>
                </c:pt>
                <c:pt idx="208">
                  <c:v>-39.420000000000982</c:v>
                </c:pt>
                <c:pt idx="209">
                  <c:v>-636.35999999999967</c:v>
                </c:pt>
                <c:pt idx="210">
                  <c:v>42.529999999999745</c:v>
                </c:pt>
                <c:pt idx="211">
                  <c:v>-51.319999999999709</c:v>
                </c:pt>
                <c:pt idx="212">
                  <c:v>-205.40999999999985</c:v>
                </c:pt>
                <c:pt idx="213">
                  <c:v>69.969999999999345</c:v>
                </c:pt>
                <c:pt idx="214">
                  <c:v>80.240000000000691</c:v>
                </c:pt>
                <c:pt idx="215">
                  <c:v>62.420000000000073</c:v>
                </c:pt>
                <c:pt idx="216">
                  <c:v>125.35999999999967</c:v>
                </c:pt>
                <c:pt idx="217">
                  <c:v>0.11999999999989086</c:v>
                </c:pt>
                <c:pt idx="218">
                  <c:v>-95.970000000000255</c:v>
                </c:pt>
                <c:pt idx="219">
                  <c:v>6.0200000000004366</c:v>
                </c:pt>
                <c:pt idx="220">
                  <c:v>-35.210000000000036</c:v>
                </c:pt>
                <c:pt idx="221">
                  <c:v>-32.630000000000109</c:v>
                </c:pt>
                <c:pt idx="222">
                  <c:v>50.680000000000291</c:v>
                </c:pt>
                <c:pt idx="223">
                  <c:v>-14.480000000000473</c:v>
                </c:pt>
                <c:pt idx="224">
                  <c:v>85.440000000000509</c:v>
                </c:pt>
                <c:pt idx="225">
                  <c:v>-10.180000000000291</c:v>
                </c:pt>
                <c:pt idx="226">
                  <c:v>12.800000000000182</c:v>
                </c:pt>
                <c:pt idx="227">
                  <c:v>-55.039999999999964</c:v>
                </c:pt>
                <c:pt idx="228">
                  <c:v>-100.8100000000004</c:v>
                </c:pt>
                <c:pt idx="229">
                  <c:v>-56.010000000000218</c:v>
                </c:pt>
                <c:pt idx="230">
                  <c:v>-0.63999999999941792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-9.6599999999998545</c:v>
                </c:pt>
                <c:pt idx="250">
                  <c:v>-45.230000000000473</c:v>
                </c:pt>
                <c:pt idx="251">
                  <c:v>-32</c:v>
                </c:pt>
                <c:pt idx="252">
                  <c:v>-44.179999999999382</c:v>
                </c:pt>
                <c:pt idx="253">
                  <c:v>-48.030000000000655</c:v>
                </c:pt>
                <c:pt idx="254">
                  <c:v>-67.909999999999854</c:v>
                </c:pt>
                <c:pt idx="255">
                  <c:v>-13.349999999999454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-7.999999999992724E-2</c:v>
                </c:pt>
                <c:pt idx="286">
                  <c:v>82.800000000000182</c:v>
                </c:pt>
                <c:pt idx="287">
                  <c:v>-73.849999999999454</c:v>
                </c:pt>
                <c:pt idx="288">
                  <c:v>271.77999999999884</c:v>
                </c:pt>
                <c:pt idx="289">
                  <c:v>188.56000000000131</c:v>
                </c:pt>
                <c:pt idx="290">
                  <c:v>-66.06000000000131</c:v>
                </c:pt>
                <c:pt idx="291">
                  <c:v>30.720000000001164</c:v>
                </c:pt>
                <c:pt idx="292">
                  <c:v>-35.720000000001164</c:v>
                </c:pt>
                <c:pt idx="293">
                  <c:v>1.2600000000002183</c:v>
                </c:pt>
                <c:pt idx="294">
                  <c:v>63.860000000000582</c:v>
                </c:pt>
                <c:pt idx="295">
                  <c:v>-51.780000000000655</c:v>
                </c:pt>
                <c:pt idx="296">
                  <c:v>-173.60000000000036</c:v>
                </c:pt>
                <c:pt idx="297">
                  <c:v>488.73999999999978</c:v>
                </c:pt>
                <c:pt idx="298">
                  <c:v>-75.690000000000509</c:v>
                </c:pt>
                <c:pt idx="299">
                  <c:v>352.59000000000196</c:v>
                </c:pt>
                <c:pt idx="300">
                  <c:v>842.78999999999814</c:v>
                </c:pt>
                <c:pt idx="301">
                  <c:v>-338.45999999999913</c:v>
                </c:pt>
                <c:pt idx="302">
                  <c:v>5.1900000000014188</c:v>
                </c:pt>
                <c:pt idx="303">
                  <c:v>317.0699999999988</c:v>
                </c:pt>
                <c:pt idx="304">
                  <c:v>-395.40000000000055</c:v>
                </c:pt>
                <c:pt idx="305">
                  <c:v>127.85999999999967</c:v>
                </c:pt>
                <c:pt idx="306">
                  <c:v>-448.14000000000033</c:v>
                </c:pt>
                <c:pt idx="307">
                  <c:v>-21.809999999998581</c:v>
                </c:pt>
                <c:pt idx="308">
                  <c:v>658.46999999999935</c:v>
                </c:pt>
                <c:pt idx="309">
                  <c:v>191.88000000000011</c:v>
                </c:pt>
                <c:pt idx="310">
                  <c:v>-556.67999999999847</c:v>
                </c:pt>
                <c:pt idx="311">
                  <c:v>98.519999999997708</c:v>
                </c:pt>
                <c:pt idx="312">
                  <c:v>-214.10999999999967</c:v>
                </c:pt>
                <c:pt idx="313">
                  <c:v>-146.13000000000011</c:v>
                </c:pt>
                <c:pt idx="314">
                  <c:v>94.380000000000109</c:v>
                </c:pt>
                <c:pt idx="315">
                  <c:v>-199.38000000000011</c:v>
                </c:pt>
                <c:pt idx="316">
                  <c:v>-291.05999999999858</c:v>
                </c:pt>
                <c:pt idx="317">
                  <c:v>-51</c:v>
                </c:pt>
                <c:pt idx="318">
                  <c:v>-32.020000000000437</c:v>
                </c:pt>
                <c:pt idx="319">
                  <c:v>149.10000000000036</c:v>
                </c:pt>
                <c:pt idx="320">
                  <c:v>1.7800000000006548</c:v>
                </c:pt>
                <c:pt idx="321">
                  <c:v>-3.0799999999999272</c:v>
                </c:pt>
                <c:pt idx="322">
                  <c:v>-43.700000000000728</c:v>
                </c:pt>
                <c:pt idx="323">
                  <c:v>86.659999999999854</c:v>
                </c:pt>
                <c:pt idx="324">
                  <c:v>10.079999999999927</c:v>
                </c:pt>
                <c:pt idx="325">
                  <c:v>132.97999999999956</c:v>
                </c:pt>
                <c:pt idx="326">
                  <c:v>279.14000000000124</c:v>
                </c:pt>
                <c:pt idx="327">
                  <c:v>485.42999999999938</c:v>
                </c:pt>
                <c:pt idx="328">
                  <c:v>-82.530000000000655</c:v>
                </c:pt>
                <c:pt idx="329">
                  <c:v>24.210000000001855</c:v>
                </c:pt>
                <c:pt idx="330">
                  <c:v>-499.5</c:v>
                </c:pt>
                <c:pt idx="331">
                  <c:v>71.18999999999869</c:v>
                </c:pt>
                <c:pt idx="332">
                  <c:v>181.14000000000033</c:v>
                </c:pt>
                <c:pt idx="333">
                  <c:v>-94.079999999999018</c:v>
                </c:pt>
                <c:pt idx="334">
                  <c:v>43.799999999998363</c:v>
                </c:pt>
                <c:pt idx="335">
                  <c:v>-248.57999999999902</c:v>
                </c:pt>
                <c:pt idx="336">
                  <c:v>-62.459999999999127</c:v>
                </c:pt>
                <c:pt idx="337">
                  <c:v>76.469999999999345</c:v>
                </c:pt>
                <c:pt idx="338">
                  <c:v>39.359999999999673</c:v>
                </c:pt>
                <c:pt idx="339">
                  <c:v>-89.880000000000109</c:v>
                </c:pt>
                <c:pt idx="340">
                  <c:v>27.300000000001091</c:v>
                </c:pt>
                <c:pt idx="341">
                  <c:v>59.130000000000109</c:v>
                </c:pt>
                <c:pt idx="342">
                  <c:v>78</c:v>
                </c:pt>
                <c:pt idx="343">
                  <c:v>-256.59000000000196</c:v>
                </c:pt>
                <c:pt idx="344">
                  <c:v>-213.23999999999978</c:v>
                </c:pt>
                <c:pt idx="345">
                  <c:v>7.1600000000016735</c:v>
                </c:pt>
                <c:pt idx="346">
                  <c:v>15.019999999998618</c:v>
                </c:pt>
                <c:pt idx="347">
                  <c:v>-81.599999999998545</c:v>
                </c:pt>
                <c:pt idx="348">
                  <c:v>-19.830000000000837</c:v>
                </c:pt>
                <c:pt idx="349">
                  <c:v>-81.5</c:v>
                </c:pt>
                <c:pt idx="350">
                  <c:v>-36.829999999999927</c:v>
                </c:pt>
                <c:pt idx="351">
                  <c:v>12.380000000000109</c:v>
                </c:pt>
                <c:pt idx="352">
                  <c:v>215.15999999999985</c:v>
                </c:pt>
                <c:pt idx="353">
                  <c:v>-84.279999999999745</c:v>
                </c:pt>
                <c:pt idx="354">
                  <c:v>33.869999999999891</c:v>
                </c:pt>
                <c:pt idx="355">
                  <c:v>5.6899999999995998</c:v>
                </c:pt>
                <c:pt idx="356">
                  <c:v>24.420000000000073</c:v>
                </c:pt>
                <c:pt idx="357">
                  <c:v>81.460000000000036</c:v>
                </c:pt>
                <c:pt idx="358">
                  <c:v>-29.079999999999927</c:v>
                </c:pt>
                <c:pt idx="359">
                  <c:v>-214.42000000000007</c:v>
                </c:pt>
                <c:pt idx="360">
                  <c:v>-49.300000000001091</c:v>
                </c:pt>
                <c:pt idx="361">
                  <c:v>-79.3799999999992</c:v>
                </c:pt>
                <c:pt idx="362">
                  <c:v>-198.63999999999942</c:v>
                </c:pt>
                <c:pt idx="363">
                  <c:v>1.8800000000001091</c:v>
                </c:pt>
                <c:pt idx="364">
                  <c:v>46.329999999999927</c:v>
                </c:pt>
                <c:pt idx="365">
                  <c:v>3.1700000000000728</c:v>
                </c:pt>
                <c:pt idx="366">
                  <c:v>-7.8800000000001091</c:v>
                </c:pt>
                <c:pt idx="367">
                  <c:v>-0.77000000000043656</c:v>
                </c:pt>
                <c:pt idx="368">
                  <c:v>68.150000000000546</c:v>
                </c:pt>
                <c:pt idx="369">
                  <c:v>-39.140000000000327</c:v>
                </c:pt>
                <c:pt idx="370">
                  <c:v>66</c:v>
                </c:pt>
                <c:pt idx="371">
                  <c:v>-82.220000000000255</c:v>
                </c:pt>
                <c:pt idx="372">
                  <c:v>-201.38999999999942</c:v>
                </c:pt>
                <c:pt idx="373">
                  <c:v>-15.110000000000582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14.8100000000004</c:v>
                </c:pt>
                <c:pt idx="384">
                  <c:v>-81.900000000000546</c:v>
                </c:pt>
                <c:pt idx="385">
                  <c:v>122.26000000000022</c:v>
                </c:pt>
                <c:pt idx="386">
                  <c:v>9.430000000000291</c:v>
                </c:pt>
                <c:pt idx="387">
                  <c:v>-22.090000000000146</c:v>
                </c:pt>
                <c:pt idx="388">
                  <c:v>84.220000000000255</c:v>
                </c:pt>
                <c:pt idx="389">
                  <c:v>131.06999999999971</c:v>
                </c:pt>
                <c:pt idx="390">
                  <c:v>-152.57999999999993</c:v>
                </c:pt>
                <c:pt idx="391">
                  <c:v>-115.05999999999949</c:v>
                </c:pt>
                <c:pt idx="392">
                  <c:v>-43.540000000000873</c:v>
                </c:pt>
                <c:pt idx="393">
                  <c:v>87.079999999999927</c:v>
                </c:pt>
                <c:pt idx="394">
                  <c:v>1.7800000000006548</c:v>
                </c:pt>
                <c:pt idx="395">
                  <c:v>114.31999999999971</c:v>
                </c:pt>
                <c:pt idx="396">
                  <c:v>-75.059999999999491</c:v>
                </c:pt>
                <c:pt idx="397">
                  <c:v>41.899999999999636</c:v>
                </c:pt>
                <c:pt idx="398">
                  <c:v>11.799999999999272</c:v>
                </c:pt>
                <c:pt idx="399">
                  <c:v>-183.07999999999993</c:v>
                </c:pt>
                <c:pt idx="400">
                  <c:v>52.239999999999782</c:v>
                </c:pt>
                <c:pt idx="401">
                  <c:v>-14.659999999999854</c:v>
                </c:pt>
                <c:pt idx="402">
                  <c:v>128.22000000000116</c:v>
                </c:pt>
                <c:pt idx="403">
                  <c:v>167.01999999999862</c:v>
                </c:pt>
                <c:pt idx="404">
                  <c:v>1.2099999999991269</c:v>
                </c:pt>
                <c:pt idx="405">
                  <c:v>192.63000000000011</c:v>
                </c:pt>
                <c:pt idx="406">
                  <c:v>-18.929999999998472</c:v>
                </c:pt>
                <c:pt idx="407">
                  <c:v>-81.630000000000109</c:v>
                </c:pt>
                <c:pt idx="408">
                  <c:v>69.209999999999127</c:v>
                </c:pt>
                <c:pt idx="409">
                  <c:v>-114.41999999999825</c:v>
                </c:pt>
                <c:pt idx="410">
                  <c:v>203.93999999999869</c:v>
                </c:pt>
                <c:pt idx="411">
                  <c:v>98.430000000001201</c:v>
                </c:pt>
                <c:pt idx="412">
                  <c:v>61.889999999997599</c:v>
                </c:pt>
                <c:pt idx="413">
                  <c:v>6.1800000000012005</c:v>
                </c:pt>
                <c:pt idx="414">
                  <c:v>5.8199999999987995</c:v>
                </c:pt>
                <c:pt idx="415">
                  <c:v>144.63000000000011</c:v>
                </c:pt>
                <c:pt idx="416">
                  <c:v>117.24000000000251</c:v>
                </c:pt>
                <c:pt idx="417">
                  <c:v>107.75999999999749</c:v>
                </c:pt>
                <c:pt idx="418">
                  <c:v>128.01000000000022</c:v>
                </c:pt>
                <c:pt idx="419">
                  <c:v>212.36999999999989</c:v>
                </c:pt>
                <c:pt idx="420">
                  <c:v>-159.63000000000011</c:v>
                </c:pt>
                <c:pt idx="421">
                  <c:v>87.75</c:v>
                </c:pt>
                <c:pt idx="422">
                  <c:v>280.59000000000196</c:v>
                </c:pt>
                <c:pt idx="423">
                  <c:v>137.54999999999836</c:v>
                </c:pt>
                <c:pt idx="424">
                  <c:v>100.32000000000153</c:v>
                </c:pt>
                <c:pt idx="425">
                  <c:v>-111.33000000000175</c:v>
                </c:pt>
                <c:pt idx="426">
                  <c:v>250.29000000000087</c:v>
                </c:pt>
                <c:pt idx="427">
                  <c:v>-20.429999999998472</c:v>
                </c:pt>
                <c:pt idx="428">
                  <c:v>-150.66000000000076</c:v>
                </c:pt>
                <c:pt idx="429">
                  <c:v>-72.540000000000873</c:v>
                </c:pt>
                <c:pt idx="430">
                  <c:v>-460.67999999999847</c:v>
                </c:pt>
                <c:pt idx="431">
                  <c:v>-24.780000000000655</c:v>
                </c:pt>
                <c:pt idx="432">
                  <c:v>90.329999999999018</c:v>
                </c:pt>
                <c:pt idx="433">
                  <c:v>175.22999999999956</c:v>
                </c:pt>
                <c:pt idx="434">
                  <c:v>257.40000000000055</c:v>
                </c:pt>
                <c:pt idx="435">
                  <c:v>-77.219999999999345</c:v>
                </c:pt>
                <c:pt idx="436">
                  <c:v>148.41000000000076</c:v>
                </c:pt>
                <c:pt idx="437">
                  <c:v>-82.230000000002292</c:v>
                </c:pt>
                <c:pt idx="438">
                  <c:v>94.590000000001965</c:v>
                </c:pt>
                <c:pt idx="439">
                  <c:v>-16.979999999999563</c:v>
                </c:pt>
                <c:pt idx="440">
                  <c:v>242.33999999999924</c:v>
                </c:pt>
                <c:pt idx="441">
                  <c:v>16.770000000000437</c:v>
                </c:pt>
                <c:pt idx="442">
                  <c:v>-0.75</c:v>
                </c:pt>
                <c:pt idx="443">
                  <c:v>272.36999999999989</c:v>
                </c:pt>
                <c:pt idx="444">
                  <c:v>291.23999999999978</c:v>
                </c:pt>
                <c:pt idx="445">
                  <c:v>-10.5</c:v>
                </c:pt>
                <c:pt idx="446">
                  <c:v>51.630000000000109</c:v>
                </c:pt>
                <c:pt idx="447">
                  <c:v>-296.82000000000153</c:v>
                </c:pt>
                <c:pt idx="448">
                  <c:v>-296.57999999999902</c:v>
                </c:pt>
                <c:pt idx="449">
                  <c:v>159.90000000000055</c:v>
                </c:pt>
                <c:pt idx="450">
                  <c:v>-274.46999999999935</c:v>
                </c:pt>
                <c:pt idx="451">
                  <c:v>-239.91000000000076</c:v>
                </c:pt>
                <c:pt idx="452">
                  <c:v>381.39999999999964</c:v>
                </c:pt>
                <c:pt idx="453">
                  <c:v>43.579999999999927</c:v>
                </c:pt>
                <c:pt idx="454">
                  <c:v>17.159999999999854</c:v>
                </c:pt>
                <c:pt idx="455">
                  <c:v>83.799999999999272</c:v>
                </c:pt>
                <c:pt idx="456">
                  <c:v>122.40000000000146</c:v>
                </c:pt>
                <c:pt idx="457">
                  <c:v>-110.20000000000073</c:v>
                </c:pt>
                <c:pt idx="458">
                  <c:v>4.7800000000006548</c:v>
                </c:pt>
                <c:pt idx="459">
                  <c:v>19.779999999998836</c:v>
                </c:pt>
                <c:pt idx="460">
                  <c:v>166.36000000000058</c:v>
                </c:pt>
                <c:pt idx="461">
                  <c:v>-82.409999999998945</c:v>
                </c:pt>
                <c:pt idx="462">
                  <c:v>-307.35000000000218</c:v>
                </c:pt>
                <c:pt idx="463">
                  <c:v>-208.58999999999924</c:v>
                </c:pt>
                <c:pt idx="464">
                  <c:v>-35.640000000000327</c:v>
                </c:pt>
                <c:pt idx="465">
                  <c:v>-120.80999999999858</c:v>
                </c:pt>
                <c:pt idx="466">
                  <c:v>5.6999999999989086</c:v>
                </c:pt>
                <c:pt idx="467">
                  <c:v>226.46999999999935</c:v>
                </c:pt>
                <c:pt idx="468">
                  <c:v>18.270000000000437</c:v>
                </c:pt>
                <c:pt idx="469">
                  <c:v>277.89000000000033</c:v>
                </c:pt>
                <c:pt idx="470">
                  <c:v>-77.069999999998799</c:v>
                </c:pt>
                <c:pt idx="471">
                  <c:v>-23.520000000000437</c:v>
                </c:pt>
                <c:pt idx="472">
                  <c:v>51.929999999998472</c:v>
                </c:pt>
                <c:pt idx="473">
                  <c:v>-249.51000000000022</c:v>
                </c:pt>
                <c:pt idx="474">
                  <c:v>-118.58999999999924</c:v>
                </c:pt>
                <c:pt idx="475">
                  <c:v>217.85999999999967</c:v>
                </c:pt>
                <c:pt idx="476">
                  <c:v>272.25</c:v>
                </c:pt>
                <c:pt idx="477">
                  <c:v>5.2800000000006548</c:v>
                </c:pt>
                <c:pt idx="478">
                  <c:v>-669.86999999999989</c:v>
                </c:pt>
                <c:pt idx="479">
                  <c:v>-23.699999999998909</c:v>
                </c:pt>
                <c:pt idx="480">
                  <c:v>-978.63000000000011</c:v>
                </c:pt>
                <c:pt idx="481">
                  <c:v>247.51999999999953</c:v>
                </c:pt>
                <c:pt idx="482">
                  <c:v>59.659999999999854</c:v>
                </c:pt>
                <c:pt idx="483">
                  <c:v>185.95999999999913</c:v>
                </c:pt>
                <c:pt idx="484">
                  <c:v>-11.340000000000146</c:v>
                </c:pt>
                <c:pt idx="485">
                  <c:v>121.89999999999964</c:v>
                </c:pt>
                <c:pt idx="486">
                  <c:v>109.70000000000073</c:v>
                </c:pt>
                <c:pt idx="487">
                  <c:v>-227.45999999999913</c:v>
                </c:pt>
                <c:pt idx="488">
                  <c:v>251.3799999999992</c:v>
                </c:pt>
                <c:pt idx="489">
                  <c:v>47.680000000000291</c:v>
                </c:pt>
                <c:pt idx="490">
                  <c:v>35.319999999999709</c:v>
                </c:pt>
                <c:pt idx="491">
                  <c:v>-2.5200000000004366</c:v>
                </c:pt>
                <c:pt idx="492">
                  <c:v>41.659999999999854</c:v>
                </c:pt>
                <c:pt idx="493">
                  <c:v>113.3100000000004</c:v>
                </c:pt>
                <c:pt idx="494">
                  <c:v>106.94999999999891</c:v>
                </c:pt>
                <c:pt idx="495">
                  <c:v>55.5</c:v>
                </c:pt>
                <c:pt idx="496">
                  <c:v>-97.949999999998909</c:v>
                </c:pt>
                <c:pt idx="497">
                  <c:v>-171.08999999999924</c:v>
                </c:pt>
                <c:pt idx="498">
                  <c:v>180.5699999999988</c:v>
                </c:pt>
                <c:pt idx="499">
                  <c:v>108.23999999999978</c:v>
                </c:pt>
                <c:pt idx="500">
                  <c:v>1.7399999999997817</c:v>
                </c:pt>
                <c:pt idx="501">
                  <c:v>143.76000000000022</c:v>
                </c:pt>
                <c:pt idx="502">
                  <c:v>215.09999999999945</c:v>
                </c:pt>
                <c:pt idx="503">
                  <c:v>155.85000000000218</c:v>
                </c:pt>
                <c:pt idx="504">
                  <c:v>-24.510000000000218</c:v>
                </c:pt>
                <c:pt idx="505">
                  <c:v>108.17999999999847</c:v>
                </c:pt>
                <c:pt idx="506">
                  <c:v>-27.75</c:v>
                </c:pt>
                <c:pt idx="507">
                  <c:v>-218.69999999999891</c:v>
                </c:pt>
                <c:pt idx="508">
                  <c:v>123.71999999999935</c:v>
                </c:pt>
                <c:pt idx="509">
                  <c:v>-252.75</c:v>
                </c:pt>
                <c:pt idx="510">
                  <c:v>132.06000000000131</c:v>
                </c:pt>
                <c:pt idx="511">
                  <c:v>-344.04000000000087</c:v>
                </c:pt>
                <c:pt idx="512">
                  <c:v>162.11999999999989</c:v>
                </c:pt>
                <c:pt idx="513">
                  <c:v>203.36999999999989</c:v>
                </c:pt>
                <c:pt idx="514">
                  <c:v>103.65000000000055</c:v>
                </c:pt>
                <c:pt idx="515">
                  <c:v>-181.08000000000175</c:v>
                </c:pt>
                <c:pt idx="516">
                  <c:v>46.170000000000982</c:v>
                </c:pt>
                <c:pt idx="517">
                  <c:v>-151.85999999999967</c:v>
                </c:pt>
                <c:pt idx="518">
                  <c:v>-222</c:v>
                </c:pt>
                <c:pt idx="519">
                  <c:v>82.859999999999673</c:v>
                </c:pt>
                <c:pt idx="520">
                  <c:v>70.859999999999673</c:v>
                </c:pt>
                <c:pt idx="521">
                  <c:v>418.20000000000164</c:v>
                </c:pt>
                <c:pt idx="522">
                  <c:v>147.63000000000011</c:v>
                </c:pt>
                <c:pt idx="523">
                  <c:v>-58.290000000000873</c:v>
                </c:pt>
                <c:pt idx="524">
                  <c:v>-129.42000000000098</c:v>
                </c:pt>
                <c:pt idx="525">
                  <c:v>132.47999999999956</c:v>
                </c:pt>
                <c:pt idx="526">
                  <c:v>-195.95999999999913</c:v>
                </c:pt>
                <c:pt idx="527">
                  <c:v>-2.9399999999986903</c:v>
                </c:pt>
                <c:pt idx="528">
                  <c:v>-166.59000000000196</c:v>
                </c:pt>
                <c:pt idx="529">
                  <c:v>40.619999999999891</c:v>
                </c:pt>
                <c:pt idx="530">
                  <c:v>148.17000000000098</c:v>
                </c:pt>
                <c:pt idx="531">
                  <c:v>-11.459999999999127</c:v>
                </c:pt>
                <c:pt idx="532">
                  <c:v>322.34999999999945</c:v>
                </c:pt>
                <c:pt idx="533">
                  <c:v>141.11999999999989</c:v>
                </c:pt>
                <c:pt idx="534">
                  <c:v>99.480000000002292</c:v>
                </c:pt>
                <c:pt idx="535">
                  <c:v>-16.140000000003056</c:v>
                </c:pt>
                <c:pt idx="536">
                  <c:v>-169.3199999999988</c:v>
                </c:pt>
                <c:pt idx="537">
                  <c:v>-9.4500000000016371</c:v>
                </c:pt>
                <c:pt idx="538">
                  <c:v>74.010000000000218</c:v>
                </c:pt>
                <c:pt idx="539">
                  <c:v>-102.44999999999891</c:v>
                </c:pt>
                <c:pt idx="540">
                  <c:v>-7.1700000000009823</c:v>
                </c:pt>
                <c:pt idx="541">
                  <c:v>314.84999999999945</c:v>
                </c:pt>
                <c:pt idx="542">
                  <c:v>134.67000000000371</c:v>
                </c:pt>
                <c:pt idx="543">
                  <c:v>27.599999999996726</c:v>
                </c:pt>
                <c:pt idx="544">
                  <c:v>32.070000000001528</c:v>
                </c:pt>
                <c:pt idx="545">
                  <c:v>121.73999999999978</c:v>
                </c:pt>
                <c:pt idx="546">
                  <c:v>-163.65000000000327</c:v>
                </c:pt>
                <c:pt idx="547">
                  <c:v>114.51000000000022</c:v>
                </c:pt>
                <c:pt idx="548">
                  <c:v>94.140000000003056</c:v>
                </c:pt>
                <c:pt idx="549">
                  <c:v>-71.610000000002401</c:v>
                </c:pt>
                <c:pt idx="550">
                  <c:v>312.98999999999978</c:v>
                </c:pt>
                <c:pt idx="551">
                  <c:v>368.76000000000022</c:v>
                </c:pt>
                <c:pt idx="552">
                  <c:v>546.71999999999935</c:v>
                </c:pt>
                <c:pt idx="553">
                  <c:v>288.33000000000175</c:v>
                </c:pt>
                <c:pt idx="554">
                  <c:v>-16.800000000001091</c:v>
                </c:pt>
                <c:pt idx="555">
                  <c:v>278.40000000000327</c:v>
                </c:pt>
                <c:pt idx="556">
                  <c:v>-220.32000000000153</c:v>
                </c:pt>
                <c:pt idx="557">
                  <c:v>-64.590000000001965</c:v>
                </c:pt>
                <c:pt idx="558">
                  <c:v>145.83000000000175</c:v>
                </c:pt>
                <c:pt idx="559">
                  <c:v>-28.860000000002401</c:v>
                </c:pt>
                <c:pt idx="560">
                  <c:v>168.84000000000196</c:v>
                </c:pt>
                <c:pt idx="561">
                  <c:v>170.13000000000284</c:v>
                </c:pt>
                <c:pt idx="562">
                  <c:v>218.33999999999651</c:v>
                </c:pt>
                <c:pt idx="563">
                  <c:v>239.40000000000327</c:v>
                </c:pt>
                <c:pt idx="564">
                  <c:v>118.58999999999651</c:v>
                </c:pt>
                <c:pt idx="565">
                  <c:v>544.59000000000196</c:v>
                </c:pt>
                <c:pt idx="566">
                  <c:v>44.669999999998254</c:v>
                </c:pt>
                <c:pt idx="567">
                  <c:v>-281.33999999999651</c:v>
                </c:pt>
                <c:pt idx="568">
                  <c:v>190.37999999999738</c:v>
                </c:pt>
                <c:pt idx="569">
                  <c:v>350.66999999999825</c:v>
                </c:pt>
                <c:pt idx="570">
                  <c:v>-161.93999999999869</c:v>
                </c:pt>
                <c:pt idx="571">
                  <c:v>277.22999999999956</c:v>
                </c:pt>
                <c:pt idx="572">
                  <c:v>-73.139999999997599</c:v>
                </c:pt>
                <c:pt idx="573">
                  <c:v>-36.120000000002619</c:v>
                </c:pt>
                <c:pt idx="574">
                  <c:v>337.77000000000044</c:v>
                </c:pt>
                <c:pt idx="575">
                  <c:v>107.01000000000022</c:v>
                </c:pt>
                <c:pt idx="576">
                  <c:v>367.46999999999935</c:v>
                </c:pt>
                <c:pt idx="577">
                  <c:v>-11.790000000000873</c:v>
                </c:pt>
                <c:pt idx="578">
                  <c:v>-521.12999999999738</c:v>
                </c:pt>
                <c:pt idx="579">
                  <c:v>-1212.4199999999983</c:v>
                </c:pt>
                <c:pt idx="580">
                  <c:v>-304.35000000000218</c:v>
                </c:pt>
                <c:pt idx="581">
                  <c:v>429.36000000000058</c:v>
                </c:pt>
                <c:pt idx="582">
                  <c:v>-790.7400000000016</c:v>
                </c:pt>
                <c:pt idx="583">
                  <c:v>242.92000000000189</c:v>
                </c:pt>
                <c:pt idx="584">
                  <c:v>107.25</c:v>
                </c:pt>
                <c:pt idx="585">
                  <c:v>-116.09000000000015</c:v>
                </c:pt>
                <c:pt idx="586">
                  <c:v>126.31000000000131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195.86999999999898</c:v>
                </c:pt>
                <c:pt idx="594">
                  <c:v>111.08000000000084</c:v>
                </c:pt>
                <c:pt idx="595">
                  <c:v>-425.3100000000004</c:v>
                </c:pt>
                <c:pt idx="596">
                  <c:v>36.520000000000437</c:v>
                </c:pt>
                <c:pt idx="597">
                  <c:v>-14.3799999999992</c:v>
                </c:pt>
                <c:pt idx="598">
                  <c:v>-239.38000000000102</c:v>
                </c:pt>
                <c:pt idx="599">
                  <c:v>42.75</c:v>
                </c:pt>
                <c:pt idx="600">
                  <c:v>-28.219999999999345</c:v>
                </c:pt>
                <c:pt idx="601">
                  <c:v>-9.2399999999997817</c:v>
                </c:pt>
                <c:pt idx="602">
                  <c:v>84.229999999999563</c:v>
                </c:pt>
                <c:pt idx="603">
                  <c:v>-127.88999999999942</c:v>
                </c:pt>
                <c:pt idx="604">
                  <c:v>-210.95000000000073</c:v>
                </c:pt>
                <c:pt idx="605">
                  <c:v>-36.729999999999563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-38.059999999999491</c:v>
                </c:pt>
                <c:pt idx="610">
                  <c:v>-80.5</c:v>
                </c:pt>
                <c:pt idx="611">
                  <c:v>65.540000000000873</c:v>
                </c:pt>
                <c:pt idx="612">
                  <c:v>15</c:v>
                </c:pt>
                <c:pt idx="613">
                  <c:v>-90.700000000000728</c:v>
                </c:pt>
                <c:pt idx="614">
                  <c:v>104.20999999999913</c:v>
                </c:pt>
                <c:pt idx="615">
                  <c:v>-131.71999999999935</c:v>
                </c:pt>
                <c:pt idx="616">
                  <c:v>26.469999999999345</c:v>
                </c:pt>
                <c:pt idx="617">
                  <c:v>56.650000000001455</c:v>
                </c:pt>
                <c:pt idx="618">
                  <c:v>122.25</c:v>
                </c:pt>
                <c:pt idx="619">
                  <c:v>152.18999999999869</c:v>
                </c:pt>
                <c:pt idx="620">
                  <c:v>232.78999999999905</c:v>
                </c:pt>
                <c:pt idx="621">
                  <c:v>-3.3999999999978172</c:v>
                </c:pt>
                <c:pt idx="622">
                  <c:v>153.09999999999854</c:v>
                </c:pt>
                <c:pt idx="623">
                  <c:v>269.5</c:v>
                </c:pt>
                <c:pt idx="624">
                  <c:v>153.63999999999942</c:v>
                </c:pt>
                <c:pt idx="625">
                  <c:v>-145.36000000000058</c:v>
                </c:pt>
                <c:pt idx="626">
                  <c:v>-20.259999999998399</c:v>
                </c:pt>
                <c:pt idx="627">
                  <c:v>199.81999999999971</c:v>
                </c:pt>
                <c:pt idx="628">
                  <c:v>-154.68000000000029</c:v>
                </c:pt>
                <c:pt idx="629">
                  <c:v>115.68000000000029</c:v>
                </c:pt>
                <c:pt idx="630">
                  <c:v>-402.40000000000146</c:v>
                </c:pt>
                <c:pt idx="631">
                  <c:v>43.960000000002765</c:v>
                </c:pt>
                <c:pt idx="632">
                  <c:v>148.03999999999724</c:v>
                </c:pt>
                <c:pt idx="633">
                  <c:v>-60.619999999998981</c:v>
                </c:pt>
                <c:pt idx="634">
                  <c:v>149.81999999999971</c:v>
                </c:pt>
                <c:pt idx="635">
                  <c:v>-50.700000000000728</c:v>
                </c:pt>
                <c:pt idx="636">
                  <c:v>-502.18000000000029</c:v>
                </c:pt>
                <c:pt idx="637">
                  <c:v>200.67000000000189</c:v>
                </c:pt>
                <c:pt idx="638">
                  <c:v>-59.769999999998618</c:v>
                </c:pt>
                <c:pt idx="639">
                  <c:v>125.63999999999942</c:v>
                </c:pt>
                <c:pt idx="640">
                  <c:v>63.25</c:v>
                </c:pt>
                <c:pt idx="641">
                  <c:v>178.36999999999898</c:v>
                </c:pt>
                <c:pt idx="642">
                  <c:v>-148.28999999999905</c:v>
                </c:pt>
                <c:pt idx="643">
                  <c:v>-93.119999999998981</c:v>
                </c:pt>
                <c:pt idx="644">
                  <c:v>-226.28000000000247</c:v>
                </c:pt>
                <c:pt idx="645">
                  <c:v>-650.27999999999884</c:v>
                </c:pt>
                <c:pt idx="646">
                  <c:v>14.280000000000655</c:v>
                </c:pt>
                <c:pt idx="647">
                  <c:v>-15.800000000001091</c:v>
                </c:pt>
                <c:pt idx="648">
                  <c:v>7.4200000000000728</c:v>
                </c:pt>
                <c:pt idx="649">
                  <c:v>-362.63999999999942</c:v>
                </c:pt>
                <c:pt idx="650">
                  <c:v>24.659999999999854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7.5399999999990541</c:v>
                </c:pt>
                <c:pt idx="665">
                  <c:v>-139.36999999999898</c:v>
                </c:pt>
                <c:pt idx="666">
                  <c:v>2.5599999999994907</c:v>
                </c:pt>
                <c:pt idx="667">
                  <c:v>-67.440000000000509</c:v>
                </c:pt>
                <c:pt idx="668">
                  <c:v>-25.670000000000073</c:v>
                </c:pt>
                <c:pt idx="669">
                  <c:v>-17.459999999999127</c:v>
                </c:pt>
                <c:pt idx="670">
                  <c:v>-27.969999999999345</c:v>
                </c:pt>
                <c:pt idx="671">
                  <c:v>124.34999999999854</c:v>
                </c:pt>
                <c:pt idx="672">
                  <c:v>-40.299999999999272</c:v>
                </c:pt>
                <c:pt idx="673">
                  <c:v>147.48999999999978</c:v>
                </c:pt>
                <c:pt idx="674">
                  <c:v>302.89000000000033</c:v>
                </c:pt>
                <c:pt idx="675">
                  <c:v>138.03999999999996</c:v>
                </c:pt>
                <c:pt idx="676">
                  <c:v>574.45999999999913</c:v>
                </c:pt>
                <c:pt idx="677">
                  <c:v>46.920000000000073</c:v>
                </c:pt>
                <c:pt idx="678">
                  <c:v>-413.84000000000015</c:v>
                </c:pt>
                <c:pt idx="679">
                  <c:v>314.46000000000095</c:v>
                </c:pt>
                <c:pt idx="680">
                  <c:v>-168.71999999999935</c:v>
                </c:pt>
                <c:pt idx="681">
                  <c:v>-388.07999999999993</c:v>
                </c:pt>
                <c:pt idx="682">
                  <c:v>-63.180000000000291</c:v>
                </c:pt>
                <c:pt idx="683">
                  <c:v>21.359999999998763</c:v>
                </c:pt>
                <c:pt idx="684">
                  <c:v>-314.65999999999804</c:v>
                </c:pt>
                <c:pt idx="685">
                  <c:v>-166.46000000000276</c:v>
                </c:pt>
                <c:pt idx="686">
                  <c:v>-218.65999999999985</c:v>
                </c:pt>
                <c:pt idx="687">
                  <c:v>197.94000000000233</c:v>
                </c:pt>
                <c:pt idx="688">
                  <c:v>138.84999999999945</c:v>
                </c:pt>
                <c:pt idx="689">
                  <c:v>-36.900000000000546</c:v>
                </c:pt>
                <c:pt idx="690">
                  <c:v>337.73000000000047</c:v>
                </c:pt>
                <c:pt idx="691">
                  <c:v>-79.539999999999964</c:v>
                </c:pt>
                <c:pt idx="692">
                  <c:v>-122.15000000000055</c:v>
                </c:pt>
                <c:pt idx="693">
                  <c:v>27.789999999999964</c:v>
                </c:pt>
                <c:pt idx="694">
                  <c:v>27.960000000000036</c:v>
                </c:pt>
                <c:pt idx="695">
                  <c:v>-144.09999999999945</c:v>
                </c:pt>
                <c:pt idx="696">
                  <c:v>-255.43000000000029</c:v>
                </c:pt>
                <c:pt idx="697">
                  <c:v>249.30000000000018</c:v>
                </c:pt>
                <c:pt idx="698">
                  <c:v>77.909999999999854</c:v>
                </c:pt>
                <c:pt idx="699">
                  <c:v>-83.019999999999527</c:v>
                </c:pt>
                <c:pt idx="700">
                  <c:v>74.449999999999818</c:v>
                </c:pt>
                <c:pt idx="701">
                  <c:v>528.23999999999978</c:v>
                </c:pt>
                <c:pt idx="702">
                  <c:v>473.4300000000012</c:v>
                </c:pt>
                <c:pt idx="703">
                  <c:v>-217.30000000000109</c:v>
                </c:pt>
                <c:pt idx="704">
                  <c:v>-445.07999999999993</c:v>
                </c:pt>
                <c:pt idx="705">
                  <c:v>507.60000000000036</c:v>
                </c:pt>
                <c:pt idx="706">
                  <c:v>-163.97000000000025</c:v>
                </c:pt>
                <c:pt idx="707">
                  <c:v>98.760000000000218</c:v>
                </c:pt>
                <c:pt idx="708">
                  <c:v>67.109999999999673</c:v>
                </c:pt>
                <c:pt idx="709">
                  <c:v>-458.57999999999902</c:v>
                </c:pt>
                <c:pt idx="710">
                  <c:v>362.0699999999988</c:v>
                </c:pt>
                <c:pt idx="711">
                  <c:v>8.25</c:v>
                </c:pt>
                <c:pt idx="712">
                  <c:v>-944.18999999999869</c:v>
                </c:pt>
                <c:pt idx="713">
                  <c:v>-33.270000000000437</c:v>
                </c:pt>
                <c:pt idx="714">
                  <c:v>-444.11999999999989</c:v>
                </c:pt>
                <c:pt idx="715">
                  <c:v>284.16999999999916</c:v>
                </c:pt>
                <c:pt idx="716">
                  <c:v>-382.92000000000007</c:v>
                </c:pt>
                <c:pt idx="717">
                  <c:v>49.800000000000182</c:v>
                </c:pt>
                <c:pt idx="718">
                  <c:v>-177.59999999999945</c:v>
                </c:pt>
                <c:pt idx="719">
                  <c:v>-21.360000000000582</c:v>
                </c:pt>
                <c:pt idx="720">
                  <c:v>-154.40999999999985</c:v>
                </c:pt>
                <c:pt idx="721">
                  <c:v>49.319999999999709</c:v>
                </c:pt>
                <c:pt idx="722">
                  <c:v>149.88999999999942</c:v>
                </c:pt>
                <c:pt idx="723">
                  <c:v>-207.23999999999978</c:v>
                </c:pt>
                <c:pt idx="724">
                  <c:v>-23.859999999998763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-18.529999999999745</c:v>
                </c:pt>
                <c:pt idx="734">
                  <c:v>-121.53000000000065</c:v>
                </c:pt>
                <c:pt idx="735">
                  <c:v>-158.27000000000044</c:v>
                </c:pt>
                <c:pt idx="736">
                  <c:v>-187.36999999999898</c:v>
                </c:pt>
                <c:pt idx="737">
                  <c:v>-340.36000000000058</c:v>
                </c:pt>
                <c:pt idx="738">
                  <c:v>11.569999999999709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15.210000000000946</c:v>
                </c:pt>
                <c:pt idx="752">
                  <c:v>32.100000000000364</c:v>
                </c:pt>
                <c:pt idx="753">
                  <c:v>199.67000000000189</c:v>
                </c:pt>
                <c:pt idx="754">
                  <c:v>48.779999999998836</c:v>
                </c:pt>
                <c:pt idx="755">
                  <c:v>-32.180000000000291</c:v>
                </c:pt>
                <c:pt idx="756">
                  <c:v>17.959999999999127</c:v>
                </c:pt>
                <c:pt idx="757">
                  <c:v>-92.139999999999418</c:v>
                </c:pt>
                <c:pt idx="758">
                  <c:v>-57.520000000000437</c:v>
                </c:pt>
                <c:pt idx="759">
                  <c:v>-36.319999999999709</c:v>
                </c:pt>
                <c:pt idx="760">
                  <c:v>-85</c:v>
                </c:pt>
                <c:pt idx="761">
                  <c:v>263.54000000000087</c:v>
                </c:pt>
                <c:pt idx="762">
                  <c:v>-375.72000000000116</c:v>
                </c:pt>
                <c:pt idx="763">
                  <c:v>56.360000000000582</c:v>
                </c:pt>
                <c:pt idx="764">
                  <c:v>87.419999999998254</c:v>
                </c:pt>
                <c:pt idx="765">
                  <c:v>-253.11999999999898</c:v>
                </c:pt>
                <c:pt idx="766">
                  <c:v>40.600000000002183</c:v>
                </c:pt>
                <c:pt idx="767">
                  <c:v>137.93999999999869</c:v>
                </c:pt>
                <c:pt idx="768">
                  <c:v>-119.43999999999869</c:v>
                </c:pt>
                <c:pt idx="769">
                  <c:v>-148.46000000000276</c:v>
                </c:pt>
                <c:pt idx="770">
                  <c:v>75.319999999999709</c:v>
                </c:pt>
                <c:pt idx="771">
                  <c:v>318.96000000000276</c:v>
                </c:pt>
                <c:pt idx="772">
                  <c:v>57.779999999998836</c:v>
                </c:pt>
                <c:pt idx="773">
                  <c:v>277.52000000000044</c:v>
                </c:pt>
                <c:pt idx="774">
                  <c:v>66.659999999999854</c:v>
                </c:pt>
                <c:pt idx="775">
                  <c:v>293.37000000000262</c:v>
                </c:pt>
                <c:pt idx="776">
                  <c:v>-678.93000000000393</c:v>
                </c:pt>
                <c:pt idx="777">
                  <c:v>-159.95999999999913</c:v>
                </c:pt>
                <c:pt idx="778">
                  <c:v>-22.619999999997162</c:v>
                </c:pt>
                <c:pt idx="779">
                  <c:v>-519.90000000000327</c:v>
                </c:pt>
                <c:pt idx="780">
                  <c:v>-380.69999999999891</c:v>
                </c:pt>
                <c:pt idx="781">
                  <c:v>212.6299999999992</c:v>
                </c:pt>
                <c:pt idx="782">
                  <c:v>-225.31999999999971</c:v>
                </c:pt>
                <c:pt idx="783">
                  <c:v>127.27000000000044</c:v>
                </c:pt>
                <c:pt idx="784">
                  <c:v>-65.840000000000146</c:v>
                </c:pt>
                <c:pt idx="785">
                  <c:v>105.38999999999942</c:v>
                </c:pt>
                <c:pt idx="786">
                  <c:v>-145.03999999999905</c:v>
                </c:pt>
                <c:pt idx="787">
                  <c:v>15.449999999998909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56.719999999999345</c:v>
                </c:pt>
                <c:pt idx="793">
                  <c:v>283.27999999999975</c:v>
                </c:pt>
                <c:pt idx="794">
                  <c:v>-43.279999999999745</c:v>
                </c:pt>
                <c:pt idx="795">
                  <c:v>-64.180000000000291</c:v>
                </c:pt>
                <c:pt idx="796">
                  <c:v>-32.020000000000437</c:v>
                </c:pt>
                <c:pt idx="797">
                  <c:v>-15.789999999999054</c:v>
                </c:pt>
                <c:pt idx="798">
                  <c:v>169.84000000000015</c:v>
                </c:pt>
                <c:pt idx="799">
                  <c:v>331.24000000000069</c:v>
                </c:pt>
                <c:pt idx="800">
                  <c:v>51.899999999999636</c:v>
                </c:pt>
                <c:pt idx="801">
                  <c:v>276.73999999999978</c:v>
                </c:pt>
                <c:pt idx="802">
                  <c:v>-233.88000000000102</c:v>
                </c:pt>
                <c:pt idx="803">
                  <c:v>86.520000000000437</c:v>
                </c:pt>
                <c:pt idx="804">
                  <c:v>526.07999999999993</c:v>
                </c:pt>
                <c:pt idx="805">
                  <c:v>50.440000000000509</c:v>
                </c:pt>
                <c:pt idx="806">
                  <c:v>231.1200000000008</c:v>
                </c:pt>
                <c:pt idx="807">
                  <c:v>108.23999999999978</c:v>
                </c:pt>
                <c:pt idx="808">
                  <c:v>-80.480000000001382</c:v>
                </c:pt>
                <c:pt idx="809">
                  <c:v>331.38000000000102</c:v>
                </c:pt>
                <c:pt idx="810">
                  <c:v>-225.39999999999964</c:v>
                </c:pt>
                <c:pt idx="811">
                  <c:v>578.51999999999862</c:v>
                </c:pt>
                <c:pt idx="812">
                  <c:v>7.2000000000007276</c:v>
                </c:pt>
                <c:pt idx="813">
                  <c:v>-54.799999999999272</c:v>
                </c:pt>
                <c:pt idx="814">
                  <c:v>-338.22000000000116</c:v>
                </c:pt>
                <c:pt idx="815">
                  <c:v>175.60000000000036</c:v>
                </c:pt>
                <c:pt idx="816">
                  <c:v>645.44000000000051</c:v>
                </c:pt>
                <c:pt idx="817">
                  <c:v>382.57999999999902</c:v>
                </c:pt>
                <c:pt idx="818">
                  <c:v>-791.60999999999967</c:v>
                </c:pt>
                <c:pt idx="819">
                  <c:v>477.57000000000153</c:v>
                </c:pt>
                <c:pt idx="820">
                  <c:v>-811.05000000000109</c:v>
                </c:pt>
                <c:pt idx="821">
                  <c:v>60.06000000000131</c:v>
                </c:pt>
                <c:pt idx="822">
                  <c:v>-732.54000000000087</c:v>
                </c:pt>
                <c:pt idx="823">
                  <c:v>-174.75</c:v>
                </c:pt>
                <c:pt idx="824">
                  <c:v>403.38000000000011</c:v>
                </c:pt>
                <c:pt idx="825">
                  <c:v>657.44999999999891</c:v>
                </c:pt>
                <c:pt idx="826">
                  <c:v>-167.64000000000033</c:v>
                </c:pt>
                <c:pt idx="827">
                  <c:v>138.86999999999989</c:v>
                </c:pt>
                <c:pt idx="828">
                  <c:v>64.56000000000131</c:v>
                </c:pt>
                <c:pt idx="829">
                  <c:v>75.540000000000873</c:v>
                </c:pt>
                <c:pt idx="830">
                  <c:v>491.88000000000011</c:v>
                </c:pt>
                <c:pt idx="831">
                  <c:v>-638.52000000000044</c:v>
                </c:pt>
                <c:pt idx="832">
                  <c:v>4.9799999999995634</c:v>
                </c:pt>
                <c:pt idx="833">
                  <c:v>-553.38000000000011</c:v>
                </c:pt>
                <c:pt idx="834">
                  <c:v>-349.73999999999978</c:v>
                </c:pt>
                <c:pt idx="835">
                  <c:v>95.459999999999127</c:v>
                </c:pt>
                <c:pt idx="836">
                  <c:v>4.3800000000001091</c:v>
                </c:pt>
                <c:pt idx="837">
                  <c:v>-101.18999999999869</c:v>
                </c:pt>
                <c:pt idx="838">
                  <c:v>388.70999999999913</c:v>
                </c:pt>
                <c:pt idx="839">
                  <c:v>587.28000000000065</c:v>
                </c:pt>
                <c:pt idx="840">
                  <c:v>66.419999999998254</c:v>
                </c:pt>
                <c:pt idx="841">
                  <c:v>-186.89999999999782</c:v>
                </c:pt>
                <c:pt idx="842">
                  <c:v>367.26000000000022</c:v>
                </c:pt>
                <c:pt idx="843">
                  <c:v>20.519999999997708</c:v>
                </c:pt>
                <c:pt idx="844">
                  <c:v>-357.23999999999978</c:v>
                </c:pt>
                <c:pt idx="845">
                  <c:v>198.35999999999967</c:v>
                </c:pt>
                <c:pt idx="846">
                  <c:v>-349.10999999999967</c:v>
                </c:pt>
                <c:pt idx="847">
                  <c:v>142.80000000000109</c:v>
                </c:pt>
                <c:pt idx="848">
                  <c:v>-38.219999999999345</c:v>
                </c:pt>
                <c:pt idx="849">
                  <c:v>699.05999999999858</c:v>
                </c:pt>
                <c:pt idx="850">
                  <c:v>339.81000000000131</c:v>
                </c:pt>
                <c:pt idx="851">
                  <c:v>344.66999999999825</c:v>
                </c:pt>
                <c:pt idx="852">
                  <c:v>516.90000000000055</c:v>
                </c:pt>
                <c:pt idx="853">
                  <c:v>316.05000000000109</c:v>
                </c:pt>
                <c:pt idx="854">
                  <c:v>-1054.2299999999996</c:v>
                </c:pt>
                <c:pt idx="855">
                  <c:v>701.75999999999749</c:v>
                </c:pt>
                <c:pt idx="856">
                  <c:v>-99.719999999999345</c:v>
                </c:pt>
                <c:pt idx="857">
                  <c:v>618.1800000000012</c:v>
                </c:pt>
                <c:pt idx="858">
                  <c:v>-176.19000000000142</c:v>
                </c:pt>
                <c:pt idx="859">
                  <c:v>774.69000000000142</c:v>
                </c:pt>
                <c:pt idx="860">
                  <c:v>887.57999999999902</c:v>
                </c:pt>
                <c:pt idx="861">
                  <c:v>-132.83999999999924</c:v>
                </c:pt>
                <c:pt idx="862">
                  <c:v>476.76000000000022</c:v>
                </c:pt>
                <c:pt idx="863">
                  <c:v>-985.29000000000087</c:v>
                </c:pt>
                <c:pt idx="864">
                  <c:v>-420.66000000000076</c:v>
                </c:pt>
                <c:pt idx="865">
                  <c:v>-214.82999999999902</c:v>
                </c:pt>
                <c:pt idx="866">
                  <c:v>148.82999999999902</c:v>
                </c:pt>
                <c:pt idx="867">
                  <c:v>215.31000000000131</c:v>
                </c:pt>
                <c:pt idx="868">
                  <c:v>393.59999999999945</c:v>
                </c:pt>
                <c:pt idx="869">
                  <c:v>631.05000000000109</c:v>
                </c:pt>
                <c:pt idx="870">
                  <c:v>-134.19000000000142</c:v>
                </c:pt>
                <c:pt idx="871">
                  <c:v>180.86999999999989</c:v>
                </c:pt>
                <c:pt idx="872">
                  <c:v>-115.52999999999793</c:v>
                </c:pt>
                <c:pt idx="873">
                  <c:v>709.58999999999924</c:v>
                </c:pt>
                <c:pt idx="874">
                  <c:v>-56.880000000000109</c:v>
                </c:pt>
                <c:pt idx="875">
                  <c:v>954.78000000000065</c:v>
                </c:pt>
                <c:pt idx="876">
                  <c:v>227.0699999999988</c:v>
                </c:pt>
                <c:pt idx="877">
                  <c:v>330.81000000000131</c:v>
                </c:pt>
                <c:pt idx="878">
                  <c:v>-813.3600000000024</c:v>
                </c:pt>
                <c:pt idx="879">
                  <c:v>135.90000000000055</c:v>
                </c:pt>
                <c:pt idx="880">
                  <c:v>510.86999999999989</c:v>
                </c:pt>
                <c:pt idx="881">
                  <c:v>346.71000000000186</c:v>
                </c:pt>
                <c:pt idx="882">
                  <c:v>85.679999999998472</c:v>
                </c:pt>
                <c:pt idx="883">
                  <c:v>-32.640000000000327</c:v>
                </c:pt>
                <c:pt idx="884">
                  <c:v>240.39000000000033</c:v>
                </c:pt>
                <c:pt idx="885">
                  <c:v>396.23999999999978</c:v>
                </c:pt>
                <c:pt idx="886">
                  <c:v>452.67000000000098</c:v>
                </c:pt>
                <c:pt idx="887">
                  <c:v>638.25</c:v>
                </c:pt>
                <c:pt idx="888">
                  <c:v>-99.300000000001091</c:v>
                </c:pt>
                <c:pt idx="889">
                  <c:v>-19.650000000000546</c:v>
                </c:pt>
                <c:pt idx="890">
                  <c:v>-831.35999999999967</c:v>
                </c:pt>
                <c:pt idx="891">
                  <c:v>-561.05999999999858</c:v>
                </c:pt>
                <c:pt idx="892">
                  <c:v>-373.20000000000164</c:v>
                </c:pt>
                <c:pt idx="893">
                  <c:v>7.2900000000008731</c:v>
                </c:pt>
                <c:pt idx="894">
                  <c:v>43.109999999999673</c:v>
                </c:pt>
                <c:pt idx="895">
                  <c:v>852.42000000000098</c:v>
                </c:pt>
                <c:pt idx="896">
                  <c:v>-144.63000000000011</c:v>
                </c:pt>
                <c:pt idx="897">
                  <c:v>6.179999999998472</c:v>
                </c:pt>
                <c:pt idx="898">
                  <c:v>305.10000000000218</c:v>
                </c:pt>
                <c:pt idx="899">
                  <c:v>69</c:v>
                </c:pt>
                <c:pt idx="900">
                  <c:v>533.21999999999935</c:v>
                </c:pt>
                <c:pt idx="901">
                  <c:v>-44.609999999999673</c:v>
                </c:pt>
                <c:pt idx="902">
                  <c:v>38.699999999998909</c:v>
                </c:pt>
                <c:pt idx="903">
                  <c:v>403.85999999999967</c:v>
                </c:pt>
                <c:pt idx="904">
                  <c:v>63.270000000000437</c:v>
                </c:pt>
                <c:pt idx="905">
                  <c:v>582.48000000000093</c:v>
                </c:pt>
                <c:pt idx="906">
                  <c:v>-243.51000000000158</c:v>
                </c:pt>
                <c:pt idx="907">
                  <c:v>31.680000000001201</c:v>
                </c:pt>
                <c:pt idx="908">
                  <c:v>-317.84999999999945</c:v>
                </c:pt>
                <c:pt idx="909">
                  <c:v>-15.930000000001201</c:v>
                </c:pt>
                <c:pt idx="910">
                  <c:v>-545.84999999999945</c:v>
                </c:pt>
                <c:pt idx="911">
                  <c:v>-20.219999999999345</c:v>
                </c:pt>
                <c:pt idx="912">
                  <c:v>-173.82000000000153</c:v>
                </c:pt>
                <c:pt idx="913">
                  <c:v>484.35000000000218</c:v>
                </c:pt>
                <c:pt idx="914">
                  <c:v>149.15999999999804</c:v>
                </c:pt>
                <c:pt idx="915">
                  <c:v>156.90000000000055</c:v>
                </c:pt>
                <c:pt idx="916">
                  <c:v>89.670000000000982</c:v>
                </c:pt>
                <c:pt idx="917">
                  <c:v>-579.78000000000065</c:v>
                </c:pt>
                <c:pt idx="918">
                  <c:v>-162.98999999999978</c:v>
                </c:pt>
                <c:pt idx="919">
                  <c:v>-558.63000000000011</c:v>
                </c:pt>
                <c:pt idx="920">
                  <c:v>0.43000000000029104</c:v>
                </c:pt>
                <c:pt idx="921">
                  <c:v>348.59999999999854</c:v>
                </c:pt>
                <c:pt idx="922">
                  <c:v>-264.89999999999964</c:v>
                </c:pt>
                <c:pt idx="923">
                  <c:v>-6.3400000000001455</c:v>
                </c:pt>
                <c:pt idx="924">
                  <c:v>-62.260000000000218</c:v>
                </c:pt>
                <c:pt idx="925">
                  <c:v>-93.579999999999927</c:v>
                </c:pt>
                <c:pt idx="926">
                  <c:v>33.410000000000764</c:v>
                </c:pt>
                <c:pt idx="927">
                  <c:v>158.98000000000047</c:v>
                </c:pt>
                <c:pt idx="928">
                  <c:v>129.68000000000029</c:v>
                </c:pt>
                <c:pt idx="929">
                  <c:v>-17.230000000000473</c:v>
                </c:pt>
                <c:pt idx="930">
                  <c:v>9.6400000000003274</c:v>
                </c:pt>
                <c:pt idx="931">
                  <c:v>-11.630000000000109</c:v>
                </c:pt>
                <c:pt idx="932">
                  <c:v>8.9200000000000728</c:v>
                </c:pt>
                <c:pt idx="933">
                  <c:v>-172.88000000000011</c:v>
                </c:pt>
                <c:pt idx="934">
                  <c:v>-2.180000000000291</c:v>
                </c:pt>
                <c:pt idx="935">
                  <c:v>-107.09000000000015</c:v>
                </c:pt>
                <c:pt idx="936">
                  <c:v>-28.949999999999818</c:v>
                </c:pt>
                <c:pt idx="937">
                  <c:v>-62.579999999999927</c:v>
                </c:pt>
                <c:pt idx="938">
                  <c:v>119.22000000000025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21.079999999999927</c:v>
                </c:pt>
                <c:pt idx="945">
                  <c:v>-13.0600000000004</c:v>
                </c:pt>
                <c:pt idx="946">
                  <c:v>124.15000000000055</c:v>
                </c:pt>
                <c:pt idx="947">
                  <c:v>-5.3600000000005821</c:v>
                </c:pt>
                <c:pt idx="948">
                  <c:v>-12.009999999999309</c:v>
                </c:pt>
                <c:pt idx="949">
                  <c:v>-112.83000000000084</c:v>
                </c:pt>
                <c:pt idx="950">
                  <c:v>-17.159999999999854</c:v>
                </c:pt>
                <c:pt idx="951">
                  <c:v>26.720000000000255</c:v>
                </c:pt>
                <c:pt idx="952">
                  <c:v>-108</c:v>
                </c:pt>
                <c:pt idx="953">
                  <c:v>-23.340000000000146</c:v>
                </c:pt>
                <c:pt idx="954">
                  <c:v>-31.510000000000218</c:v>
                </c:pt>
                <c:pt idx="955">
                  <c:v>-49.849999999999454</c:v>
                </c:pt>
                <c:pt idx="956">
                  <c:v>-5.3500000000003638</c:v>
                </c:pt>
                <c:pt idx="957">
                  <c:v>0</c:v>
                </c:pt>
                <c:pt idx="958">
                  <c:v>-14.510000000000218</c:v>
                </c:pt>
                <c:pt idx="959">
                  <c:v>-99.480000000000473</c:v>
                </c:pt>
                <c:pt idx="960">
                  <c:v>6.5900000000001455</c:v>
                </c:pt>
                <c:pt idx="961">
                  <c:v>30.5</c:v>
                </c:pt>
                <c:pt idx="962">
                  <c:v>-91.930000000000291</c:v>
                </c:pt>
                <c:pt idx="963">
                  <c:v>40.840000000000146</c:v>
                </c:pt>
                <c:pt idx="964">
                  <c:v>-47.599999999999454</c:v>
                </c:pt>
                <c:pt idx="965">
                  <c:v>63.559999999999491</c:v>
                </c:pt>
                <c:pt idx="966">
                  <c:v>24.820000000000618</c:v>
                </c:pt>
                <c:pt idx="967">
                  <c:v>38.589999999999236</c:v>
                </c:pt>
                <c:pt idx="968">
                  <c:v>-131.31999999999971</c:v>
                </c:pt>
                <c:pt idx="969">
                  <c:v>9.5100000000002183</c:v>
                </c:pt>
                <c:pt idx="970">
                  <c:v>106.07999999999993</c:v>
                </c:pt>
                <c:pt idx="971">
                  <c:v>95.779999999999745</c:v>
                </c:pt>
                <c:pt idx="972">
                  <c:v>16.430000000000291</c:v>
                </c:pt>
                <c:pt idx="973">
                  <c:v>-25.390000000000327</c:v>
                </c:pt>
                <c:pt idx="974">
                  <c:v>42.780000000000655</c:v>
                </c:pt>
                <c:pt idx="975">
                  <c:v>88.9399999999996</c:v>
                </c:pt>
                <c:pt idx="976">
                  <c:v>-32.8700000000008</c:v>
                </c:pt>
                <c:pt idx="977">
                  <c:v>285.48000000000138</c:v>
                </c:pt>
                <c:pt idx="978">
                  <c:v>147.85999999999876</c:v>
                </c:pt>
                <c:pt idx="979">
                  <c:v>140.14000000000124</c:v>
                </c:pt>
                <c:pt idx="980">
                  <c:v>12.299999999999272</c:v>
                </c:pt>
                <c:pt idx="981">
                  <c:v>-23.219999999999345</c:v>
                </c:pt>
                <c:pt idx="982">
                  <c:v>-148.6200000000008</c:v>
                </c:pt>
                <c:pt idx="983">
                  <c:v>325.1200000000008</c:v>
                </c:pt>
                <c:pt idx="984">
                  <c:v>236</c:v>
                </c:pt>
                <c:pt idx="985">
                  <c:v>208.39999999999964</c:v>
                </c:pt>
                <c:pt idx="986">
                  <c:v>80.360000000000582</c:v>
                </c:pt>
                <c:pt idx="987">
                  <c:v>8.2799999999988358</c:v>
                </c:pt>
                <c:pt idx="988">
                  <c:v>-369.29999999999927</c:v>
                </c:pt>
                <c:pt idx="989">
                  <c:v>9.5799999999999272</c:v>
                </c:pt>
                <c:pt idx="990">
                  <c:v>207.21999999999935</c:v>
                </c:pt>
                <c:pt idx="991">
                  <c:v>318.65999999999985</c:v>
                </c:pt>
                <c:pt idx="992">
                  <c:v>99.990000000000691</c:v>
                </c:pt>
                <c:pt idx="993">
                  <c:v>79.770000000000437</c:v>
                </c:pt>
                <c:pt idx="994">
                  <c:v>61.890000000000327</c:v>
                </c:pt>
                <c:pt idx="995">
                  <c:v>-399.86999999999989</c:v>
                </c:pt>
                <c:pt idx="996">
                  <c:v>672.71999999999935</c:v>
                </c:pt>
                <c:pt idx="997">
                  <c:v>342.47999999999956</c:v>
                </c:pt>
                <c:pt idx="998">
                  <c:v>227.04000000000087</c:v>
                </c:pt>
                <c:pt idx="999">
                  <c:v>105.11999999999989</c:v>
                </c:pt>
                <c:pt idx="1000">
                  <c:v>-52.470000000002074</c:v>
                </c:pt>
                <c:pt idx="1001">
                  <c:v>365.94000000000142</c:v>
                </c:pt>
                <c:pt idx="1002">
                  <c:v>-725.36999999999989</c:v>
                </c:pt>
                <c:pt idx="1003">
                  <c:v>78.839999999999236</c:v>
                </c:pt>
                <c:pt idx="1004">
                  <c:v>299.25</c:v>
                </c:pt>
                <c:pt idx="1005">
                  <c:v>14.099999999999454</c:v>
                </c:pt>
                <c:pt idx="1006">
                  <c:v>-32.609999999999673</c:v>
                </c:pt>
                <c:pt idx="1007">
                  <c:v>16.590000000001965</c:v>
                </c:pt>
                <c:pt idx="1008">
                  <c:v>-527.16000000000076</c:v>
                </c:pt>
                <c:pt idx="1009">
                  <c:v>-324.96000000000186</c:v>
                </c:pt>
                <c:pt idx="1010">
                  <c:v>51.99000000000251</c:v>
                </c:pt>
                <c:pt idx="1011">
                  <c:v>1135.5299999999979</c:v>
                </c:pt>
                <c:pt idx="1012">
                  <c:v>1013.4899999999998</c:v>
                </c:pt>
                <c:pt idx="1013">
                  <c:v>148.61999999999989</c:v>
                </c:pt>
                <c:pt idx="1014">
                  <c:v>560.28000000000065</c:v>
                </c:pt>
                <c:pt idx="1015">
                  <c:v>18.510000000000218</c:v>
                </c:pt>
                <c:pt idx="1016">
                  <c:v>33</c:v>
                </c:pt>
                <c:pt idx="1017">
                  <c:v>190.89000000000033</c:v>
                </c:pt>
                <c:pt idx="1018">
                  <c:v>-644.84999999999945</c:v>
                </c:pt>
                <c:pt idx="1019">
                  <c:v>157.77000000000044</c:v>
                </c:pt>
                <c:pt idx="1020">
                  <c:v>-362.91000000000076</c:v>
                </c:pt>
                <c:pt idx="1021">
                  <c:v>374.76000000000022</c:v>
                </c:pt>
                <c:pt idx="1022">
                  <c:v>266.16000000000076</c:v>
                </c:pt>
                <c:pt idx="1023">
                  <c:v>233.33999999999924</c:v>
                </c:pt>
                <c:pt idx="1024">
                  <c:v>144.08999999999924</c:v>
                </c:pt>
                <c:pt idx="1025">
                  <c:v>45.570000000001528</c:v>
                </c:pt>
                <c:pt idx="1026">
                  <c:v>55.43999999999869</c:v>
                </c:pt>
                <c:pt idx="1027">
                  <c:v>-8.4899999999997817</c:v>
                </c:pt>
                <c:pt idx="1028">
                  <c:v>-154.05000000000109</c:v>
                </c:pt>
                <c:pt idx="1029">
                  <c:v>621.98999999999978</c:v>
                </c:pt>
                <c:pt idx="1030">
                  <c:v>190.98000000000229</c:v>
                </c:pt>
                <c:pt idx="1031">
                  <c:v>-15.06000000000131</c:v>
                </c:pt>
                <c:pt idx="1032">
                  <c:v>-167.8199999999988</c:v>
                </c:pt>
                <c:pt idx="1033">
                  <c:v>-321.23999999999978</c:v>
                </c:pt>
                <c:pt idx="1034">
                  <c:v>-56.880000000000109</c:v>
                </c:pt>
                <c:pt idx="1035">
                  <c:v>-417.23999999999978</c:v>
                </c:pt>
                <c:pt idx="1036">
                  <c:v>-640.89000000000033</c:v>
                </c:pt>
                <c:pt idx="1037">
                  <c:v>159.82999999999993</c:v>
                </c:pt>
                <c:pt idx="1038">
                  <c:v>210.19999999999891</c:v>
                </c:pt>
                <c:pt idx="1039">
                  <c:v>-238.28000000000065</c:v>
                </c:pt>
                <c:pt idx="1040">
                  <c:v>-445.33999999999833</c:v>
                </c:pt>
                <c:pt idx="1041">
                  <c:v>-9.7700000000004366</c:v>
                </c:pt>
                <c:pt idx="1042">
                  <c:v>-24.900000000000546</c:v>
                </c:pt>
                <c:pt idx="1043">
                  <c:v>-51.380000000000109</c:v>
                </c:pt>
                <c:pt idx="1044">
                  <c:v>86.619999999999891</c:v>
                </c:pt>
                <c:pt idx="1045">
                  <c:v>110.0600000000004</c:v>
                </c:pt>
                <c:pt idx="1046">
                  <c:v>-143.73999999999978</c:v>
                </c:pt>
                <c:pt idx="1047">
                  <c:v>182.60999999999967</c:v>
                </c:pt>
                <c:pt idx="1048">
                  <c:v>77.529999999999745</c:v>
                </c:pt>
                <c:pt idx="1049">
                  <c:v>5.9500000000007276</c:v>
                </c:pt>
                <c:pt idx="1050">
                  <c:v>-72.410000000000764</c:v>
                </c:pt>
                <c:pt idx="1051">
                  <c:v>41.010000000000218</c:v>
                </c:pt>
                <c:pt idx="1052">
                  <c:v>146.8100000000004</c:v>
                </c:pt>
                <c:pt idx="1053">
                  <c:v>142.36999999999898</c:v>
                </c:pt>
                <c:pt idx="1054">
                  <c:v>-4.2600000000002183</c:v>
                </c:pt>
                <c:pt idx="1055">
                  <c:v>-30.979999999999563</c:v>
                </c:pt>
                <c:pt idx="1056">
                  <c:v>130.6200000000008</c:v>
                </c:pt>
                <c:pt idx="1057">
                  <c:v>-94.159999999999854</c:v>
                </c:pt>
                <c:pt idx="1058">
                  <c:v>160.07999999999993</c:v>
                </c:pt>
                <c:pt idx="1059">
                  <c:v>43.359999999998763</c:v>
                </c:pt>
                <c:pt idx="1060">
                  <c:v>-478.07999999999993</c:v>
                </c:pt>
                <c:pt idx="1061">
                  <c:v>217.18000000000029</c:v>
                </c:pt>
                <c:pt idx="1062">
                  <c:v>198.38000000000102</c:v>
                </c:pt>
                <c:pt idx="1063">
                  <c:v>83.399999999999636</c:v>
                </c:pt>
                <c:pt idx="1064">
                  <c:v>141.3799999999992</c:v>
                </c:pt>
                <c:pt idx="1065">
                  <c:v>175.73999999999978</c:v>
                </c:pt>
                <c:pt idx="1066">
                  <c:v>-13.199999999998909</c:v>
                </c:pt>
                <c:pt idx="1067">
                  <c:v>95.93999999999869</c:v>
                </c:pt>
                <c:pt idx="1068">
                  <c:v>-13.319999999998799</c:v>
                </c:pt>
                <c:pt idx="1069">
                  <c:v>-22.800000000001091</c:v>
                </c:pt>
                <c:pt idx="1070">
                  <c:v>165.45000000000164</c:v>
                </c:pt>
                <c:pt idx="1071">
                  <c:v>342.59999999999945</c:v>
                </c:pt>
                <c:pt idx="1072">
                  <c:v>-177</c:v>
                </c:pt>
                <c:pt idx="1073">
                  <c:v>-169.56000000000131</c:v>
                </c:pt>
                <c:pt idx="1074">
                  <c:v>151.80000000000109</c:v>
                </c:pt>
                <c:pt idx="1075">
                  <c:v>-63</c:v>
                </c:pt>
                <c:pt idx="1076">
                  <c:v>-302.52000000000044</c:v>
                </c:pt>
                <c:pt idx="1077">
                  <c:v>-322.89000000000033</c:v>
                </c:pt>
                <c:pt idx="1078">
                  <c:v>61.229999999999563</c:v>
                </c:pt>
                <c:pt idx="1079">
                  <c:v>42.660000000000764</c:v>
                </c:pt>
                <c:pt idx="1080">
                  <c:v>78.450000000001637</c:v>
                </c:pt>
                <c:pt idx="1081">
                  <c:v>-30.360000000002401</c:v>
                </c:pt>
                <c:pt idx="1082">
                  <c:v>408.1800000000012</c:v>
                </c:pt>
                <c:pt idx="1083">
                  <c:v>103.65000000000055</c:v>
                </c:pt>
                <c:pt idx="1084">
                  <c:v>-413.13000000000011</c:v>
                </c:pt>
                <c:pt idx="1085">
                  <c:v>-426.08999999999924</c:v>
                </c:pt>
                <c:pt idx="1086">
                  <c:v>-3.570000000001528</c:v>
                </c:pt>
                <c:pt idx="1087">
                  <c:v>-166.05000000000109</c:v>
                </c:pt>
                <c:pt idx="1088">
                  <c:v>-104.38999999999851</c:v>
                </c:pt>
                <c:pt idx="1089">
                  <c:v>366.89999999999964</c:v>
                </c:pt>
                <c:pt idx="1090">
                  <c:v>-57.680000000000291</c:v>
                </c:pt>
                <c:pt idx="1091">
                  <c:v>-180.39999999999964</c:v>
                </c:pt>
                <c:pt idx="1092">
                  <c:v>-56.920000000000073</c:v>
                </c:pt>
                <c:pt idx="1093">
                  <c:v>238.21999999999935</c:v>
                </c:pt>
                <c:pt idx="1094">
                  <c:v>32.180000000000291</c:v>
                </c:pt>
                <c:pt idx="1095">
                  <c:v>387.60000000000036</c:v>
                </c:pt>
                <c:pt idx="1096">
                  <c:v>40.040000000000873</c:v>
                </c:pt>
                <c:pt idx="1097">
                  <c:v>173.74999999999818</c:v>
                </c:pt>
                <c:pt idx="1098">
                  <c:v>145.44000000000142</c:v>
                </c:pt>
                <c:pt idx="1099">
                  <c:v>214.38000000000011</c:v>
                </c:pt>
                <c:pt idx="1100">
                  <c:v>268.19999999999891</c:v>
                </c:pt>
                <c:pt idx="1101">
                  <c:v>-189.80999999999858</c:v>
                </c:pt>
                <c:pt idx="1102">
                  <c:v>244.07999999999902</c:v>
                </c:pt>
                <c:pt idx="1103">
                  <c:v>15.180000000001201</c:v>
                </c:pt>
                <c:pt idx="1104">
                  <c:v>-240.57000000000153</c:v>
                </c:pt>
                <c:pt idx="1105">
                  <c:v>267.9300000000012</c:v>
                </c:pt>
                <c:pt idx="1106">
                  <c:v>281.93999999999869</c:v>
                </c:pt>
                <c:pt idx="1107">
                  <c:v>111.1800000000012</c:v>
                </c:pt>
                <c:pt idx="1108">
                  <c:v>147.75</c:v>
                </c:pt>
                <c:pt idx="1109">
                  <c:v>-72.270000000000437</c:v>
                </c:pt>
                <c:pt idx="1110">
                  <c:v>-100.29000000000087</c:v>
                </c:pt>
                <c:pt idx="1111">
                  <c:v>-276.80999999999858</c:v>
                </c:pt>
                <c:pt idx="1112">
                  <c:v>-157.61999999999989</c:v>
                </c:pt>
                <c:pt idx="1113">
                  <c:v>63</c:v>
                </c:pt>
                <c:pt idx="1114">
                  <c:v>-181.83000000000175</c:v>
                </c:pt>
                <c:pt idx="1115">
                  <c:v>436.10999999999967</c:v>
                </c:pt>
                <c:pt idx="1116">
                  <c:v>237.57000000000153</c:v>
                </c:pt>
                <c:pt idx="1117">
                  <c:v>108.35999999999967</c:v>
                </c:pt>
                <c:pt idx="1118">
                  <c:v>-400.22999999999956</c:v>
                </c:pt>
                <c:pt idx="1119">
                  <c:v>78.299999999998363</c:v>
                </c:pt>
                <c:pt idx="1120">
                  <c:v>294.21000000000186</c:v>
                </c:pt>
                <c:pt idx="1121">
                  <c:v>217.82999999999902</c:v>
                </c:pt>
                <c:pt idx="1122">
                  <c:v>-316.04999999999836</c:v>
                </c:pt>
                <c:pt idx="1123">
                  <c:v>205.94999999999891</c:v>
                </c:pt>
                <c:pt idx="1124">
                  <c:v>83.760000000000218</c:v>
                </c:pt>
                <c:pt idx="1125">
                  <c:v>-9.839999999999236</c:v>
                </c:pt>
                <c:pt idx="1126">
                  <c:v>297.44999999999891</c:v>
                </c:pt>
                <c:pt idx="1127">
                  <c:v>43.949999999998909</c:v>
                </c:pt>
                <c:pt idx="1128">
                  <c:v>14.100000000002183</c:v>
                </c:pt>
                <c:pt idx="1129">
                  <c:v>108.65999999999804</c:v>
                </c:pt>
                <c:pt idx="1130">
                  <c:v>6.6000000000021828</c:v>
                </c:pt>
                <c:pt idx="1131">
                  <c:v>-156.06000000000131</c:v>
                </c:pt>
                <c:pt idx="1132">
                  <c:v>-280.70999999999913</c:v>
                </c:pt>
                <c:pt idx="1133">
                  <c:v>124.04999999999836</c:v>
                </c:pt>
                <c:pt idx="1134">
                  <c:v>57.359999999999673</c:v>
                </c:pt>
                <c:pt idx="1135">
                  <c:v>-33.179999999998472</c:v>
                </c:pt>
                <c:pt idx="1136">
                  <c:v>-370.17000000000098</c:v>
                </c:pt>
                <c:pt idx="1137">
                  <c:v>-534.78000000000065</c:v>
                </c:pt>
                <c:pt idx="1138">
                  <c:v>41.81000000000131</c:v>
                </c:pt>
                <c:pt idx="1139">
                  <c:v>-9.7999999999992724</c:v>
                </c:pt>
                <c:pt idx="1140">
                  <c:v>-24.5</c:v>
                </c:pt>
                <c:pt idx="1141">
                  <c:v>288.21999999999935</c:v>
                </c:pt>
                <c:pt idx="1142">
                  <c:v>-99.159999999999854</c:v>
                </c:pt>
                <c:pt idx="1143">
                  <c:v>91.180000000000291</c:v>
                </c:pt>
                <c:pt idx="1144">
                  <c:v>147.29999999999927</c:v>
                </c:pt>
                <c:pt idx="1145">
                  <c:v>113.57999999999993</c:v>
                </c:pt>
                <c:pt idx="1146">
                  <c:v>149.14000000000124</c:v>
                </c:pt>
                <c:pt idx="1147">
                  <c:v>-6.0799999999999272</c:v>
                </c:pt>
                <c:pt idx="1148">
                  <c:v>-15.900000000000546</c:v>
                </c:pt>
                <c:pt idx="1149">
                  <c:v>381.15000000000055</c:v>
                </c:pt>
                <c:pt idx="1150">
                  <c:v>-178.41000000000076</c:v>
                </c:pt>
                <c:pt idx="1151">
                  <c:v>100.43999999999869</c:v>
                </c:pt>
                <c:pt idx="1152">
                  <c:v>-20.130000000000109</c:v>
                </c:pt>
                <c:pt idx="1153">
                  <c:v>-231.02999999999793</c:v>
                </c:pt>
                <c:pt idx="1154">
                  <c:v>12.539999999998145</c:v>
                </c:pt>
                <c:pt idx="1155">
                  <c:v>82.230000000002292</c:v>
                </c:pt>
                <c:pt idx="1156">
                  <c:v>125.25</c:v>
                </c:pt>
                <c:pt idx="1157">
                  <c:v>-51.450000000001637</c:v>
                </c:pt>
                <c:pt idx="1158">
                  <c:v>-744.75</c:v>
                </c:pt>
                <c:pt idx="1159">
                  <c:v>274.38000000000011</c:v>
                </c:pt>
                <c:pt idx="1160">
                  <c:v>134.03999999999905</c:v>
                </c:pt>
                <c:pt idx="1161">
                  <c:v>56.780000000000655</c:v>
                </c:pt>
                <c:pt idx="1162">
                  <c:v>14.100000000000364</c:v>
                </c:pt>
                <c:pt idx="1163">
                  <c:v>-67.520000000000437</c:v>
                </c:pt>
                <c:pt idx="1164">
                  <c:v>249.46000000000095</c:v>
                </c:pt>
                <c:pt idx="1165">
                  <c:v>-13.860000000000582</c:v>
                </c:pt>
                <c:pt idx="1166">
                  <c:v>57.420000000000073</c:v>
                </c:pt>
                <c:pt idx="1167">
                  <c:v>-239.02000000000044</c:v>
                </c:pt>
                <c:pt idx="1168">
                  <c:v>234.31999999999971</c:v>
                </c:pt>
                <c:pt idx="1169">
                  <c:v>48.1200000000008</c:v>
                </c:pt>
                <c:pt idx="1170">
                  <c:v>-23.020000000000437</c:v>
                </c:pt>
                <c:pt idx="1171">
                  <c:v>-112.03999999999905</c:v>
                </c:pt>
                <c:pt idx="1172">
                  <c:v>-18.860000000000582</c:v>
                </c:pt>
                <c:pt idx="1173">
                  <c:v>22.920000000000073</c:v>
                </c:pt>
                <c:pt idx="1174">
                  <c:v>67.280000000000655</c:v>
                </c:pt>
                <c:pt idx="1175">
                  <c:v>137.45999999999913</c:v>
                </c:pt>
                <c:pt idx="1176">
                  <c:v>91</c:v>
                </c:pt>
                <c:pt idx="1177">
                  <c:v>124.07999999999993</c:v>
                </c:pt>
                <c:pt idx="1178">
                  <c:v>-16.809999999999491</c:v>
                </c:pt>
                <c:pt idx="1179">
                  <c:v>254.69999999999891</c:v>
                </c:pt>
                <c:pt idx="1180">
                  <c:v>-10.979999999999563</c:v>
                </c:pt>
                <c:pt idx="1181">
                  <c:v>175.34999999999945</c:v>
                </c:pt>
                <c:pt idx="1182">
                  <c:v>227.48999999999978</c:v>
                </c:pt>
                <c:pt idx="1183">
                  <c:v>59.220000000002074</c:v>
                </c:pt>
                <c:pt idx="1184">
                  <c:v>10.649999999997817</c:v>
                </c:pt>
                <c:pt idx="1185">
                  <c:v>348.66000000000349</c:v>
                </c:pt>
                <c:pt idx="1186">
                  <c:v>-270.60000000000218</c:v>
                </c:pt>
                <c:pt idx="1187">
                  <c:v>130.43999999999869</c:v>
                </c:pt>
                <c:pt idx="1188">
                  <c:v>128.76000000000022</c:v>
                </c:pt>
                <c:pt idx="1189">
                  <c:v>-43.349999999996726</c:v>
                </c:pt>
                <c:pt idx="1190">
                  <c:v>-338.43000000000393</c:v>
                </c:pt>
                <c:pt idx="1191">
                  <c:v>280.26000000000022</c:v>
                </c:pt>
                <c:pt idx="1192">
                  <c:v>200.72999999999956</c:v>
                </c:pt>
                <c:pt idx="1193">
                  <c:v>-57.209999999999127</c:v>
                </c:pt>
                <c:pt idx="1194">
                  <c:v>-266.45999999999913</c:v>
                </c:pt>
                <c:pt idx="1195">
                  <c:v>-84.209999999999127</c:v>
                </c:pt>
                <c:pt idx="1196">
                  <c:v>-279.1800000000012</c:v>
                </c:pt>
                <c:pt idx="1197">
                  <c:v>-601.67999999999847</c:v>
                </c:pt>
                <c:pt idx="1198">
                  <c:v>-190.65000000000146</c:v>
                </c:pt>
                <c:pt idx="1199">
                  <c:v>-548.35999999999876</c:v>
                </c:pt>
                <c:pt idx="1200">
                  <c:v>-77.56000000000131</c:v>
                </c:pt>
                <c:pt idx="1201">
                  <c:v>269.10000000000036</c:v>
                </c:pt>
                <c:pt idx="1202">
                  <c:v>-108.28000000000065</c:v>
                </c:pt>
                <c:pt idx="1203">
                  <c:v>-231.53999999999905</c:v>
                </c:pt>
                <c:pt idx="1204">
                  <c:v>-190.1200000000008</c:v>
                </c:pt>
                <c:pt idx="1205">
                  <c:v>236.73999999999978</c:v>
                </c:pt>
                <c:pt idx="1206">
                  <c:v>-11.8799999999992</c:v>
                </c:pt>
                <c:pt idx="1207">
                  <c:v>-648.42000000000007</c:v>
                </c:pt>
                <c:pt idx="1208">
                  <c:v>-3.8999999999996362</c:v>
                </c:pt>
                <c:pt idx="1209">
                  <c:v>290.31999999999971</c:v>
                </c:pt>
                <c:pt idx="1210">
                  <c:v>161.60000000000036</c:v>
                </c:pt>
                <c:pt idx="1211">
                  <c:v>236.39999999999964</c:v>
                </c:pt>
                <c:pt idx="1212">
                  <c:v>74.799999999999272</c:v>
                </c:pt>
                <c:pt idx="1213">
                  <c:v>-135.53999999999905</c:v>
                </c:pt>
                <c:pt idx="1214">
                  <c:v>-205.42000000000007</c:v>
                </c:pt>
                <c:pt idx="1215">
                  <c:v>18.280000000000655</c:v>
                </c:pt>
                <c:pt idx="1216">
                  <c:v>283.29999999999927</c:v>
                </c:pt>
                <c:pt idx="1217">
                  <c:v>39.739999999999782</c:v>
                </c:pt>
                <c:pt idx="1218">
                  <c:v>63.800000000001091</c:v>
                </c:pt>
                <c:pt idx="1219">
                  <c:v>-119.44000000000051</c:v>
                </c:pt>
                <c:pt idx="1220">
                  <c:v>192.92000000000007</c:v>
                </c:pt>
                <c:pt idx="1221">
                  <c:v>192.02000000000044</c:v>
                </c:pt>
                <c:pt idx="1222">
                  <c:v>24.829999999999927</c:v>
                </c:pt>
                <c:pt idx="1223">
                  <c:v>25.469999999999345</c:v>
                </c:pt>
                <c:pt idx="1224">
                  <c:v>-88.260000000000218</c:v>
                </c:pt>
                <c:pt idx="1225">
                  <c:v>-3.9899999999997817</c:v>
                </c:pt>
                <c:pt idx="1226">
                  <c:v>-340.22999999999956</c:v>
                </c:pt>
                <c:pt idx="1227">
                  <c:v>182.13000000000011</c:v>
                </c:pt>
                <c:pt idx="1228">
                  <c:v>456.63000000000011</c:v>
                </c:pt>
                <c:pt idx="1229">
                  <c:v>115.5</c:v>
                </c:pt>
                <c:pt idx="1230">
                  <c:v>34.709999999999127</c:v>
                </c:pt>
                <c:pt idx="1231">
                  <c:v>-185.79000000000087</c:v>
                </c:pt>
                <c:pt idx="1232">
                  <c:v>-72.329999999999018</c:v>
                </c:pt>
                <c:pt idx="1233">
                  <c:v>32.520000000000437</c:v>
                </c:pt>
                <c:pt idx="1234">
                  <c:v>46.170000000000982</c:v>
                </c:pt>
                <c:pt idx="1235">
                  <c:v>116.27999999999793</c:v>
                </c:pt>
                <c:pt idx="1236">
                  <c:v>211.77000000000044</c:v>
                </c:pt>
                <c:pt idx="1237">
                  <c:v>44.31000000000131</c:v>
                </c:pt>
                <c:pt idx="1238">
                  <c:v>-126.47999999999956</c:v>
                </c:pt>
                <c:pt idx="1239">
                  <c:v>279.08999999999924</c:v>
                </c:pt>
                <c:pt idx="1240">
                  <c:v>38.520000000000437</c:v>
                </c:pt>
                <c:pt idx="1241">
                  <c:v>191.15999999999804</c:v>
                </c:pt>
                <c:pt idx="1242">
                  <c:v>96.390000000000327</c:v>
                </c:pt>
                <c:pt idx="1243">
                  <c:v>-192.53999999999814</c:v>
                </c:pt>
                <c:pt idx="1244">
                  <c:v>103.28999999999814</c:v>
                </c:pt>
                <c:pt idx="1245">
                  <c:v>77.160000000000764</c:v>
                </c:pt>
                <c:pt idx="1246">
                  <c:v>-264.06000000000131</c:v>
                </c:pt>
                <c:pt idx="1247">
                  <c:v>202.20000000000164</c:v>
                </c:pt>
                <c:pt idx="1248">
                  <c:v>224.42999999999847</c:v>
                </c:pt>
                <c:pt idx="1249">
                  <c:v>-181.10999999999967</c:v>
                </c:pt>
                <c:pt idx="1250">
                  <c:v>-772.04999999999836</c:v>
                </c:pt>
                <c:pt idx="1251">
                  <c:v>146.28999999999905</c:v>
                </c:pt>
                <c:pt idx="1252">
                  <c:v>180.21999999999935</c:v>
                </c:pt>
                <c:pt idx="1253">
                  <c:v>-23.680000000000291</c:v>
                </c:pt>
                <c:pt idx="1254">
                  <c:v>52.400000000001455</c:v>
                </c:pt>
                <c:pt idx="1255">
                  <c:v>306.5</c:v>
                </c:pt>
                <c:pt idx="1256">
                  <c:v>-23.400000000001455</c:v>
                </c:pt>
                <c:pt idx="1257">
                  <c:v>-129.77999999999884</c:v>
                </c:pt>
                <c:pt idx="1258">
                  <c:v>-55</c:v>
                </c:pt>
                <c:pt idx="1259">
                  <c:v>-99.600000000000364</c:v>
                </c:pt>
                <c:pt idx="1260">
                  <c:v>-104.15999999999985</c:v>
                </c:pt>
                <c:pt idx="1261">
                  <c:v>-42.799999999999272</c:v>
                </c:pt>
                <c:pt idx="1262">
                  <c:v>-467.7400000000016</c:v>
                </c:pt>
                <c:pt idx="1263">
                  <c:v>-118.04999999999927</c:v>
                </c:pt>
                <c:pt idx="1264">
                  <c:v>-12.3799999999992</c:v>
                </c:pt>
                <c:pt idx="1265">
                  <c:v>97.6299999999992</c:v>
                </c:pt>
                <c:pt idx="1266">
                  <c:v>-56.289999999999964</c:v>
                </c:pt>
                <c:pt idx="1267">
                  <c:v>-5.7399999999997817</c:v>
                </c:pt>
                <c:pt idx="1268">
                  <c:v>167.86999999999989</c:v>
                </c:pt>
                <c:pt idx="1269">
                  <c:v>1.5600000000004002</c:v>
                </c:pt>
                <c:pt idx="1270">
                  <c:v>-173.40999999999985</c:v>
                </c:pt>
                <c:pt idx="1271">
                  <c:v>-13.420000000000073</c:v>
                </c:pt>
                <c:pt idx="1272">
                  <c:v>-26.140000000000327</c:v>
                </c:pt>
                <c:pt idx="1273">
                  <c:v>-134.72999999999956</c:v>
                </c:pt>
                <c:pt idx="1274">
                  <c:v>-195.26000000000022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-45.440000000000509</c:v>
                </c:pt>
                <c:pt idx="1294">
                  <c:v>142.45000000000073</c:v>
                </c:pt>
                <c:pt idx="1295">
                  <c:v>-22.880000000000109</c:v>
                </c:pt>
                <c:pt idx="1296">
                  <c:v>-30.530000000000655</c:v>
                </c:pt>
                <c:pt idx="1297">
                  <c:v>7.7400000000006912</c:v>
                </c:pt>
                <c:pt idx="1298">
                  <c:v>-115.18000000000029</c:v>
                </c:pt>
                <c:pt idx="1299">
                  <c:v>26.079999999999927</c:v>
                </c:pt>
                <c:pt idx="1300">
                  <c:v>-77.220000000000255</c:v>
                </c:pt>
                <c:pt idx="1301">
                  <c:v>-94.199999999999818</c:v>
                </c:pt>
                <c:pt idx="1302">
                  <c:v>-75.309999999999491</c:v>
                </c:pt>
                <c:pt idx="1303">
                  <c:v>30.949999999999818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-34.710000000000036</c:v>
                </c:pt>
                <c:pt idx="1310">
                  <c:v>-42.130000000000109</c:v>
                </c:pt>
                <c:pt idx="1311">
                  <c:v>117.09000000000015</c:v>
                </c:pt>
                <c:pt idx="1312">
                  <c:v>-4.9599999999991269</c:v>
                </c:pt>
                <c:pt idx="1313">
                  <c:v>-79.900000000001455</c:v>
                </c:pt>
                <c:pt idx="1314">
                  <c:v>-29.479999999999563</c:v>
                </c:pt>
                <c:pt idx="1315">
                  <c:v>124.39999999999964</c:v>
                </c:pt>
                <c:pt idx="1316">
                  <c:v>-62.669999999999163</c:v>
                </c:pt>
                <c:pt idx="1317">
                  <c:v>-104.84999999999945</c:v>
                </c:pt>
                <c:pt idx="1318">
                  <c:v>284.64000000000033</c:v>
                </c:pt>
                <c:pt idx="1319">
                  <c:v>78.68999999999869</c:v>
                </c:pt>
                <c:pt idx="1320">
                  <c:v>-118.3199999999988</c:v>
                </c:pt>
                <c:pt idx="1321">
                  <c:v>110.40000000000055</c:v>
                </c:pt>
                <c:pt idx="1322">
                  <c:v>42.539999999998145</c:v>
                </c:pt>
                <c:pt idx="1323">
                  <c:v>-115.07999999999902</c:v>
                </c:pt>
                <c:pt idx="1324">
                  <c:v>453.15000000000055</c:v>
                </c:pt>
                <c:pt idx="1325">
                  <c:v>137.54999999999836</c:v>
                </c:pt>
                <c:pt idx="1326">
                  <c:v>45.390000000000327</c:v>
                </c:pt>
                <c:pt idx="1327">
                  <c:v>-107.42999999999847</c:v>
                </c:pt>
                <c:pt idx="1328">
                  <c:v>79.349999999999454</c:v>
                </c:pt>
                <c:pt idx="1329">
                  <c:v>213.5699999999988</c:v>
                </c:pt>
                <c:pt idx="1330">
                  <c:v>-173.25</c:v>
                </c:pt>
                <c:pt idx="1331">
                  <c:v>-245.13000000000011</c:v>
                </c:pt>
                <c:pt idx="1332">
                  <c:v>-195.71999999999935</c:v>
                </c:pt>
                <c:pt idx="1333">
                  <c:v>185.36999999999989</c:v>
                </c:pt>
                <c:pt idx="1334">
                  <c:v>148.92000000000098</c:v>
                </c:pt>
                <c:pt idx="1335">
                  <c:v>-30.390000000000327</c:v>
                </c:pt>
                <c:pt idx="1336">
                  <c:v>-20.969999999999345</c:v>
                </c:pt>
                <c:pt idx="1337">
                  <c:v>14.519999999997708</c:v>
                </c:pt>
                <c:pt idx="1338">
                  <c:v>-4.8899999999975989</c:v>
                </c:pt>
                <c:pt idx="1339">
                  <c:v>145.85999999999967</c:v>
                </c:pt>
                <c:pt idx="1340">
                  <c:v>-105.86999999999989</c:v>
                </c:pt>
                <c:pt idx="1341">
                  <c:v>-610.98000000000229</c:v>
                </c:pt>
                <c:pt idx="1342">
                  <c:v>-88.139999999999418</c:v>
                </c:pt>
                <c:pt idx="1343">
                  <c:v>66.340000000000146</c:v>
                </c:pt>
                <c:pt idx="1344">
                  <c:v>36.579999999999927</c:v>
                </c:pt>
                <c:pt idx="1345">
                  <c:v>-249.84000000000015</c:v>
                </c:pt>
                <c:pt idx="1346">
                  <c:v>79.300000000000182</c:v>
                </c:pt>
                <c:pt idx="1347">
                  <c:v>52.569999999999709</c:v>
                </c:pt>
                <c:pt idx="1348">
                  <c:v>109.39000000000033</c:v>
                </c:pt>
                <c:pt idx="1349">
                  <c:v>60.739999999999782</c:v>
                </c:pt>
                <c:pt idx="1350">
                  <c:v>-6.5500000000001819</c:v>
                </c:pt>
                <c:pt idx="1351">
                  <c:v>-33.089999999999236</c:v>
                </c:pt>
                <c:pt idx="1352">
                  <c:v>-15.770000000000437</c:v>
                </c:pt>
                <c:pt idx="1353">
                  <c:v>54.569999999999709</c:v>
                </c:pt>
                <c:pt idx="1354">
                  <c:v>201.19000000000051</c:v>
                </c:pt>
                <c:pt idx="1355">
                  <c:v>52.220000000000255</c:v>
                </c:pt>
                <c:pt idx="1356">
                  <c:v>62.43999999999869</c:v>
                </c:pt>
                <c:pt idx="1357">
                  <c:v>-128.13999999999942</c:v>
                </c:pt>
                <c:pt idx="1358">
                  <c:v>117.15999999999985</c:v>
                </c:pt>
                <c:pt idx="1359">
                  <c:v>57.260000000000218</c:v>
                </c:pt>
                <c:pt idx="1360">
                  <c:v>18.8799999999992</c:v>
                </c:pt>
                <c:pt idx="1361">
                  <c:v>12.280000000002474</c:v>
                </c:pt>
                <c:pt idx="1362">
                  <c:v>-71.840000000001965</c:v>
                </c:pt>
                <c:pt idx="1363">
                  <c:v>49.840000000000146</c:v>
                </c:pt>
                <c:pt idx="1364">
                  <c:v>-16.570000000000618</c:v>
                </c:pt>
                <c:pt idx="1365">
                  <c:v>154.34999999999945</c:v>
                </c:pt>
                <c:pt idx="1366">
                  <c:v>-9.3299999999962893</c:v>
                </c:pt>
                <c:pt idx="1367">
                  <c:v>19.199999999998909</c:v>
                </c:pt>
                <c:pt idx="1368">
                  <c:v>5.7600000000002183</c:v>
                </c:pt>
                <c:pt idx="1369">
                  <c:v>-137.01000000000022</c:v>
                </c:pt>
                <c:pt idx="1370">
                  <c:v>250.80000000000109</c:v>
                </c:pt>
                <c:pt idx="1371">
                  <c:v>-0.33000000000174623</c:v>
                </c:pt>
                <c:pt idx="1372">
                  <c:v>-119.18999999999869</c:v>
                </c:pt>
                <c:pt idx="1373">
                  <c:v>-202.29000000000087</c:v>
                </c:pt>
                <c:pt idx="1374">
                  <c:v>-259.61999999999989</c:v>
                </c:pt>
                <c:pt idx="1375">
                  <c:v>49.319999999998799</c:v>
                </c:pt>
                <c:pt idx="1376">
                  <c:v>326.37000000000262</c:v>
                </c:pt>
                <c:pt idx="1377">
                  <c:v>-30.450000000004366</c:v>
                </c:pt>
                <c:pt idx="1378">
                  <c:v>-434.27999999999793</c:v>
                </c:pt>
                <c:pt idx="1379">
                  <c:v>-42.930000000001201</c:v>
                </c:pt>
                <c:pt idx="1380">
                  <c:v>103.98000000000138</c:v>
                </c:pt>
                <c:pt idx="1381">
                  <c:v>13.219999999999345</c:v>
                </c:pt>
                <c:pt idx="1382">
                  <c:v>73.660000000001673</c:v>
                </c:pt>
                <c:pt idx="1383">
                  <c:v>277.83999999999833</c:v>
                </c:pt>
                <c:pt idx="1384">
                  <c:v>72.5</c:v>
                </c:pt>
                <c:pt idx="1385">
                  <c:v>-183.08999999999651</c:v>
                </c:pt>
                <c:pt idx="1386">
                  <c:v>189.0299999999952</c:v>
                </c:pt>
                <c:pt idx="1387">
                  <c:v>-200.87999999999738</c:v>
                </c:pt>
                <c:pt idx="1388">
                  <c:v>277.97999999999956</c:v>
                </c:pt>
                <c:pt idx="1389">
                  <c:v>-104.96999999999935</c:v>
                </c:pt>
                <c:pt idx="1390">
                  <c:v>-152.58000000000175</c:v>
                </c:pt>
                <c:pt idx="1391">
                  <c:v>191.85000000000218</c:v>
                </c:pt>
                <c:pt idx="1392">
                  <c:v>274.46999999999935</c:v>
                </c:pt>
                <c:pt idx="1393">
                  <c:v>-56.280000000000655</c:v>
                </c:pt>
                <c:pt idx="1394">
                  <c:v>45.149999999997817</c:v>
                </c:pt>
                <c:pt idx="1395">
                  <c:v>15</c:v>
                </c:pt>
                <c:pt idx="1396">
                  <c:v>-41.039999999995416</c:v>
                </c:pt>
                <c:pt idx="1397">
                  <c:v>-362.70000000000437</c:v>
                </c:pt>
                <c:pt idx="1398">
                  <c:v>-226.19999999999891</c:v>
                </c:pt>
                <c:pt idx="1399">
                  <c:v>136.68999999999869</c:v>
                </c:pt>
                <c:pt idx="1400">
                  <c:v>-113.33999999999651</c:v>
                </c:pt>
                <c:pt idx="1401">
                  <c:v>55.819999999999709</c:v>
                </c:pt>
                <c:pt idx="1402">
                  <c:v>45.340000000000146</c:v>
                </c:pt>
                <c:pt idx="1403">
                  <c:v>137.57999999999811</c:v>
                </c:pt>
                <c:pt idx="1404">
                  <c:v>-92.56000000000131</c:v>
                </c:pt>
                <c:pt idx="1405">
                  <c:v>-63.159999999999854</c:v>
                </c:pt>
                <c:pt idx="1406">
                  <c:v>105.88000000000102</c:v>
                </c:pt>
                <c:pt idx="1407">
                  <c:v>-75.680000000000291</c:v>
                </c:pt>
                <c:pt idx="1408">
                  <c:v>110.04000000000087</c:v>
                </c:pt>
                <c:pt idx="1409">
                  <c:v>10.619999999998981</c:v>
                </c:pt>
                <c:pt idx="1410">
                  <c:v>295.26000000000204</c:v>
                </c:pt>
                <c:pt idx="1411">
                  <c:v>119.07999999999993</c:v>
                </c:pt>
                <c:pt idx="1412">
                  <c:v>114.71999999999935</c:v>
                </c:pt>
                <c:pt idx="1413">
                  <c:v>234.65999999999804</c:v>
                </c:pt>
                <c:pt idx="1414">
                  <c:v>6.4799999999995634</c:v>
                </c:pt>
                <c:pt idx="1415">
                  <c:v>-1.7999999999956344</c:v>
                </c:pt>
                <c:pt idx="1416">
                  <c:v>150.14999999999782</c:v>
                </c:pt>
                <c:pt idx="1417">
                  <c:v>-105.03000000000065</c:v>
                </c:pt>
                <c:pt idx="1418">
                  <c:v>53.280000000000655</c:v>
                </c:pt>
                <c:pt idx="1419">
                  <c:v>11.520000000000437</c:v>
                </c:pt>
                <c:pt idx="1420">
                  <c:v>48.839999999996508</c:v>
                </c:pt>
                <c:pt idx="1421">
                  <c:v>76.470000000004802</c:v>
                </c:pt>
                <c:pt idx="1422">
                  <c:v>107.09999999999673</c:v>
                </c:pt>
                <c:pt idx="1423">
                  <c:v>-147.54000000000087</c:v>
                </c:pt>
                <c:pt idx="1424">
                  <c:v>177.21000000000458</c:v>
                </c:pt>
                <c:pt idx="1425">
                  <c:v>98.099999999996726</c:v>
                </c:pt>
                <c:pt idx="1426">
                  <c:v>115.14000000000306</c:v>
                </c:pt>
                <c:pt idx="1427">
                  <c:v>-113.31000000000131</c:v>
                </c:pt>
                <c:pt idx="1428">
                  <c:v>93.629999999997381</c:v>
                </c:pt>
                <c:pt idx="1429">
                  <c:v>-64.649999999997817</c:v>
                </c:pt>
                <c:pt idx="1430">
                  <c:v>-13.229999999999563</c:v>
                </c:pt>
                <c:pt idx="1431">
                  <c:v>124.67999999999847</c:v>
                </c:pt>
                <c:pt idx="1432">
                  <c:v>193.77000000000044</c:v>
                </c:pt>
                <c:pt idx="1433">
                  <c:v>158.39999999999782</c:v>
                </c:pt>
                <c:pt idx="1434">
                  <c:v>-84.329999999996289</c:v>
                </c:pt>
                <c:pt idx="1435">
                  <c:v>-452.64000000000306</c:v>
                </c:pt>
                <c:pt idx="1436">
                  <c:v>110.69999999999891</c:v>
                </c:pt>
                <c:pt idx="1437">
                  <c:v>-301.46999999999935</c:v>
                </c:pt>
                <c:pt idx="1438">
                  <c:v>105.47999999999956</c:v>
                </c:pt>
                <c:pt idx="1439">
                  <c:v>340.44000000000415</c:v>
                </c:pt>
                <c:pt idx="1440">
                  <c:v>100.91999999999825</c:v>
                </c:pt>
                <c:pt idx="1441">
                  <c:v>31.739999999999782</c:v>
                </c:pt>
                <c:pt idx="1442">
                  <c:v>-9.2099999999991269</c:v>
                </c:pt>
                <c:pt idx="1443">
                  <c:v>-142.26000000000022</c:v>
                </c:pt>
                <c:pt idx="1444">
                  <c:v>188.72999999999956</c:v>
                </c:pt>
                <c:pt idx="1445">
                  <c:v>294.06000000000131</c:v>
                </c:pt>
                <c:pt idx="1446">
                  <c:v>-191.55000000000109</c:v>
                </c:pt>
                <c:pt idx="1447">
                  <c:v>-203.37000000000262</c:v>
                </c:pt>
                <c:pt idx="1448">
                  <c:v>-19.76999999999498</c:v>
                </c:pt>
                <c:pt idx="1449">
                  <c:v>130.79999999999563</c:v>
                </c:pt>
                <c:pt idx="1450">
                  <c:v>192.60000000000218</c:v>
                </c:pt>
                <c:pt idx="1451">
                  <c:v>140.21999999999935</c:v>
                </c:pt>
                <c:pt idx="1452">
                  <c:v>129.06000000000131</c:v>
                </c:pt>
                <c:pt idx="1453">
                  <c:v>-101.67000000000371</c:v>
                </c:pt>
                <c:pt idx="1454">
                  <c:v>-313.91999999999825</c:v>
                </c:pt>
                <c:pt idx="1455">
                  <c:v>-510.78000000000065</c:v>
                </c:pt>
                <c:pt idx="1456">
                  <c:v>-447.54999999999745</c:v>
                </c:pt>
                <c:pt idx="1457">
                  <c:v>151.21999999999753</c:v>
                </c:pt>
                <c:pt idx="1458">
                  <c:v>72.920000000001892</c:v>
                </c:pt>
                <c:pt idx="1459">
                  <c:v>-17.940000000002328</c:v>
                </c:pt>
                <c:pt idx="1460">
                  <c:v>-58.159999999999854</c:v>
                </c:pt>
                <c:pt idx="1461">
                  <c:v>319.92000000000189</c:v>
                </c:pt>
                <c:pt idx="1462">
                  <c:v>-9.2400000000016007</c:v>
                </c:pt>
                <c:pt idx="1463">
                  <c:v>-331.09999999999854</c:v>
                </c:pt>
                <c:pt idx="1464">
                  <c:v>-289.45999999999913</c:v>
                </c:pt>
                <c:pt idx="1465">
                  <c:v>44.919999999998254</c:v>
                </c:pt>
                <c:pt idx="1466">
                  <c:v>58.010000000000218</c:v>
                </c:pt>
                <c:pt idx="1467">
                  <c:v>127.90999999999985</c:v>
                </c:pt>
                <c:pt idx="1468">
                  <c:v>-107.65999999999985</c:v>
                </c:pt>
                <c:pt idx="1469">
                  <c:v>118.47000000000116</c:v>
                </c:pt>
                <c:pt idx="1470">
                  <c:v>46.029999999998836</c:v>
                </c:pt>
                <c:pt idx="1471">
                  <c:v>-70.609999999998763</c:v>
                </c:pt>
                <c:pt idx="1472">
                  <c:v>33.959999999999127</c:v>
                </c:pt>
                <c:pt idx="1473">
                  <c:v>2.2700000000004366</c:v>
                </c:pt>
                <c:pt idx="1474">
                  <c:v>-107.1200000000008</c:v>
                </c:pt>
                <c:pt idx="1475">
                  <c:v>-75.079999999999927</c:v>
                </c:pt>
                <c:pt idx="1476">
                  <c:v>-47.799999999999272</c:v>
                </c:pt>
                <c:pt idx="1477">
                  <c:v>-285.23999999999978</c:v>
                </c:pt>
                <c:pt idx="1478">
                  <c:v>82.599999999998545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-0.39000000000123691</c:v>
                </c:pt>
                <c:pt idx="1490">
                  <c:v>21.829999999999927</c:v>
                </c:pt>
                <c:pt idx="1491">
                  <c:v>146.85000000000036</c:v>
                </c:pt>
                <c:pt idx="1492">
                  <c:v>49.739999999999782</c:v>
                </c:pt>
                <c:pt idx="1493">
                  <c:v>-7.179999999998472</c:v>
                </c:pt>
                <c:pt idx="1494">
                  <c:v>-14.270000000000437</c:v>
                </c:pt>
                <c:pt idx="1495">
                  <c:v>-147.68000000000029</c:v>
                </c:pt>
                <c:pt idx="1496">
                  <c:v>47.610000000000582</c:v>
                </c:pt>
                <c:pt idx="1497">
                  <c:v>22.529999999998836</c:v>
                </c:pt>
                <c:pt idx="1498">
                  <c:v>-84.609999999998763</c:v>
                </c:pt>
                <c:pt idx="1499">
                  <c:v>-3.6400000000012369</c:v>
                </c:pt>
                <c:pt idx="1500">
                  <c:v>-75.930000000000291</c:v>
                </c:pt>
                <c:pt idx="1501">
                  <c:v>174.73000000000138</c:v>
                </c:pt>
                <c:pt idx="1502">
                  <c:v>144.36999999999898</c:v>
                </c:pt>
                <c:pt idx="1503">
                  <c:v>11.780000000000655</c:v>
                </c:pt>
                <c:pt idx="1504">
                  <c:v>-18.680000000000291</c:v>
                </c:pt>
                <c:pt idx="1505">
                  <c:v>-2.6100000000005821</c:v>
                </c:pt>
                <c:pt idx="1506">
                  <c:v>101.11000000000058</c:v>
                </c:pt>
                <c:pt idx="1507">
                  <c:v>-56.679999999998472</c:v>
                </c:pt>
                <c:pt idx="1508">
                  <c:v>-65.799999999999272</c:v>
                </c:pt>
                <c:pt idx="1509">
                  <c:v>-123.58000000000175</c:v>
                </c:pt>
                <c:pt idx="1510">
                  <c:v>2.5400000000008731</c:v>
                </c:pt>
                <c:pt idx="1511">
                  <c:v>142.52000000000044</c:v>
                </c:pt>
                <c:pt idx="1512">
                  <c:v>-82.760000000002037</c:v>
                </c:pt>
                <c:pt idx="1513">
                  <c:v>116.5</c:v>
                </c:pt>
                <c:pt idx="1514">
                  <c:v>-24.399999999997817</c:v>
                </c:pt>
                <c:pt idx="1515">
                  <c:v>-5.7600000000020373</c:v>
                </c:pt>
                <c:pt idx="1516">
                  <c:v>26.56000000000131</c:v>
                </c:pt>
                <c:pt idx="1517">
                  <c:v>-54.139999999999418</c:v>
                </c:pt>
                <c:pt idx="1518">
                  <c:v>-189.80000000000291</c:v>
                </c:pt>
                <c:pt idx="1519">
                  <c:v>-55.239999999997963</c:v>
                </c:pt>
                <c:pt idx="1520">
                  <c:v>121.5</c:v>
                </c:pt>
                <c:pt idx="1521">
                  <c:v>-103.92000000000189</c:v>
                </c:pt>
                <c:pt idx="1522">
                  <c:v>-111.69999999999709</c:v>
                </c:pt>
                <c:pt idx="1523">
                  <c:v>-179.04000000000087</c:v>
                </c:pt>
                <c:pt idx="1524">
                  <c:v>-8.180000000000291</c:v>
                </c:pt>
                <c:pt idx="1525">
                  <c:v>-29.520000000000437</c:v>
                </c:pt>
                <c:pt idx="1526">
                  <c:v>61.309999999999491</c:v>
                </c:pt>
                <c:pt idx="1527">
                  <c:v>21.600000000000364</c:v>
                </c:pt>
                <c:pt idx="1528">
                  <c:v>13.680000000000291</c:v>
                </c:pt>
                <c:pt idx="1529">
                  <c:v>165.15999999999985</c:v>
                </c:pt>
                <c:pt idx="1530">
                  <c:v>73.510000000000218</c:v>
                </c:pt>
                <c:pt idx="1531">
                  <c:v>-61.339999999998327</c:v>
                </c:pt>
                <c:pt idx="1532">
                  <c:v>109.84000000000015</c:v>
                </c:pt>
                <c:pt idx="1533">
                  <c:v>53.530000000000655</c:v>
                </c:pt>
                <c:pt idx="1534">
                  <c:v>-148.70999999999913</c:v>
                </c:pt>
                <c:pt idx="1535">
                  <c:v>-19.770000000000437</c:v>
                </c:pt>
                <c:pt idx="1536">
                  <c:v>-489.3600000000024</c:v>
                </c:pt>
                <c:pt idx="1537">
                  <c:v>-374.60999999999694</c:v>
                </c:pt>
                <c:pt idx="1538">
                  <c:v>256.80999999999585</c:v>
                </c:pt>
                <c:pt idx="1539">
                  <c:v>4.4800000000032014</c:v>
                </c:pt>
                <c:pt idx="1540">
                  <c:v>-354.04000000000087</c:v>
                </c:pt>
                <c:pt idx="1541">
                  <c:v>-1.3099999999994907</c:v>
                </c:pt>
                <c:pt idx="1542">
                  <c:v>-105.42000000000007</c:v>
                </c:pt>
                <c:pt idx="1543">
                  <c:v>66.940000000000509</c:v>
                </c:pt>
                <c:pt idx="1544">
                  <c:v>23.420000000000073</c:v>
                </c:pt>
                <c:pt idx="1545">
                  <c:v>-53.760000000000218</c:v>
                </c:pt>
                <c:pt idx="1546">
                  <c:v>-34.450000000000728</c:v>
                </c:pt>
                <c:pt idx="1547">
                  <c:v>-32.670000000000073</c:v>
                </c:pt>
                <c:pt idx="1548">
                  <c:v>-21.299999999999272</c:v>
                </c:pt>
                <c:pt idx="1549">
                  <c:v>94.519999999998618</c:v>
                </c:pt>
                <c:pt idx="1550">
                  <c:v>79.210000000000946</c:v>
                </c:pt>
                <c:pt idx="1551">
                  <c:v>87.229999999999563</c:v>
                </c:pt>
                <c:pt idx="1552">
                  <c:v>34.899999999999636</c:v>
                </c:pt>
                <c:pt idx="1553">
                  <c:v>16.940000000002328</c:v>
                </c:pt>
                <c:pt idx="1554">
                  <c:v>80</c:v>
                </c:pt>
                <c:pt idx="1555">
                  <c:v>-102.04000000000087</c:v>
                </c:pt>
                <c:pt idx="1556">
                  <c:v>-47.740000000001601</c:v>
                </c:pt>
                <c:pt idx="1557">
                  <c:v>-167.39999999999782</c:v>
                </c:pt>
                <c:pt idx="1558">
                  <c:v>-349.68000000000029</c:v>
                </c:pt>
                <c:pt idx="1559">
                  <c:v>-13.700000000000728</c:v>
                </c:pt>
                <c:pt idx="1560">
                  <c:v>-6.7099999999991269</c:v>
                </c:pt>
                <c:pt idx="1561">
                  <c:v>93.559999999999491</c:v>
                </c:pt>
                <c:pt idx="1562">
                  <c:v>-36.340000000000146</c:v>
                </c:pt>
                <c:pt idx="1563">
                  <c:v>-14</c:v>
                </c:pt>
                <c:pt idx="1564">
                  <c:v>181.60000000000036</c:v>
                </c:pt>
                <c:pt idx="1565">
                  <c:v>10.969999999999345</c:v>
                </c:pt>
                <c:pt idx="1566">
                  <c:v>48.180000000000291</c:v>
                </c:pt>
                <c:pt idx="1567">
                  <c:v>-81.809999999999491</c:v>
                </c:pt>
                <c:pt idx="1568">
                  <c:v>110.72999999999956</c:v>
                </c:pt>
                <c:pt idx="1569">
                  <c:v>65.559999999999491</c:v>
                </c:pt>
                <c:pt idx="1570">
                  <c:v>-100.57999999999811</c:v>
                </c:pt>
                <c:pt idx="1571">
                  <c:v>-246.04000000000087</c:v>
                </c:pt>
                <c:pt idx="1572">
                  <c:v>114.39999999999782</c:v>
                </c:pt>
                <c:pt idx="1573">
                  <c:v>-233.31999999999971</c:v>
                </c:pt>
                <c:pt idx="1574">
                  <c:v>-255.71999999999753</c:v>
                </c:pt>
                <c:pt idx="1575">
                  <c:v>-124.07999999999993</c:v>
                </c:pt>
                <c:pt idx="1576">
                  <c:v>-464.14000000000033</c:v>
                </c:pt>
                <c:pt idx="1577">
                  <c:v>-300.32999999999993</c:v>
                </c:pt>
                <c:pt idx="1578">
                  <c:v>-59.680000000000291</c:v>
                </c:pt>
                <c:pt idx="1579">
                  <c:v>243.19999999999982</c:v>
                </c:pt>
                <c:pt idx="1580">
                  <c:v>-17.229999999999563</c:v>
                </c:pt>
                <c:pt idx="1581">
                  <c:v>-82.069999999999709</c:v>
                </c:pt>
                <c:pt idx="1582">
                  <c:v>182.36999999999989</c:v>
                </c:pt>
                <c:pt idx="1583">
                  <c:v>-20.800000000000182</c:v>
                </c:pt>
                <c:pt idx="1584">
                  <c:v>-56.829999999999927</c:v>
                </c:pt>
                <c:pt idx="1585">
                  <c:v>-126.78999999999996</c:v>
                </c:pt>
                <c:pt idx="1586">
                  <c:v>-200.61000000000058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-11.100000000000364</c:v>
                </c:pt>
                <c:pt idx="1605">
                  <c:v>-191.71999999999935</c:v>
                </c:pt>
                <c:pt idx="1606">
                  <c:v>96.519999999999527</c:v>
                </c:pt>
                <c:pt idx="1607">
                  <c:v>-11.970000000000255</c:v>
                </c:pt>
                <c:pt idx="1608">
                  <c:v>-43.029999999999745</c:v>
                </c:pt>
                <c:pt idx="1609">
                  <c:v>230.38000000000011</c:v>
                </c:pt>
                <c:pt idx="1610">
                  <c:v>259.27999999999975</c:v>
                </c:pt>
                <c:pt idx="1611">
                  <c:v>318.47000000000025</c:v>
                </c:pt>
                <c:pt idx="1612">
                  <c:v>-425.65999999999985</c:v>
                </c:pt>
                <c:pt idx="1613">
                  <c:v>-114.05999999999949</c:v>
                </c:pt>
                <c:pt idx="1614">
                  <c:v>-71.260000000000218</c:v>
                </c:pt>
                <c:pt idx="1615">
                  <c:v>-85.540000000000873</c:v>
                </c:pt>
                <c:pt idx="1616">
                  <c:v>422.81999999999971</c:v>
                </c:pt>
                <c:pt idx="1617">
                  <c:v>-67.799999999999272</c:v>
                </c:pt>
                <c:pt idx="1618">
                  <c:v>117.44000000000051</c:v>
                </c:pt>
                <c:pt idx="1619">
                  <c:v>-285.70000000000073</c:v>
                </c:pt>
                <c:pt idx="1620">
                  <c:v>-159.92000000000007</c:v>
                </c:pt>
                <c:pt idx="1621">
                  <c:v>-373.5</c:v>
                </c:pt>
                <c:pt idx="1622">
                  <c:v>32.719999999999345</c:v>
                </c:pt>
                <c:pt idx="1623">
                  <c:v>-86.809999999999491</c:v>
                </c:pt>
                <c:pt idx="1624">
                  <c:v>70.25</c:v>
                </c:pt>
                <c:pt idx="1625">
                  <c:v>-103.03999999999996</c:v>
                </c:pt>
                <c:pt idx="1626">
                  <c:v>109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</c:numCache>
            </c:numRef>
          </c:val>
        </c:ser>
        <c:ser>
          <c:idx val="1"/>
          <c:order val="1"/>
          <c:tx>
            <c:v>累積損益</c:v>
          </c:tx>
          <c:marker>
            <c:symbol val="none"/>
          </c:marker>
          <c:val>
            <c:numRef>
              <c:f>result!$L$53:$L$1682</c:f>
              <c:numCache>
                <c:formatCode>General</c:formatCode>
                <c:ptCount val="16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-17.799999999999272</c:v>
                </c:pt>
                <c:pt idx="6">
                  <c:v>-65.699999999999818</c:v>
                </c:pt>
                <c:pt idx="7">
                  <c:v>-88.569999999999709</c:v>
                </c:pt>
                <c:pt idx="8">
                  <c:v>-79.75</c:v>
                </c:pt>
                <c:pt idx="9">
                  <c:v>-73.309999999999491</c:v>
                </c:pt>
                <c:pt idx="10">
                  <c:v>-31.579999999999927</c:v>
                </c:pt>
                <c:pt idx="11">
                  <c:v>-83.889999999999418</c:v>
                </c:pt>
                <c:pt idx="12">
                  <c:v>-39.239999999999782</c:v>
                </c:pt>
                <c:pt idx="13">
                  <c:v>-53.710000000000036</c:v>
                </c:pt>
                <c:pt idx="14">
                  <c:v>-57.899999999999636</c:v>
                </c:pt>
                <c:pt idx="15">
                  <c:v>-36.5</c:v>
                </c:pt>
                <c:pt idx="16">
                  <c:v>51.8100000000004</c:v>
                </c:pt>
                <c:pt idx="17">
                  <c:v>319.6200000000008</c:v>
                </c:pt>
                <c:pt idx="18">
                  <c:v>253.23999999999978</c:v>
                </c:pt>
                <c:pt idx="19">
                  <c:v>363.92000000000007</c:v>
                </c:pt>
                <c:pt idx="20">
                  <c:v>305.96000000000095</c:v>
                </c:pt>
                <c:pt idx="21">
                  <c:v>255.76000000000022</c:v>
                </c:pt>
                <c:pt idx="22">
                  <c:v>233.31999999999971</c:v>
                </c:pt>
                <c:pt idx="23">
                  <c:v>139.44000000000051</c:v>
                </c:pt>
                <c:pt idx="24">
                  <c:v>193.39999999999964</c:v>
                </c:pt>
                <c:pt idx="25">
                  <c:v>65.399999999999636</c:v>
                </c:pt>
                <c:pt idx="26">
                  <c:v>113.80000000000109</c:v>
                </c:pt>
                <c:pt idx="27">
                  <c:v>113.5</c:v>
                </c:pt>
                <c:pt idx="28">
                  <c:v>142.57999999999993</c:v>
                </c:pt>
                <c:pt idx="29">
                  <c:v>-105.05999999999949</c:v>
                </c:pt>
                <c:pt idx="30">
                  <c:v>-150.05999999999949</c:v>
                </c:pt>
                <c:pt idx="31">
                  <c:v>-148.94999999999982</c:v>
                </c:pt>
                <c:pt idx="32">
                  <c:v>-131.89999999999964</c:v>
                </c:pt>
                <c:pt idx="33">
                  <c:v>-99.229999999999563</c:v>
                </c:pt>
                <c:pt idx="34">
                  <c:v>-116.69999999999982</c:v>
                </c:pt>
                <c:pt idx="35">
                  <c:v>-163.57999999999902</c:v>
                </c:pt>
                <c:pt idx="36">
                  <c:v>-174.40999999999985</c:v>
                </c:pt>
                <c:pt idx="37">
                  <c:v>-174.40999999999985</c:v>
                </c:pt>
                <c:pt idx="38">
                  <c:v>-174.40999999999985</c:v>
                </c:pt>
                <c:pt idx="39">
                  <c:v>-174.40999999999985</c:v>
                </c:pt>
                <c:pt idx="40">
                  <c:v>-174.40999999999985</c:v>
                </c:pt>
                <c:pt idx="41">
                  <c:v>-174.40999999999985</c:v>
                </c:pt>
                <c:pt idx="42">
                  <c:v>-174.40999999999985</c:v>
                </c:pt>
                <c:pt idx="43">
                  <c:v>-174.40999999999985</c:v>
                </c:pt>
                <c:pt idx="44">
                  <c:v>-174.40999999999985</c:v>
                </c:pt>
                <c:pt idx="45">
                  <c:v>-174.40999999999985</c:v>
                </c:pt>
                <c:pt idx="46">
                  <c:v>-174.40999999999985</c:v>
                </c:pt>
                <c:pt idx="47">
                  <c:v>-174.40999999999985</c:v>
                </c:pt>
                <c:pt idx="48">
                  <c:v>-174.40999999999985</c:v>
                </c:pt>
                <c:pt idx="49">
                  <c:v>-174.40999999999985</c:v>
                </c:pt>
                <c:pt idx="50">
                  <c:v>-174.40999999999985</c:v>
                </c:pt>
                <c:pt idx="51">
                  <c:v>-146.14000000000033</c:v>
                </c:pt>
                <c:pt idx="52">
                  <c:v>-177.92000000000007</c:v>
                </c:pt>
                <c:pt idx="53">
                  <c:v>-122.05000000000018</c:v>
                </c:pt>
                <c:pt idx="54">
                  <c:v>-137.78999999999996</c:v>
                </c:pt>
                <c:pt idx="55">
                  <c:v>-91.359999999999673</c:v>
                </c:pt>
                <c:pt idx="56">
                  <c:v>-52.659999999999854</c:v>
                </c:pt>
                <c:pt idx="57">
                  <c:v>-77.949999999999818</c:v>
                </c:pt>
                <c:pt idx="58">
                  <c:v>-31.609999999999673</c:v>
                </c:pt>
                <c:pt idx="59">
                  <c:v>-1.3000000000001819</c:v>
                </c:pt>
                <c:pt idx="60">
                  <c:v>9.8500000000003638</c:v>
                </c:pt>
                <c:pt idx="61">
                  <c:v>13.180000000000291</c:v>
                </c:pt>
                <c:pt idx="62">
                  <c:v>-5.25</c:v>
                </c:pt>
                <c:pt idx="63">
                  <c:v>74.119999999999891</c:v>
                </c:pt>
                <c:pt idx="64">
                  <c:v>90.149999999999636</c:v>
                </c:pt>
                <c:pt idx="65">
                  <c:v>56.979999999999563</c:v>
                </c:pt>
                <c:pt idx="66">
                  <c:v>19.279999999999745</c:v>
                </c:pt>
                <c:pt idx="67">
                  <c:v>33.130000000000109</c:v>
                </c:pt>
                <c:pt idx="68">
                  <c:v>-52.0600000000004</c:v>
                </c:pt>
                <c:pt idx="69">
                  <c:v>-41.770000000000437</c:v>
                </c:pt>
                <c:pt idx="70">
                  <c:v>-11.569999999999709</c:v>
                </c:pt>
                <c:pt idx="71">
                  <c:v>-12.510000000000218</c:v>
                </c:pt>
                <c:pt idx="72">
                  <c:v>-51.670000000000073</c:v>
                </c:pt>
                <c:pt idx="73">
                  <c:v>-61.659999999999854</c:v>
                </c:pt>
                <c:pt idx="74">
                  <c:v>-71.109999999999673</c:v>
                </c:pt>
                <c:pt idx="75">
                  <c:v>-82.3100000000004</c:v>
                </c:pt>
                <c:pt idx="76">
                  <c:v>15.149999999999636</c:v>
                </c:pt>
                <c:pt idx="77">
                  <c:v>75.100000000000364</c:v>
                </c:pt>
                <c:pt idx="78">
                  <c:v>93.380000000000109</c:v>
                </c:pt>
                <c:pt idx="79">
                  <c:v>149.91000000000076</c:v>
                </c:pt>
                <c:pt idx="80">
                  <c:v>134.39000000000033</c:v>
                </c:pt>
                <c:pt idx="81">
                  <c:v>145.89000000000033</c:v>
                </c:pt>
                <c:pt idx="82">
                  <c:v>160.83000000000084</c:v>
                </c:pt>
                <c:pt idx="83">
                  <c:v>101.26999999999953</c:v>
                </c:pt>
                <c:pt idx="84">
                  <c:v>74.669999999999163</c:v>
                </c:pt>
                <c:pt idx="85">
                  <c:v>154.10999999999967</c:v>
                </c:pt>
                <c:pt idx="86">
                  <c:v>45.529999999999745</c:v>
                </c:pt>
                <c:pt idx="87">
                  <c:v>-32.289999999999964</c:v>
                </c:pt>
                <c:pt idx="88">
                  <c:v>64.490000000000691</c:v>
                </c:pt>
                <c:pt idx="89">
                  <c:v>-62.830000000000837</c:v>
                </c:pt>
                <c:pt idx="90">
                  <c:v>-70.929999999999382</c:v>
                </c:pt>
                <c:pt idx="91">
                  <c:v>0.28999999999996362</c:v>
                </c:pt>
                <c:pt idx="92">
                  <c:v>224.34999999999945</c:v>
                </c:pt>
                <c:pt idx="93">
                  <c:v>205.23000000000047</c:v>
                </c:pt>
                <c:pt idx="94">
                  <c:v>73.269999999999527</c:v>
                </c:pt>
                <c:pt idx="95">
                  <c:v>73.210000000000036</c:v>
                </c:pt>
                <c:pt idx="96">
                  <c:v>26.890000000000327</c:v>
                </c:pt>
                <c:pt idx="97">
                  <c:v>20.630000000000109</c:v>
                </c:pt>
                <c:pt idx="98">
                  <c:v>15.009999999999309</c:v>
                </c:pt>
                <c:pt idx="99">
                  <c:v>-196.52999999999975</c:v>
                </c:pt>
                <c:pt idx="100">
                  <c:v>-181.52000000000044</c:v>
                </c:pt>
                <c:pt idx="101">
                  <c:v>-182</c:v>
                </c:pt>
                <c:pt idx="102">
                  <c:v>-218.82999999999993</c:v>
                </c:pt>
                <c:pt idx="103">
                  <c:v>-264.98000000000047</c:v>
                </c:pt>
                <c:pt idx="104">
                  <c:v>-217.27000000000044</c:v>
                </c:pt>
                <c:pt idx="105">
                  <c:v>-228.73999999999978</c:v>
                </c:pt>
                <c:pt idx="106">
                  <c:v>-296.68000000000029</c:v>
                </c:pt>
                <c:pt idx="107">
                  <c:v>-314.26000000000022</c:v>
                </c:pt>
                <c:pt idx="108">
                  <c:v>-287.36999999999989</c:v>
                </c:pt>
                <c:pt idx="109">
                  <c:v>-374.48000000000047</c:v>
                </c:pt>
                <c:pt idx="110">
                  <c:v>-391.80000000000018</c:v>
                </c:pt>
                <c:pt idx="111">
                  <c:v>-390.44999999999982</c:v>
                </c:pt>
                <c:pt idx="112">
                  <c:v>-307.86999999999989</c:v>
                </c:pt>
                <c:pt idx="113">
                  <c:v>-325.14000000000033</c:v>
                </c:pt>
                <c:pt idx="114">
                  <c:v>-283.77999999999975</c:v>
                </c:pt>
                <c:pt idx="115">
                  <c:v>-282.77999999999975</c:v>
                </c:pt>
                <c:pt idx="116">
                  <c:v>-274.03999999999996</c:v>
                </c:pt>
                <c:pt idx="117">
                  <c:v>-304.85999999999967</c:v>
                </c:pt>
                <c:pt idx="118">
                  <c:v>-258.94000000000051</c:v>
                </c:pt>
                <c:pt idx="119">
                  <c:v>-254.84000000000015</c:v>
                </c:pt>
                <c:pt idx="120">
                  <c:v>-275.22000000000025</c:v>
                </c:pt>
                <c:pt idx="121">
                  <c:v>-341.35999999999967</c:v>
                </c:pt>
                <c:pt idx="122">
                  <c:v>-392.68000000000029</c:v>
                </c:pt>
                <c:pt idx="123">
                  <c:v>-388.32999999999993</c:v>
                </c:pt>
                <c:pt idx="124">
                  <c:v>-318.56999999999971</c:v>
                </c:pt>
                <c:pt idx="125">
                  <c:v>-356.57999999999993</c:v>
                </c:pt>
                <c:pt idx="126">
                  <c:v>-451.85999999999967</c:v>
                </c:pt>
                <c:pt idx="127">
                  <c:v>-466.13000000000011</c:v>
                </c:pt>
                <c:pt idx="128">
                  <c:v>-466.13000000000011</c:v>
                </c:pt>
                <c:pt idx="129">
                  <c:v>-466.13000000000011</c:v>
                </c:pt>
                <c:pt idx="130">
                  <c:v>-466.13000000000011</c:v>
                </c:pt>
                <c:pt idx="131">
                  <c:v>-466.13000000000011</c:v>
                </c:pt>
                <c:pt idx="132">
                  <c:v>-466.13000000000011</c:v>
                </c:pt>
                <c:pt idx="133">
                  <c:v>-466.13000000000011</c:v>
                </c:pt>
                <c:pt idx="134">
                  <c:v>-466.13000000000011</c:v>
                </c:pt>
                <c:pt idx="135">
                  <c:v>-467.77999999999975</c:v>
                </c:pt>
                <c:pt idx="136">
                  <c:v>-506.97999999999956</c:v>
                </c:pt>
                <c:pt idx="137">
                  <c:v>-520.94999999999982</c:v>
                </c:pt>
                <c:pt idx="138">
                  <c:v>-536.19999999999982</c:v>
                </c:pt>
                <c:pt idx="139">
                  <c:v>-615.39000000000033</c:v>
                </c:pt>
                <c:pt idx="140">
                  <c:v>-642.68000000000029</c:v>
                </c:pt>
                <c:pt idx="141">
                  <c:v>-633.72000000000025</c:v>
                </c:pt>
                <c:pt idx="142">
                  <c:v>-776.51999999999953</c:v>
                </c:pt>
                <c:pt idx="143">
                  <c:v>-749.51000000000022</c:v>
                </c:pt>
                <c:pt idx="144">
                  <c:v>-749.51000000000022</c:v>
                </c:pt>
                <c:pt idx="145">
                  <c:v>-749.51000000000022</c:v>
                </c:pt>
                <c:pt idx="146">
                  <c:v>-749.51000000000022</c:v>
                </c:pt>
                <c:pt idx="147">
                  <c:v>-749.51000000000022</c:v>
                </c:pt>
                <c:pt idx="148">
                  <c:v>-749.51000000000022</c:v>
                </c:pt>
                <c:pt idx="149">
                  <c:v>-749.51000000000022</c:v>
                </c:pt>
                <c:pt idx="150">
                  <c:v>-749.51000000000022</c:v>
                </c:pt>
                <c:pt idx="151">
                  <c:v>-749.51000000000022</c:v>
                </c:pt>
                <c:pt idx="152">
                  <c:v>-749.51000000000022</c:v>
                </c:pt>
                <c:pt idx="153">
                  <c:v>-749.51000000000022</c:v>
                </c:pt>
                <c:pt idx="154">
                  <c:v>-749.51000000000022</c:v>
                </c:pt>
                <c:pt idx="155">
                  <c:v>-749.51000000000022</c:v>
                </c:pt>
                <c:pt idx="156">
                  <c:v>-749.51000000000022</c:v>
                </c:pt>
                <c:pt idx="157">
                  <c:v>-794.47999999999956</c:v>
                </c:pt>
                <c:pt idx="158">
                  <c:v>-805.23999999999978</c:v>
                </c:pt>
                <c:pt idx="159">
                  <c:v>-683.80999999999949</c:v>
                </c:pt>
                <c:pt idx="160">
                  <c:v>-665.40999999999985</c:v>
                </c:pt>
                <c:pt idx="161">
                  <c:v>-491.6299999999992</c:v>
                </c:pt>
                <c:pt idx="162">
                  <c:v>-474.90999999999985</c:v>
                </c:pt>
                <c:pt idx="163">
                  <c:v>-580.67000000000007</c:v>
                </c:pt>
                <c:pt idx="164">
                  <c:v>-549.75</c:v>
                </c:pt>
                <c:pt idx="165">
                  <c:v>-600.27000000000044</c:v>
                </c:pt>
                <c:pt idx="166">
                  <c:v>-428.67000000000007</c:v>
                </c:pt>
                <c:pt idx="167">
                  <c:v>-462.6899999999996</c:v>
                </c:pt>
                <c:pt idx="168">
                  <c:v>-595.38000000000102</c:v>
                </c:pt>
                <c:pt idx="169">
                  <c:v>-402.38999999999851</c:v>
                </c:pt>
                <c:pt idx="170">
                  <c:v>-437.27999999999884</c:v>
                </c:pt>
                <c:pt idx="171">
                  <c:v>-388.35000000000036</c:v>
                </c:pt>
                <c:pt idx="172">
                  <c:v>-161.42999999999938</c:v>
                </c:pt>
                <c:pt idx="173">
                  <c:v>-354.41999999999916</c:v>
                </c:pt>
                <c:pt idx="174">
                  <c:v>-162.53999999999905</c:v>
                </c:pt>
                <c:pt idx="175">
                  <c:v>-233.49000000000069</c:v>
                </c:pt>
                <c:pt idx="176">
                  <c:v>-86.100000000000364</c:v>
                </c:pt>
                <c:pt idx="177">
                  <c:v>271.98000000000138</c:v>
                </c:pt>
                <c:pt idx="178">
                  <c:v>278.61000000000149</c:v>
                </c:pt>
                <c:pt idx="179">
                  <c:v>215.61000000000149</c:v>
                </c:pt>
                <c:pt idx="180">
                  <c:v>-25.380000000001019</c:v>
                </c:pt>
                <c:pt idx="181">
                  <c:v>20.1299999999992</c:v>
                </c:pt>
                <c:pt idx="182">
                  <c:v>25.920000000000073</c:v>
                </c:pt>
                <c:pt idx="183">
                  <c:v>10.590000000001055</c:v>
                </c:pt>
                <c:pt idx="184">
                  <c:v>-66.899999999998727</c:v>
                </c:pt>
                <c:pt idx="185">
                  <c:v>2.4600000000009459</c:v>
                </c:pt>
                <c:pt idx="186">
                  <c:v>279.11999999999898</c:v>
                </c:pt>
                <c:pt idx="187">
                  <c:v>521.3100000000004</c:v>
                </c:pt>
                <c:pt idx="188">
                  <c:v>510.57000000000062</c:v>
                </c:pt>
                <c:pt idx="189">
                  <c:v>642.72000000000116</c:v>
                </c:pt>
                <c:pt idx="190">
                  <c:v>478.64999999999964</c:v>
                </c:pt>
                <c:pt idx="191">
                  <c:v>764.94000000000051</c:v>
                </c:pt>
                <c:pt idx="192">
                  <c:v>831.36000000000149</c:v>
                </c:pt>
                <c:pt idx="193">
                  <c:v>821.82000000000062</c:v>
                </c:pt>
                <c:pt idx="194">
                  <c:v>800.24999999999909</c:v>
                </c:pt>
                <c:pt idx="195">
                  <c:v>953.63999999999942</c:v>
                </c:pt>
                <c:pt idx="196">
                  <c:v>872.07000000000062</c:v>
                </c:pt>
                <c:pt idx="197">
                  <c:v>613.23000000000138</c:v>
                </c:pt>
                <c:pt idx="198">
                  <c:v>1002.3600000000015</c:v>
                </c:pt>
                <c:pt idx="199">
                  <c:v>1076.369999999999</c:v>
                </c:pt>
                <c:pt idx="200">
                  <c:v>1356.6599999999999</c:v>
                </c:pt>
                <c:pt idx="201">
                  <c:v>1311.5099999999993</c:v>
                </c:pt>
                <c:pt idx="202">
                  <c:v>1454.2200000000012</c:v>
                </c:pt>
                <c:pt idx="203">
                  <c:v>1349.2499999999991</c:v>
                </c:pt>
                <c:pt idx="204">
                  <c:v>1434.7200000000012</c:v>
                </c:pt>
                <c:pt idx="205">
                  <c:v>1403.8799999999992</c:v>
                </c:pt>
                <c:pt idx="206">
                  <c:v>1274.1000000000013</c:v>
                </c:pt>
                <c:pt idx="207">
                  <c:v>1399.5900000000011</c:v>
                </c:pt>
                <c:pt idx="208">
                  <c:v>1360.17</c:v>
                </c:pt>
                <c:pt idx="209">
                  <c:v>723.8100000000004</c:v>
                </c:pt>
                <c:pt idx="210">
                  <c:v>766.34000000000015</c:v>
                </c:pt>
                <c:pt idx="211">
                  <c:v>715.02000000000044</c:v>
                </c:pt>
                <c:pt idx="212">
                  <c:v>509.61000000000058</c:v>
                </c:pt>
                <c:pt idx="213">
                  <c:v>579.57999999999993</c:v>
                </c:pt>
                <c:pt idx="214">
                  <c:v>659.82000000000062</c:v>
                </c:pt>
                <c:pt idx="215">
                  <c:v>722.24000000000069</c:v>
                </c:pt>
                <c:pt idx="216">
                  <c:v>847.60000000000036</c:v>
                </c:pt>
                <c:pt idx="217">
                  <c:v>847.72000000000025</c:v>
                </c:pt>
                <c:pt idx="218">
                  <c:v>751.75</c:v>
                </c:pt>
                <c:pt idx="219">
                  <c:v>757.77000000000044</c:v>
                </c:pt>
                <c:pt idx="220">
                  <c:v>722.5600000000004</c:v>
                </c:pt>
                <c:pt idx="221">
                  <c:v>689.93000000000029</c:v>
                </c:pt>
                <c:pt idx="222">
                  <c:v>740.61000000000058</c:v>
                </c:pt>
                <c:pt idx="223">
                  <c:v>726.13000000000011</c:v>
                </c:pt>
                <c:pt idx="224">
                  <c:v>811.57000000000062</c:v>
                </c:pt>
                <c:pt idx="225">
                  <c:v>801.39000000000033</c:v>
                </c:pt>
                <c:pt idx="226">
                  <c:v>814.19000000000051</c:v>
                </c:pt>
                <c:pt idx="227">
                  <c:v>759.15000000000055</c:v>
                </c:pt>
                <c:pt idx="228">
                  <c:v>658.34000000000015</c:v>
                </c:pt>
                <c:pt idx="229">
                  <c:v>602.32999999999993</c:v>
                </c:pt>
                <c:pt idx="230">
                  <c:v>601.69000000000051</c:v>
                </c:pt>
                <c:pt idx="231">
                  <c:v>601.69000000000051</c:v>
                </c:pt>
                <c:pt idx="232">
                  <c:v>601.69000000000051</c:v>
                </c:pt>
                <c:pt idx="233">
                  <c:v>601.69000000000051</c:v>
                </c:pt>
                <c:pt idx="234">
                  <c:v>601.69000000000051</c:v>
                </c:pt>
                <c:pt idx="235">
                  <c:v>601.69000000000051</c:v>
                </c:pt>
                <c:pt idx="236">
                  <c:v>601.69000000000051</c:v>
                </c:pt>
                <c:pt idx="237">
                  <c:v>601.69000000000051</c:v>
                </c:pt>
                <c:pt idx="238">
                  <c:v>601.69000000000051</c:v>
                </c:pt>
                <c:pt idx="239">
                  <c:v>601.69000000000051</c:v>
                </c:pt>
                <c:pt idx="240">
                  <c:v>601.69000000000051</c:v>
                </c:pt>
                <c:pt idx="241">
                  <c:v>601.69000000000051</c:v>
                </c:pt>
                <c:pt idx="242">
                  <c:v>601.69000000000051</c:v>
                </c:pt>
                <c:pt idx="243">
                  <c:v>601.69000000000051</c:v>
                </c:pt>
                <c:pt idx="244">
                  <c:v>601.69000000000051</c:v>
                </c:pt>
                <c:pt idx="245">
                  <c:v>601.69000000000051</c:v>
                </c:pt>
                <c:pt idx="246">
                  <c:v>601.69000000000051</c:v>
                </c:pt>
                <c:pt idx="247">
                  <c:v>601.69000000000051</c:v>
                </c:pt>
                <c:pt idx="248">
                  <c:v>601.69000000000051</c:v>
                </c:pt>
                <c:pt idx="249">
                  <c:v>592.03000000000065</c:v>
                </c:pt>
                <c:pt idx="250">
                  <c:v>546.80000000000018</c:v>
                </c:pt>
                <c:pt idx="251">
                  <c:v>514.80000000000018</c:v>
                </c:pt>
                <c:pt idx="252">
                  <c:v>470.6200000000008</c:v>
                </c:pt>
                <c:pt idx="253">
                  <c:v>422.59000000000015</c:v>
                </c:pt>
                <c:pt idx="254">
                  <c:v>354.68000000000029</c:v>
                </c:pt>
                <c:pt idx="255">
                  <c:v>341.33000000000084</c:v>
                </c:pt>
                <c:pt idx="256">
                  <c:v>341.33000000000084</c:v>
                </c:pt>
                <c:pt idx="257">
                  <c:v>341.33000000000084</c:v>
                </c:pt>
                <c:pt idx="258">
                  <c:v>341.33000000000084</c:v>
                </c:pt>
                <c:pt idx="259">
                  <c:v>341.33000000000084</c:v>
                </c:pt>
                <c:pt idx="260">
                  <c:v>341.33000000000084</c:v>
                </c:pt>
                <c:pt idx="261">
                  <c:v>341.33000000000084</c:v>
                </c:pt>
                <c:pt idx="262">
                  <c:v>341.33000000000084</c:v>
                </c:pt>
                <c:pt idx="263">
                  <c:v>341.33000000000084</c:v>
                </c:pt>
                <c:pt idx="264">
                  <c:v>341.33000000000084</c:v>
                </c:pt>
                <c:pt idx="265">
                  <c:v>341.33000000000084</c:v>
                </c:pt>
                <c:pt idx="266">
                  <c:v>341.33000000000084</c:v>
                </c:pt>
                <c:pt idx="267">
                  <c:v>341.33000000000084</c:v>
                </c:pt>
                <c:pt idx="268">
                  <c:v>341.33000000000084</c:v>
                </c:pt>
                <c:pt idx="269">
                  <c:v>341.33000000000084</c:v>
                </c:pt>
                <c:pt idx="270">
                  <c:v>341.33000000000084</c:v>
                </c:pt>
                <c:pt idx="271">
                  <c:v>341.33000000000084</c:v>
                </c:pt>
                <c:pt idx="272">
                  <c:v>341.33000000000084</c:v>
                </c:pt>
                <c:pt idx="273">
                  <c:v>341.33000000000084</c:v>
                </c:pt>
                <c:pt idx="274">
                  <c:v>341.33000000000084</c:v>
                </c:pt>
                <c:pt idx="275">
                  <c:v>341.33000000000084</c:v>
                </c:pt>
                <c:pt idx="276">
                  <c:v>341.33000000000084</c:v>
                </c:pt>
                <c:pt idx="277">
                  <c:v>341.33000000000084</c:v>
                </c:pt>
                <c:pt idx="278">
                  <c:v>341.33000000000084</c:v>
                </c:pt>
                <c:pt idx="279">
                  <c:v>341.33000000000084</c:v>
                </c:pt>
                <c:pt idx="280">
                  <c:v>341.33000000000084</c:v>
                </c:pt>
                <c:pt idx="281">
                  <c:v>341.33000000000084</c:v>
                </c:pt>
                <c:pt idx="282">
                  <c:v>341.33000000000084</c:v>
                </c:pt>
                <c:pt idx="283">
                  <c:v>341.33000000000084</c:v>
                </c:pt>
                <c:pt idx="284">
                  <c:v>341.33000000000084</c:v>
                </c:pt>
                <c:pt idx="285">
                  <c:v>341.25000000000091</c:v>
                </c:pt>
                <c:pt idx="286">
                  <c:v>424.05000000000109</c:v>
                </c:pt>
                <c:pt idx="287">
                  <c:v>350.20000000000164</c:v>
                </c:pt>
                <c:pt idx="288">
                  <c:v>621.98000000000047</c:v>
                </c:pt>
                <c:pt idx="289">
                  <c:v>810.54000000000178</c:v>
                </c:pt>
                <c:pt idx="290">
                  <c:v>744.48000000000047</c:v>
                </c:pt>
                <c:pt idx="291">
                  <c:v>775.20000000000164</c:v>
                </c:pt>
                <c:pt idx="292">
                  <c:v>739.48000000000047</c:v>
                </c:pt>
                <c:pt idx="293">
                  <c:v>740.74000000000069</c:v>
                </c:pt>
                <c:pt idx="294">
                  <c:v>804.60000000000127</c:v>
                </c:pt>
                <c:pt idx="295">
                  <c:v>752.82000000000062</c:v>
                </c:pt>
                <c:pt idx="296">
                  <c:v>579.22000000000025</c:v>
                </c:pt>
                <c:pt idx="297">
                  <c:v>1067.96</c:v>
                </c:pt>
                <c:pt idx="298">
                  <c:v>992.26999999999953</c:v>
                </c:pt>
                <c:pt idx="299">
                  <c:v>1344.8600000000015</c:v>
                </c:pt>
                <c:pt idx="300">
                  <c:v>2187.6499999999996</c:v>
                </c:pt>
                <c:pt idx="301">
                  <c:v>1849.1900000000005</c:v>
                </c:pt>
                <c:pt idx="302">
                  <c:v>1854.3800000000019</c:v>
                </c:pt>
                <c:pt idx="303">
                  <c:v>2171.4500000000007</c:v>
                </c:pt>
                <c:pt idx="304">
                  <c:v>1776.0500000000002</c:v>
                </c:pt>
                <c:pt idx="305">
                  <c:v>1903.9099999999999</c:v>
                </c:pt>
                <c:pt idx="306">
                  <c:v>1455.7699999999995</c:v>
                </c:pt>
                <c:pt idx="307">
                  <c:v>1433.9600000000009</c:v>
                </c:pt>
                <c:pt idx="308">
                  <c:v>2092.4300000000003</c:v>
                </c:pt>
                <c:pt idx="309">
                  <c:v>2284.3100000000004</c:v>
                </c:pt>
                <c:pt idx="310">
                  <c:v>1727.6300000000019</c:v>
                </c:pt>
                <c:pt idx="311">
                  <c:v>1826.1499999999996</c:v>
                </c:pt>
                <c:pt idx="312">
                  <c:v>1612.04</c:v>
                </c:pt>
                <c:pt idx="313">
                  <c:v>1465.9099999999999</c:v>
                </c:pt>
                <c:pt idx="314">
                  <c:v>1560.29</c:v>
                </c:pt>
                <c:pt idx="315">
                  <c:v>1360.9099999999999</c:v>
                </c:pt>
                <c:pt idx="316">
                  <c:v>1069.8500000000013</c:v>
                </c:pt>
                <c:pt idx="317">
                  <c:v>1018.8500000000013</c:v>
                </c:pt>
                <c:pt idx="318">
                  <c:v>986.83000000000084</c:v>
                </c:pt>
                <c:pt idx="319">
                  <c:v>1135.9300000000012</c:v>
                </c:pt>
                <c:pt idx="320">
                  <c:v>1137.7100000000019</c:v>
                </c:pt>
                <c:pt idx="321">
                  <c:v>1134.6300000000019</c:v>
                </c:pt>
                <c:pt idx="322">
                  <c:v>1090.9300000000012</c:v>
                </c:pt>
                <c:pt idx="323">
                  <c:v>1177.5900000000011</c:v>
                </c:pt>
                <c:pt idx="324">
                  <c:v>1187.670000000001</c:v>
                </c:pt>
                <c:pt idx="325">
                  <c:v>1320.6500000000005</c:v>
                </c:pt>
                <c:pt idx="326">
                  <c:v>1599.7900000000018</c:v>
                </c:pt>
                <c:pt idx="327">
                  <c:v>2085.2200000000012</c:v>
                </c:pt>
                <c:pt idx="328">
                  <c:v>2002.6900000000005</c:v>
                </c:pt>
                <c:pt idx="329">
                  <c:v>2026.9000000000024</c:v>
                </c:pt>
                <c:pt idx="330">
                  <c:v>1527.4000000000024</c:v>
                </c:pt>
                <c:pt idx="331">
                  <c:v>1598.5900000000011</c:v>
                </c:pt>
                <c:pt idx="332">
                  <c:v>1779.7300000000014</c:v>
                </c:pt>
                <c:pt idx="333">
                  <c:v>1685.6500000000024</c:v>
                </c:pt>
                <c:pt idx="334">
                  <c:v>1729.4500000000007</c:v>
                </c:pt>
                <c:pt idx="335">
                  <c:v>1480.8700000000017</c:v>
                </c:pt>
                <c:pt idx="336">
                  <c:v>1418.4100000000026</c:v>
                </c:pt>
                <c:pt idx="337">
                  <c:v>1494.8800000000019</c:v>
                </c:pt>
                <c:pt idx="338">
                  <c:v>1534.2400000000016</c:v>
                </c:pt>
                <c:pt idx="339">
                  <c:v>1444.3600000000015</c:v>
                </c:pt>
                <c:pt idx="340">
                  <c:v>1471.6600000000026</c:v>
                </c:pt>
                <c:pt idx="341">
                  <c:v>1530.7900000000027</c:v>
                </c:pt>
                <c:pt idx="342">
                  <c:v>1608.7900000000027</c:v>
                </c:pt>
                <c:pt idx="343">
                  <c:v>1352.2000000000007</c:v>
                </c:pt>
                <c:pt idx="344">
                  <c:v>1138.9600000000009</c:v>
                </c:pt>
                <c:pt idx="345">
                  <c:v>1146.1200000000026</c:v>
                </c:pt>
                <c:pt idx="346">
                  <c:v>1161.1400000000012</c:v>
                </c:pt>
                <c:pt idx="347">
                  <c:v>1079.5400000000027</c:v>
                </c:pt>
                <c:pt idx="348">
                  <c:v>1059.7100000000019</c:v>
                </c:pt>
                <c:pt idx="349">
                  <c:v>978.21000000000186</c:v>
                </c:pt>
                <c:pt idx="350">
                  <c:v>941.38000000000193</c:v>
                </c:pt>
                <c:pt idx="351">
                  <c:v>953.76000000000204</c:v>
                </c:pt>
                <c:pt idx="352">
                  <c:v>1168.9200000000019</c:v>
                </c:pt>
                <c:pt idx="353">
                  <c:v>1084.6400000000021</c:v>
                </c:pt>
                <c:pt idx="354">
                  <c:v>1118.510000000002</c:v>
                </c:pt>
                <c:pt idx="355">
                  <c:v>1124.2000000000016</c:v>
                </c:pt>
                <c:pt idx="356">
                  <c:v>1148.6200000000017</c:v>
                </c:pt>
                <c:pt idx="357">
                  <c:v>1230.0800000000017</c:v>
                </c:pt>
                <c:pt idx="358">
                  <c:v>1201.0000000000018</c:v>
                </c:pt>
                <c:pt idx="359">
                  <c:v>986.58000000000175</c:v>
                </c:pt>
                <c:pt idx="360">
                  <c:v>937.28000000000065</c:v>
                </c:pt>
                <c:pt idx="361">
                  <c:v>857.90000000000146</c:v>
                </c:pt>
                <c:pt idx="362">
                  <c:v>659.26000000000204</c:v>
                </c:pt>
                <c:pt idx="363">
                  <c:v>661.14000000000215</c:v>
                </c:pt>
                <c:pt idx="364">
                  <c:v>707.47000000000207</c:v>
                </c:pt>
                <c:pt idx="365">
                  <c:v>710.64000000000215</c:v>
                </c:pt>
                <c:pt idx="366">
                  <c:v>702.76000000000204</c:v>
                </c:pt>
                <c:pt idx="367">
                  <c:v>701.9900000000016</c:v>
                </c:pt>
                <c:pt idx="368">
                  <c:v>770.14000000000215</c:v>
                </c:pt>
                <c:pt idx="369">
                  <c:v>731.00000000000182</c:v>
                </c:pt>
                <c:pt idx="370">
                  <c:v>797.00000000000182</c:v>
                </c:pt>
                <c:pt idx="371">
                  <c:v>714.78000000000156</c:v>
                </c:pt>
                <c:pt idx="372">
                  <c:v>513.39000000000215</c:v>
                </c:pt>
                <c:pt idx="373">
                  <c:v>498.28000000000156</c:v>
                </c:pt>
                <c:pt idx="374">
                  <c:v>498.28000000000156</c:v>
                </c:pt>
                <c:pt idx="375">
                  <c:v>498.28000000000156</c:v>
                </c:pt>
                <c:pt idx="376">
                  <c:v>498.28000000000156</c:v>
                </c:pt>
                <c:pt idx="377">
                  <c:v>498.28000000000156</c:v>
                </c:pt>
                <c:pt idx="378">
                  <c:v>498.28000000000156</c:v>
                </c:pt>
                <c:pt idx="379">
                  <c:v>498.28000000000156</c:v>
                </c:pt>
                <c:pt idx="380">
                  <c:v>498.28000000000156</c:v>
                </c:pt>
                <c:pt idx="381">
                  <c:v>498.28000000000156</c:v>
                </c:pt>
                <c:pt idx="382">
                  <c:v>498.28000000000156</c:v>
                </c:pt>
                <c:pt idx="383">
                  <c:v>513.09000000000196</c:v>
                </c:pt>
                <c:pt idx="384">
                  <c:v>431.19000000000142</c:v>
                </c:pt>
                <c:pt idx="385">
                  <c:v>553.45000000000164</c:v>
                </c:pt>
                <c:pt idx="386">
                  <c:v>562.88000000000193</c:v>
                </c:pt>
                <c:pt idx="387">
                  <c:v>540.79000000000178</c:v>
                </c:pt>
                <c:pt idx="388">
                  <c:v>625.01000000000204</c:v>
                </c:pt>
                <c:pt idx="389">
                  <c:v>756.08000000000175</c:v>
                </c:pt>
                <c:pt idx="390">
                  <c:v>603.50000000000182</c:v>
                </c:pt>
                <c:pt idx="391">
                  <c:v>488.44000000000233</c:v>
                </c:pt>
                <c:pt idx="392">
                  <c:v>444.90000000000146</c:v>
                </c:pt>
                <c:pt idx="393">
                  <c:v>531.98000000000138</c:v>
                </c:pt>
                <c:pt idx="394">
                  <c:v>533.76000000000204</c:v>
                </c:pt>
                <c:pt idx="395">
                  <c:v>648.08000000000175</c:v>
                </c:pt>
                <c:pt idx="396">
                  <c:v>573.02000000000226</c:v>
                </c:pt>
                <c:pt idx="397">
                  <c:v>614.92000000000189</c:v>
                </c:pt>
                <c:pt idx="398">
                  <c:v>626.72000000000116</c:v>
                </c:pt>
                <c:pt idx="399">
                  <c:v>443.64000000000124</c:v>
                </c:pt>
                <c:pt idx="400">
                  <c:v>495.88000000000102</c:v>
                </c:pt>
                <c:pt idx="401">
                  <c:v>481.22000000000116</c:v>
                </c:pt>
                <c:pt idx="402">
                  <c:v>609.44000000000233</c:v>
                </c:pt>
                <c:pt idx="403">
                  <c:v>776.46000000000095</c:v>
                </c:pt>
                <c:pt idx="404">
                  <c:v>777.67000000000007</c:v>
                </c:pt>
                <c:pt idx="405">
                  <c:v>970.30000000000018</c:v>
                </c:pt>
                <c:pt idx="406">
                  <c:v>951.37000000000171</c:v>
                </c:pt>
                <c:pt idx="407">
                  <c:v>869.7400000000016</c:v>
                </c:pt>
                <c:pt idx="408">
                  <c:v>938.95000000000073</c:v>
                </c:pt>
                <c:pt idx="409">
                  <c:v>824.53000000000247</c:v>
                </c:pt>
                <c:pt idx="410">
                  <c:v>1028.4700000000012</c:v>
                </c:pt>
                <c:pt idx="411">
                  <c:v>1126.9000000000024</c:v>
                </c:pt>
                <c:pt idx="412">
                  <c:v>1188.79</c:v>
                </c:pt>
                <c:pt idx="413">
                  <c:v>1194.9700000000012</c:v>
                </c:pt>
                <c:pt idx="414">
                  <c:v>1200.79</c:v>
                </c:pt>
                <c:pt idx="415">
                  <c:v>1345.42</c:v>
                </c:pt>
                <c:pt idx="416">
                  <c:v>1462.6600000000026</c:v>
                </c:pt>
                <c:pt idx="417">
                  <c:v>1570.42</c:v>
                </c:pt>
                <c:pt idx="418">
                  <c:v>1698.4300000000003</c:v>
                </c:pt>
                <c:pt idx="419">
                  <c:v>1910.8000000000002</c:v>
                </c:pt>
                <c:pt idx="420">
                  <c:v>1751.17</c:v>
                </c:pt>
                <c:pt idx="421">
                  <c:v>1838.92</c:v>
                </c:pt>
                <c:pt idx="422">
                  <c:v>2119.510000000002</c:v>
                </c:pt>
                <c:pt idx="423">
                  <c:v>2257.0600000000004</c:v>
                </c:pt>
                <c:pt idx="424">
                  <c:v>2357.3800000000019</c:v>
                </c:pt>
                <c:pt idx="425">
                  <c:v>2246.0500000000002</c:v>
                </c:pt>
                <c:pt idx="426">
                  <c:v>2496.3400000000011</c:v>
                </c:pt>
                <c:pt idx="427">
                  <c:v>2475.9100000000026</c:v>
                </c:pt>
                <c:pt idx="428">
                  <c:v>2325.2500000000018</c:v>
                </c:pt>
                <c:pt idx="429">
                  <c:v>2252.7100000000009</c:v>
                </c:pt>
                <c:pt idx="430">
                  <c:v>1792.0300000000025</c:v>
                </c:pt>
                <c:pt idx="431">
                  <c:v>1767.2500000000018</c:v>
                </c:pt>
                <c:pt idx="432">
                  <c:v>1857.5800000000008</c:v>
                </c:pt>
                <c:pt idx="433">
                  <c:v>2032.8100000000004</c:v>
                </c:pt>
                <c:pt idx="434">
                  <c:v>2290.2100000000009</c:v>
                </c:pt>
                <c:pt idx="435">
                  <c:v>2212.9900000000016</c:v>
                </c:pt>
                <c:pt idx="436">
                  <c:v>2361.4000000000024</c:v>
                </c:pt>
                <c:pt idx="437">
                  <c:v>2279.17</c:v>
                </c:pt>
                <c:pt idx="438">
                  <c:v>2373.760000000002</c:v>
                </c:pt>
                <c:pt idx="439">
                  <c:v>2356.7800000000025</c:v>
                </c:pt>
                <c:pt idx="440">
                  <c:v>2599.1200000000017</c:v>
                </c:pt>
                <c:pt idx="441">
                  <c:v>2615.8900000000021</c:v>
                </c:pt>
                <c:pt idx="442">
                  <c:v>2615.1400000000021</c:v>
                </c:pt>
                <c:pt idx="443">
                  <c:v>2887.510000000002</c:v>
                </c:pt>
                <c:pt idx="444">
                  <c:v>3178.7500000000018</c:v>
                </c:pt>
                <c:pt idx="445">
                  <c:v>3168.2500000000018</c:v>
                </c:pt>
                <c:pt idx="446">
                  <c:v>3219.8800000000019</c:v>
                </c:pt>
                <c:pt idx="447">
                  <c:v>2923.0600000000004</c:v>
                </c:pt>
                <c:pt idx="448">
                  <c:v>2626.4800000000014</c:v>
                </c:pt>
                <c:pt idx="449">
                  <c:v>2786.3800000000019</c:v>
                </c:pt>
                <c:pt idx="450">
                  <c:v>2511.9100000000026</c:v>
                </c:pt>
                <c:pt idx="451">
                  <c:v>2272.0000000000018</c:v>
                </c:pt>
                <c:pt idx="452">
                  <c:v>2653.4000000000015</c:v>
                </c:pt>
                <c:pt idx="453">
                  <c:v>2696.9800000000014</c:v>
                </c:pt>
                <c:pt idx="454">
                  <c:v>2714.1400000000012</c:v>
                </c:pt>
                <c:pt idx="455">
                  <c:v>2797.9400000000005</c:v>
                </c:pt>
                <c:pt idx="456">
                  <c:v>2920.340000000002</c:v>
                </c:pt>
                <c:pt idx="457">
                  <c:v>2810.1400000000012</c:v>
                </c:pt>
                <c:pt idx="458">
                  <c:v>2814.9200000000019</c:v>
                </c:pt>
                <c:pt idx="459">
                  <c:v>2834.7000000000007</c:v>
                </c:pt>
                <c:pt idx="460">
                  <c:v>3001.0600000000013</c:v>
                </c:pt>
                <c:pt idx="461">
                  <c:v>2918.6500000000024</c:v>
                </c:pt>
                <c:pt idx="462">
                  <c:v>2611.3000000000002</c:v>
                </c:pt>
                <c:pt idx="463">
                  <c:v>2402.7100000000009</c:v>
                </c:pt>
                <c:pt idx="464">
                  <c:v>2367.0700000000006</c:v>
                </c:pt>
                <c:pt idx="465">
                  <c:v>2246.260000000002</c:v>
                </c:pt>
                <c:pt idx="466">
                  <c:v>2251.9600000000009</c:v>
                </c:pt>
                <c:pt idx="467">
                  <c:v>2478.4300000000003</c:v>
                </c:pt>
                <c:pt idx="468">
                  <c:v>2496.7000000000007</c:v>
                </c:pt>
                <c:pt idx="469">
                  <c:v>2774.5900000000011</c:v>
                </c:pt>
                <c:pt idx="470">
                  <c:v>2697.5200000000023</c:v>
                </c:pt>
                <c:pt idx="471">
                  <c:v>2674.0000000000018</c:v>
                </c:pt>
                <c:pt idx="472">
                  <c:v>2725.9300000000003</c:v>
                </c:pt>
                <c:pt idx="473">
                  <c:v>2476.42</c:v>
                </c:pt>
                <c:pt idx="474">
                  <c:v>2357.8300000000008</c:v>
                </c:pt>
                <c:pt idx="475">
                  <c:v>2575.6900000000005</c:v>
                </c:pt>
                <c:pt idx="476">
                  <c:v>2847.9400000000005</c:v>
                </c:pt>
                <c:pt idx="477">
                  <c:v>2853.2200000000012</c:v>
                </c:pt>
                <c:pt idx="478">
                  <c:v>2183.3500000000013</c:v>
                </c:pt>
                <c:pt idx="479">
                  <c:v>2159.6500000000024</c:v>
                </c:pt>
                <c:pt idx="480">
                  <c:v>1181.0200000000023</c:v>
                </c:pt>
                <c:pt idx="481">
                  <c:v>1428.5400000000018</c:v>
                </c:pt>
                <c:pt idx="482">
                  <c:v>1488.2000000000016</c:v>
                </c:pt>
                <c:pt idx="483">
                  <c:v>1674.1600000000008</c:v>
                </c:pt>
                <c:pt idx="484">
                  <c:v>1662.8200000000006</c:v>
                </c:pt>
                <c:pt idx="485">
                  <c:v>1784.7200000000003</c:v>
                </c:pt>
                <c:pt idx="486">
                  <c:v>1894.420000000001</c:v>
                </c:pt>
                <c:pt idx="487">
                  <c:v>1666.9600000000019</c:v>
                </c:pt>
                <c:pt idx="488">
                  <c:v>1918.3400000000011</c:v>
                </c:pt>
                <c:pt idx="489">
                  <c:v>1966.0200000000013</c:v>
                </c:pt>
                <c:pt idx="490">
                  <c:v>2001.3400000000011</c:v>
                </c:pt>
                <c:pt idx="491">
                  <c:v>1998.8200000000006</c:v>
                </c:pt>
                <c:pt idx="492">
                  <c:v>2040.4800000000005</c:v>
                </c:pt>
                <c:pt idx="493">
                  <c:v>2153.7900000000009</c:v>
                </c:pt>
                <c:pt idx="494">
                  <c:v>2260.7399999999998</c:v>
                </c:pt>
                <c:pt idx="495">
                  <c:v>2316.2399999999998</c:v>
                </c:pt>
                <c:pt idx="496">
                  <c:v>2218.2900000000009</c:v>
                </c:pt>
                <c:pt idx="497">
                  <c:v>2047.2000000000016</c:v>
                </c:pt>
                <c:pt idx="498">
                  <c:v>2227.7700000000004</c:v>
                </c:pt>
                <c:pt idx="499">
                  <c:v>2336.0100000000002</c:v>
                </c:pt>
                <c:pt idx="500">
                  <c:v>2337.75</c:v>
                </c:pt>
                <c:pt idx="501">
                  <c:v>2481.5100000000002</c:v>
                </c:pt>
                <c:pt idx="502">
                  <c:v>2696.6099999999997</c:v>
                </c:pt>
                <c:pt idx="503">
                  <c:v>2852.4600000000019</c:v>
                </c:pt>
                <c:pt idx="504">
                  <c:v>2827.9500000000016</c:v>
                </c:pt>
                <c:pt idx="505">
                  <c:v>2936.13</c:v>
                </c:pt>
                <c:pt idx="506">
                  <c:v>2908.38</c:v>
                </c:pt>
                <c:pt idx="507">
                  <c:v>2689.6800000000012</c:v>
                </c:pt>
                <c:pt idx="508">
                  <c:v>2813.4000000000005</c:v>
                </c:pt>
                <c:pt idx="509">
                  <c:v>2560.6500000000005</c:v>
                </c:pt>
                <c:pt idx="510">
                  <c:v>2692.7100000000019</c:v>
                </c:pt>
                <c:pt idx="511">
                  <c:v>2348.670000000001</c:v>
                </c:pt>
                <c:pt idx="512">
                  <c:v>2510.7900000000009</c:v>
                </c:pt>
                <c:pt idx="513">
                  <c:v>2714.1600000000008</c:v>
                </c:pt>
                <c:pt idx="514">
                  <c:v>2817.8100000000013</c:v>
                </c:pt>
                <c:pt idx="515">
                  <c:v>2636.7299999999996</c:v>
                </c:pt>
                <c:pt idx="516">
                  <c:v>2682.9000000000005</c:v>
                </c:pt>
                <c:pt idx="517">
                  <c:v>2531.0400000000009</c:v>
                </c:pt>
                <c:pt idx="518">
                  <c:v>2309.0400000000009</c:v>
                </c:pt>
                <c:pt idx="519">
                  <c:v>2391.9000000000005</c:v>
                </c:pt>
                <c:pt idx="520">
                  <c:v>2462.7600000000002</c:v>
                </c:pt>
                <c:pt idx="521">
                  <c:v>2880.9600000000019</c:v>
                </c:pt>
                <c:pt idx="522">
                  <c:v>3028.590000000002</c:v>
                </c:pt>
                <c:pt idx="523">
                  <c:v>2970.3000000000011</c:v>
                </c:pt>
                <c:pt idx="524">
                  <c:v>2840.88</c:v>
                </c:pt>
                <c:pt idx="525">
                  <c:v>2973.3599999999997</c:v>
                </c:pt>
                <c:pt idx="526">
                  <c:v>2777.4000000000005</c:v>
                </c:pt>
                <c:pt idx="527">
                  <c:v>2774.4600000000019</c:v>
                </c:pt>
                <c:pt idx="528">
                  <c:v>2607.87</c:v>
                </c:pt>
                <c:pt idx="529">
                  <c:v>2648.49</c:v>
                </c:pt>
                <c:pt idx="530">
                  <c:v>2796.6600000000008</c:v>
                </c:pt>
                <c:pt idx="531">
                  <c:v>2785.2000000000016</c:v>
                </c:pt>
                <c:pt idx="532">
                  <c:v>3107.5500000000011</c:v>
                </c:pt>
                <c:pt idx="533">
                  <c:v>3248.670000000001</c:v>
                </c:pt>
                <c:pt idx="534">
                  <c:v>3348.1500000000033</c:v>
                </c:pt>
                <c:pt idx="535">
                  <c:v>3332.01</c:v>
                </c:pt>
                <c:pt idx="536">
                  <c:v>3162.6900000000014</c:v>
                </c:pt>
                <c:pt idx="537">
                  <c:v>3153.24</c:v>
                </c:pt>
                <c:pt idx="538">
                  <c:v>3227.25</c:v>
                </c:pt>
                <c:pt idx="539">
                  <c:v>3124.8000000000011</c:v>
                </c:pt>
                <c:pt idx="540">
                  <c:v>3117.63</c:v>
                </c:pt>
                <c:pt idx="541">
                  <c:v>3432.4799999999996</c:v>
                </c:pt>
                <c:pt idx="542">
                  <c:v>3567.1500000000033</c:v>
                </c:pt>
                <c:pt idx="543">
                  <c:v>3594.75</c:v>
                </c:pt>
                <c:pt idx="544">
                  <c:v>3626.8200000000015</c:v>
                </c:pt>
                <c:pt idx="545">
                  <c:v>3748.5600000000013</c:v>
                </c:pt>
                <c:pt idx="546">
                  <c:v>3584.909999999998</c:v>
                </c:pt>
                <c:pt idx="547">
                  <c:v>3699.4199999999983</c:v>
                </c:pt>
                <c:pt idx="548">
                  <c:v>3793.5600000000013</c:v>
                </c:pt>
                <c:pt idx="549">
                  <c:v>3721.9499999999989</c:v>
                </c:pt>
                <c:pt idx="550">
                  <c:v>4034.9399999999987</c:v>
                </c:pt>
                <c:pt idx="551">
                  <c:v>4403.6999999999989</c:v>
                </c:pt>
                <c:pt idx="552">
                  <c:v>4950.4199999999983</c:v>
                </c:pt>
                <c:pt idx="553">
                  <c:v>5238.75</c:v>
                </c:pt>
                <c:pt idx="554">
                  <c:v>5221.9499999999989</c:v>
                </c:pt>
                <c:pt idx="555">
                  <c:v>5500.3500000000022</c:v>
                </c:pt>
                <c:pt idx="556">
                  <c:v>5280.0300000000007</c:v>
                </c:pt>
                <c:pt idx="557">
                  <c:v>5215.4399999999987</c:v>
                </c:pt>
                <c:pt idx="558">
                  <c:v>5361.27</c:v>
                </c:pt>
                <c:pt idx="559">
                  <c:v>5332.409999999998</c:v>
                </c:pt>
                <c:pt idx="560">
                  <c:v>5501.25</c:v>
                </c:pt>
                <c:pt idx="561">
                  <c:v>5671.3800000000028</c:v>
                </c:pt>
                <c:pt idx="562">
                  <c:v>5889.7199999999993</c:v>
                </c:pt>
                <c:pt idx="563">
                  <c:v>6129.1200000000026</c:v>
                </c:pt>
                <c:pt idx="564">
                  <c:v>6247.7099999999991</c:v>
                </c:pt>
                <c:pt idx="565">
                  <c:v>6792.3000000000011</c:v>
                </c:pt>
                <c:pt idx="566">
                  <c:v>6836.9699999999993</c:v>
                </c:pt>
                <c:pt idx="567">
                  <c:v>6555.6300000000028</c:v>
                </c:pt>
                <c:pt idx="568">
                  <c:v>6746.01</c:v>
                </c:pt>
                <c:pt idx="569">
                  <c:v>7096.6799999999985</c:v>
                </c:pt>
                <c:pt idx="570">
                  <c:v>6934.74</c:v>
                </c:pt>
                <c:pt idx="571">
                  <c:v>7211.9699999999993</c:v>
                </c:pt>
                <c:pt idx="572">
                  <c:v>7138.8300000000017</c:v>
                </c:pt>
                <c:pt idx="573">
                  <c:v>7102.7099999999991</c:v>
                </c:pt>
                <c:pt idx="574">
                  <c:v>7440.48</c:v>
                </c:pt>
                <c:pt idx="575">
                  <c:v>7547.49</c:v>
                </c:pt>
                <c:pt idx="576">
                  <c:v>7914.9599999999991</c:v>
                </c:pt>
                <c:pt idx="577">
                  <c:v>7903.1699999999983</c:v>
                </c:pt>
                <c:pt idx="578">
                  <c:v>7382.0400000000009</c:v>
                </c:pt>
                <c:pt idx="579">
                  <c:v>6169.6200000000026</c:v>
                </c:pt>
                <c:pt idx="580">
                  <c:v>5865.27</c:v>
                </c:pt>
                <c:pt idx="581">
                  <c:v>6294.630000000001</c:v>
                </c:pt>
                <c:pt idx="582">
                  <c:v>5503.8899999999994</c:v>
                </c:pt>
                <c:pt idx="583">
                  <c:v>5746.8100000000013</c:v>
                </c:pt>
                <c:pt idx="584">
                  <c:v>5854.0600000000013</c:v>
                </c:pt>
                <c:pt idx="585">
                  <c:v>5737.9700000000012</c:v>
                </c:pt>
                <c:pt idx="586">
                  <c:v>5864.2800000000025</c:v>
                </c:pt>
                <c:pt idx="587">
                  <c:v>5864.2800000000025</c:v>
                </c:pt>
                <c:pt idx="588">
                  <c:v>5864.2800000000025</c:v>
                </c:pt>
                <c:pt idx="589">
                  <c:v>5864.2800000000025</c:v>
                </c:pt>
                <c:pt idx="590">
                  <c:v>5864.2800000000025</c:v>
                </c:pt>
                <c:pt idx="591">
                  <c:v>5864.2800000000025</c:v>
                </c:pt>
                <c:pt idx="592">
                  <c:v>5864.2800000000025</c:v>
                </c:pt>
                <c:pt idx="593">
                  <c:v>6060.1500000000015</c:v>
                </c:pt>
                <c:pt idx="594">
                  <c:v>6171.2300000000023</c:v>
                </c:pt>
                <c:pt idx="595">
                  <c:v>5745.9200000000019</c:v>
                </c:pt>
                <c:pt idx="596">
                  <c:v>5782.4400000000023</c:v>
                </c:pt>
                <c:pt idx="597">
                  <c:v>5768.0600000000031</c:v>
                </c:pt>
                <c:pt idx="598">
                  <c:v>5528.6800000000021</c:v>
                </c:pt>
                <c:pt idx="599">
                  <c:v>5571.4300000000021</c:v>
                </c:pt>
                <c:pt idx="600">
                  <c:v>5543.2100000000028</c:v>
                </c:pt>
                <c:pt idx="601">
                  <c:v>5533.970000000003</c:v>
                </c:pt>
                <c:pt idx="602">
                  <c:v>5618.2000000000025</c:v>
                </c:pt>
                <c:pt idx="603">
                  <c:v>5490.3100000000031</c:v>
                </c:pt>
                <c:pt idx="604">
                  <c:v>5279.3600000000024</c:v>
                </c:pt>
                <c:pt idx="605">
                  <c:v>5242.6300000000028</c:v>
                </c:pt>
                <c:pt idx="606">
                  <c:v>5242.6300000000028</c:v>
                </c:pt>
                <c:pt idx="607">
                  <c:v>5242.6300000000028</c:v>
                </c:pt>
                <c:pt idx="608">
                  <c:v>5242.6300000000028</c:v>
                </c:pt>
                <c:pt idx="609">
                  <c:v>5204.5700000000033</c:v>
                </c:pt>
                <c:pt idx="610">
                  <c:v>5124.0700000000033</c:v>
                </c:pt>
                <c:pt idx="611">
                  <c:v>5189.6100000000042</c:v>
                </c:pt>
                <c:pt idx="612">
                  <c:v>5204.6100000000042</c:v>
                </c:pt>
                <c:pt idx="613">
                  <c:v>5113.9100000000035</c:v>
                </c:pt>
                <c:pt idx="614">
                  <c:v>5218.1200000000026</c:v>
                </c:pt>
                <c:pt idx="615">
                  <c:v>5086.4000000000033</c:v>
                </c:pt>
                <c:pt idx="616">
                  <c:v>5112.8700000000026</c:v>
                </c:pt>
                <c:pt idx="617">
                  <c:v>5169.5200000000041</c:v>
                </c:pt>
                <c:pt idx="618">
                  <c:v>5291.7700000000041</c:v>
                </c:pt>
                <c:pt idx="619">
                  <c:v>5443.9600000000028</c:v>
                </c:pt>
                <c:pt idx="620">
                  <c:v>5676.7500000000018</c:v>
                </c:pt>
                <c:pt idx="621">
                  <c:v>5673.350000000004</c:v>
                </c:pt>
                <c:pt idx="622">
                  <c:v>5826.4500000000025</c:v>
                </c:pt>
                <c:pt idx="623">
                  <c:v>6095.9500000000025</c:v>
                </c:pt>
                <c:pt idx="624">
                  <c:v>6249.590000000002</c:v>
                </c:pt>
                <c:pt idx="625">
                  <c:v>6104.2300000000014</c:v>
                </c:pt>
                <c:pt idx="626">
                  <c:v>6083.970000000003</c:v>
                </c:pt>
                <c:pt idx="627">
                  <c:v>6283.7900000000027</c:v>
                </c:pt>
                <c:pt idx="628">
                  <c:v>6129.1100000000024</c:v>
                </c:pt>
                <c:pt idx="629">
                  <c:v>6244.7900000000027</c:v>
                </c:pt>
                <c:pt idx="630">
                  <c:v>5842.3900000000012</c:v>
                </c:pt>
                <c:pt idx="631">
                  <c:v>5886.350000000004</c:v>
                </c:pt>
                <c:pt idx="632">
                  <c:v>6034.3900000000012</c:v>
                </c:pt>
                <c:pt idx="633">
                  <c:v>5973.7700000000023</c:v>
                </c:pt>
                <c:pt idx="634">
                  <c:v>6123.590000000002</c:v>
                </c:pt>
                <c:pt idx="635">
                  <c:v>6072.8900000000012</c:v>
                </c:pt>
                <c:pt idx="636">
                  <c:v>5570.7100000000009</c:v>
                </c:pt>
                <c:pt idx="637">
                  <c:v>5771.3800000000028</c:v>
                </c:pt>
                <c:pt idx="638">
                  <c:v>5711.6100000000042</c:v>
                </c:pt>
                <c:pt idx="639">
                  <c:v>5837.2500000000036</c:v>
                </c:pt>
                <c:pt idx="640">
                  <c:v>5900.5000000000036</c:v>
                </c:pt>
                <c:pt idx="641">
                  <c:v>6078.8700000000026</c:v>
                </c:pt>
                <c:pt idx="642">
                  <c:v>5930.5800000000036</c:v>
                </c:pt>
                <c:pt idx="643">
                  <c:v>5837.4600000000046</c:v>
                </c:pt>
                <c:pt idx="644">
                  <c:v>5611.1800000000021</c:v>
                </c:pt>
                <c:pt idx="645">
                  <c:v>4960.9000000000033</c:v>
                </c:pt>
                <c:pt idx="646">
                  <c:v>4975.1800000000039</c:v>
                </c:pt>
                <c:pt idx="647">
                  <c:v>4959.3800000000028</c:v>
                </c:pt>
                <c:pt idx="648">
                  <c:v>4966.8000000000029</c:v>
                </c:pt>
                <c:pt idx="649">
                  <c:v>4604.1600000000035</c:v>
                </c:pt>
                <c:pt idx="650">
                  <c:v>4628.8200000000033</c:v>
                </c:pt>
                <c:pt idx="651">
                  <c:v>4628.8200000000033</c:v>
                </c:pt>
                <c:pt idx="652">
                  <c:v>4628.8200000000033</c:v>
                </c:pt>
                <c:pt idx="653">
                  <c:v>4628.8200000000033</c:v>
                </c:pt>
                <c:pt idx="654">
                  <c:v>4628.8200000000033</c:v>
                </c:pt>
                <c:pt idx="655">
                  <c:v>4628.8200000000033</c:v>
                </c:pt>
                <c:pt idx="656">
                  <c:v>4628.8200000000033</c:v>
                </c:pt>
                <c:pt idx="657">
                  <c:v>4628.8200000000033</c:v>
                </c:pt>
                <c:pt idx="658">
                  <c:v>4628.8200000000033</c:v>
                </c:pt>
                <c:pt idx="659">
                  <c:v>4628.8200000000033</c:v>
                </c:pt>
                <c:pt idx="660">
                  <c:v>4628.8200000000033</c:v>
                </c:pt>
                <c:pt idx="661">
                  <c:v>4628.8200000000033</c:v>
                </c:pt>
                <c:pt idx="662">
                  <c:v>4628.8200000000033</c:v>
                </c:pt>
                <c:pt idx="663">
                  <c:v>4628.8200000000033</c:v>
                </c:pt>
                <c:pt idx="664">
                  <c:v>4636.3600000000024</c:v>
                </c:pt>
                <c:pt idx="665">
                  <c:v>4496.9900000000034</c:v>
                </c:pt>
                <c:pt idx="666">
                  <c:v>4499.5500000000029</c:v>
                </c:pt>
                <c:pt idx="667">
                  <c:v>4432.1100000000024</c:v>
                </c:pt>
                <c:pt idx="668">
                  <c:v>4406.4400000000023</c:v>
                </c:pt>
                <c:pt idx="669">
                  <c:v>4388.9800000000032</c:v>
                </c:pt>
                <c:pt idx="670">
                  <c:v>4361.0100000000039</c:v>
                </c:pt>
                <c:pt idx="671">
                  <c:v>4485.3600000000024</c:v>
                </c:pt>
                <c:pt idx="672">
                  <c:v>4445.0600000000031</c:v>
                </c:pt>
                <c:pt idx="673">
                  <c:v>4592.5500000000029</c:v>
                </c:pt>
                <c:pt idx="674">
                  <c:v>4895.4400000000032</c:v>
                </c:pt>
                <c:pt idx="675">
                  <c:v>5033.4800000000032</c:v>
                </c:pt>
                <c:pt idx="676">
                  <c:v>5607.9400000000023</c:v>
                </c:pt>
                <c:pt idx="677">
                  <c:v>5654.8600000000024</c:v>
                </c:pt>
                <c:pt idx="678">
                  <c:v>5241.0200000000023</c:v>
                </c:pt>
                <c:pt idx="679">
                  <c:v>5555.4800000000032</c:v>
                </c:pt>
                <c:pt idx="680">
                  <c:v>5386.7600000000039</c:v>
                </c:pt>
                <c:pt idx="681">
                  <c:v>4998.6800000000039</c:v>
                </c:pt>
                <c:pt idx="682">
                  <c:v>4935.5000000000036</c:v>
                </c:pt>
                <c:pt idx="683">
                  <c:v>4956.8600000000024</c:v>
                </c:pt>
                <c:pt idx="684">
                  <c:v>4642.2000000000044</c:v>
                </c:pt>
                <c:pt idx="685">
                  <c:v>4475.7400000000016</c:v>
                </c:pt>
                <c:pt idx="686">
                  <c:v>4257.0800000000017</c:v>
                </c:pt>
                <c:pt idx="687">
                  <c:v>4455.0200000000041</c:v>
                </c:pt>
                <c:pt idx="688">
                  <c:v>4593.8700000000035</c:v>
                </c:pt>
                <c:pt idx="689">
                  <c:v>4556.970000000003</c:v>
                </c:pt>
                <c:pt idx="690">
                  <c:v>4894.7000000000035</c:v>
                </c:pt>
                <c:pt idx="691">
                  <c:v>4815.1600000000035</c:v>
                </c:pt>
                <c:pt idx="692">
                  <c:v>4693.0100000000029</c:v>
                </c:pt>
                <c:pt idx="693">
                  <c:v>4720.8000000000029</c:v>
                </c:pt>
                <c:pt idx="694">
                  <c:v>4748.7600000000029</c:v>
                </c:pt>
                <c:pt idx="695">
                  <c:v>4604.6600000000035</c:v>
                </c:pt>
                <c:pt idx="696">
                  <c:v>4349.2300000000032</c:v>
                </c:pt>
                <c:pt idx="697">
                  <c:v>4598.5300000000034</c:v>
                </c:pt>
                <c:pt idx="698">
                  <c:v>4676.4400000000032</c:v>
                </c:pt>
                <c:pt idx="699">
                  <c:v>4593.4200000000037</c:v>
                </c:pt>
                <c:pt idx="700">
                  <c:v>4667.8700000000035</c:v>
                </c:pt>
                <c:pt idx="701">
                  <c:v>5196.1100000000033</c:v>
                </c:pt>
                <c:pt idx="702">
                  <c:v>5669.5400000000045</c:v>
                </c:pt>
                <c:pt idx="703">
                  <c:v>5452.2400000000034</c:v>
                </c:pt>
                <c:pt idx="704">
                  <c:v>5007.1600000000035</c:v>
                </c:pt>
                <c:pt idx="705">
                  <c:v>5514.7600000000039</c:v>
                </c:pt>
                <c:pt idx="706">
                  <c:v>5350.7900000000036</c:v>
                </c:pt>
                <c:pt idx="707">
                  <c:v>5449.5500000000038</c:v>
                </c:pt>
                <c:pt idx="708">
                  <c:v>5516.6600000000035</c:v>
                </c:pt>
                <c:pt idx="709">
                  <c:v>5058.0800000000045</c:v>
                </c:pt>
                <c:pt idx="710">
                  <c:v>5420.1500000000033</c:v>
                </c:pt>
                <c:pt idx="711">
                  <c:v>5428.4000000000033</c:v>
                </c:pt>
                <c:pt idx="712">
                  <c:v>4484.2100000000046</c:v>
                </c:pt>
                <c:pt idx="713">
                  <c:v>4450.9400000000041</c:v>
                </c:pt>
                <c:pt idx="714">
                  <c:v>4006.8200000000043</c:v>
                </c:pt>
                <c:pt idx="715">
                  <c:v>4290.9900000000034</c:v>
                </c:pt>
                <c:pt idx="716">
                  <c:v>3908.0700000000033</c:v>
                </c:pt>
                <c:pt idx="717">
                  <c:v>3957.8700000000035</c:v>
                </c:pt>
                <c:pt idx="718">
                  <c:v>3780.2700000000041</c:v>
                </c:pt>
                <c:pt idx="719">
                  <c:v>3758.9100000000035</c:v>
                </c:pt>
                <c:pt idx="720">
                  <c:v>3604.5000000000036</c:v>
                </c:pt>
                <c:pt idx="721">
                  <c:v>3653.8200000000033</c:v>
                </c:pt>
                <c:pt idx="722">
                  <c:v>3803.7100000000028</c:v>
                </c:pt>
                <c:pt idx="723">
                  <c:v>3596.470000000003</c:v>
                </c:pt>
                <c:pt idx="724">
                  <c:v>3572.6100000000042</c:v>
                </c:pt>
                <c:pt idx="725">
                  <c:v>3572.6100000000042</c:v>
                </c:pt>
                <c:pt idx="726">
                  <c:v>3572.6100000000042</c:v>
                </c:pt>
                <c:pt idx="727">
                  <c:v>3572.6100000000042</c:v>
                </c:pt>
                <c:pt idx="728">
                  <c:v>3572.6100000000042</c:v>
                </c:pt>
                <c:pt idx="729">
                  <c:v>3572.6100000000042</c:v>
                </c:pt>
                <c:pt idx="730">
                  <c:v>3572.6100000000042</c:v>
                </c:pt>
                <c:pt idx="731">
                  <c:v>3572.6100000000042</c:v>
                </c:pt>
                <c:pt idx="732">
                  <c:v>3572.6100000000042</c:v>
                </c:pt>
                <c:pt idx="733">
                  <c:v>3554.0800000000045</c:v>
                </c:pt>
                <c:pt idx="734">
                  <c:v>3432.5500000000038</c:v>
                </c:pt>
                <c:pt idx="735">
                  <c:v>3274.2800000000034</c:v>
                </c:pt>
                <c:pt idx="736">
                  <c:v>3086.9100000000044</c:v>
                </c:pt>
                <c:pt idx="737">
                  <c:v>2746.5500000000038</c:v>
                </c:pt>
                <c:pt idx="738">
                  <c:v>2758.1200000000035</c:v>
                </c:pt>
                <c:pt idx="739">
                  <c:v>2758.1200000000035</c:v>
                </c:pt>
                <c:pt idx="740">
                  <c:v>2758.1200000000035</c:v>
                </c:pt>
                <c:pt idx="741">
                  <c:v>2758.1200000000035</c:v>
                </c:pt>
                <c:pt idx="742">
                  <c:v>2758.1200000000035</c:v>
                </c:pt>
                <c:pt idx="743">
                  <c:v>2758.1200000000035</c:v>
                </c:pt>
                <c:pt idx="744">
                  <c:v>2758.1200000000035</c:v>
                </c:pt>
                <c:pt idx="745">
                  <c:v>2758.1200000000035</c:v>
                </c:pt>
                <c:pt idx="746">
                  <c:v>2758.1200000000035</c:v>
                </c:pt>
                <c:pt idx="747">
                  <c:v>2758.1200000000035</c:v>
                </c:pt>
                <c:pt idx="748">
                  <c:v>2758.1200000000035</c:v>
                </c:pt>
                <c:pt idx="749">
                  <c:v>2758.1200000000035</c:v>
                </c:pt>
                <c:pt idx="750">
                  <c:v>2758.1200000000035</c:v>
                </c:pt>
                <c:pt idx="751">
                  <c:v>2773.3300000000045</c:v>
                </c:pt>
                <c:pt idx="752">
                  <c:v>2805.4300000000048</c:v>
                </c:pt>
                <c:pt idx="753">
                  <c:v>3005.1000000000067</c:v>
                </c:pt>
                <c:pt idx="754">
                  <c:v>3053.8800000000056</c:v>
                </c:pt>
                <c:pt idx="755">
                  <c:v>3021.7000000000053</c:v>
                </c:pt>
                <c:pt idx="756">
                  <c:v>3039.6600000000044</c:v>
                </c:pt>
                <c:pt idx="757">
                  <c:v>2947.520000000005</c:v>
                </c:pt>
                <c:pt idx="758">
                  <c:v>2890.0000000000045</c:v>
                </c:pt>
                <c:pt idx="759">
                  <c:v>2853.6800000000048</c:v>
                </c:pt>
                <c:pt idx="760">
                  <c:v>2768.6800000000048</c:v>
                </c:pt>
                <c:pt idx="761">
                  <c:v>3032.2200000000057</c:v>
                </c:pt>
                <c:pt idx="762">
                  <c:v>2656.5000000000045</c:v>
                </c:pt>
                <c:pt idx="763">
                  <c:v>2712.8600000000051</c:v>
                </c:pt>
                <c:pt idx="764">
                  <c:v>2800.2800000000034</c:v>
                </c:pt>
                <c:pt idx="765">
                  <c:v>2547.1600000000044</c:v>
                </c:pt>
                <c:pt idx="766">
                  <c:v>2587.7600000000066</c:v>
                </c:pt>
                <c:pt idx="767">
                  <c:v>2725.7000000000053</c:v>
                </c:pt>
                <c:pt idx="768">
                  <c:v>2606.2600000000066</c:v>
                </c:pt>
                <c:pt idx="769">
                  <c:v>2457.8000000000038</c:v>
                </c:pt>
                <c:pt idx="770">
                  <c:v>2533.1200000000035</c:v>
                </c:pt>
                <c:pt idx="771">
                  <c:v>2852.0800000000063</c:v>
                </c:pt>
                <c:pt idx="772">
                  <c:v>2909.8600000000051</c:v>
                </c:pt>
                <c:pt idx="773">
                  <c:v>3187.3800000000056</c:v>
                </c:pt>
                <c:pt idx="774">
                  <c:v>3254.0400000000054</c:v>
                </c:pt>
                <c:pt idx="775">
                  <c:v>3547.410000000008</c:v>
                </c:pt>
                <c:pt idx="776">
                  <c:v>2868.4800000000041</c:v>
                </c:pt>
                <c:pt idx="777">
                  <c:v>2708.520000000005</c:v>
                </c:pt>
                <c:pt idx="778">
                  <c:v>2685.9000000000078</c:v>
                </c:pt>
                <c:pt idx="779">
                  <c:v>2166.0000000000045</c:v>
                </c:pt>
                <c:pt idx="780">
                  <c:v>1785.3000000000056</c:v>
                </c:pt>
                <c:pt idx="781">
                  <c:v>1997.9300000000048</c:v>
                </c:pt>
                <c:pt idx="782">
                  <c:v>1772.6100000000051</c:v>
                </c:pt>
                <c:pt idx="783">
                  <c:v>1899.8800000000056</c:v>
                </c:pt>
                <c:pt idx="784">
                  <c:v>1834.0400000000054</c:v>
                </c:pt>
                <c:pt idx="785">
                  <c:v>1939.4300000000048</c:v>
                </c:pt>
                <c:pt idx="786">
                  <c:v>1794.3900000000058</c:v>
                </c:pt>
                <c:pt idx="787">
                  <c:v>1809.8400000000047</c:v>
                </c:pt>
                <c:pt idx="788">
                  <c:v>1809.8400000000047</c:v>
                </c:pt>
                <c:pt idx="789">
                  <c:v>1809.8400000000047</c:v>
                </c:pt>
                <c:pt idx="790">
                  <c:v>1809.8400000000047</c:v>
                </c:pt>
                <c:pt idx="791">
                  <c:v>1809.8400000000047</c:v>
                </c:pt>
                <c:pt idx="792">
                  <c:v>1866.560000000004</c:v>
                </c:pt>
                <c:pt idx="793">
                  <c:v>2149.8400000000038</c:v>
                </c:pt>
                <c:pt idx="794">
                  <c:v>2106.560000000004</c:v>
                </c:pt>
                <c:pt idx="795">
                  <c:v>2042.3800000000037</c:v>
                </c:pt>
                <c:pt idx="796">
                  <c:v>2010.3600000000033</c:v>
                </c:pt>
                <c:pt idx="797">
                  <c:v>1994.5700000000043</c:v>
                </c:pt>
                <c:pt idx="798">
                  <c:v>2164.4100000000044</c:v>
                </c:pt>
                <c:pt idx="799">
                  <c:v>2495.6500000000051</c:v>
                </c:pt>
                <c:pt idx="800">
                  <c:v>2547.5500000000047</c:v>
                </c:pt>
                <c:pt idx="801">
                  <c:v>2824.2900000000045</c:v>
                </c:pt>
                <c:pt idx="802">
                  <c:v>2590.4100000000035</c:v>
                </c:pt>
                <c:pt idx="803">
                  <c:v>2676.9300000000039</c:v>
                </c:pt>
                <c:pt idx="804">
                  <c:v>3203.0100000000039</c:v>
                </c:pt>
                <c:pt idx="805">
                  <c:v>3253.4500000000044</c:v>
                </c:pt>
                <c:pt idx="806">
                  <c:v>3484.5700000000052</c:v>
                </c:pt>
                <c:pt idx="807">
                  <c:v>3592.8100000000049</c:v>
                </c:pt>
                <c:pt idx="808">
                  <c:v>3512.3300000000036</c:v>
                </c:pt>
                <c:pt idx="809">
                  <c:v>3843.7100000000046</c:v>
                </c:pt>
                <c:pt idx="810">
                  <c:v>3618.3100000000049</c:v>
                </c:pt>
                <c:pt idx="811">
                  <c:v>4196.8300000000036</c:v>
                </c:pt>
                <c:pt idx="812">
                  <c:v>4204.0300000000043</c:v>
                </c:pt>
                <c:pt idx="813">
                  <c:v>4149.230000000005</c:v>
                </c:pt>
                <c:pt idx="814">
                  <c:v>3811.0100000000039</c:v>
                </c:pt>
                <c:pt idx="815">
                  <c:v>3986.6100000000042</c:v>
                </c:pt>
                <c:pt idx="816">
                  <c:v>4632.0500000000047</c:v>
                </c:pt>
                <c:pt idx="817">
                  <c:v>5014.6300000000037</c:v>
                </c:pt>
                <c:pt idx="818">
                  <c:v>4223.0200000000041</c:v>
                </c:pt>
                <c:pt idx="819">
                  <c:v>4700.5900000000056</c:v>
                </c:pt>
                <c:pt idx="820">
                  <c:v>3889.5400000000045</c:v>
                </c:pt>
                <c:pt idx="821">
                  <c:v>3949.6000000000058</c:v>
                </c:pt>
                <c:pt idx="822">
                  <c:v>3217.0600000000049</c:v>
                </c:pt>
                <c:pt idx="823">
                  <c:v>3042.3100000000049</c:v>
                </c:pt>
                <c:pt idx="824">
                  <c:v>3445.6900000000051</c:v>
                </c:pt>
                <c:pt idx="825">
                  <c:v>4103.140000000004</c:v>
                </c:pt>
                <c:pt idx="826">
                  <c:v>3935.5000000000036</c:v>
                </c:pt>
                <c:pt idx="827">
                  <c:v>4074.3700000000035</c:v>
                </c:pt>
                <c:pt idx="828">
                  <c:v>4138.9300000000048</c:v>
                </c:pt>
                <c:pt idx="829">
                  <c:v>4214.4700000000057</c:v>
                </c:pt>
                <c:pt idx="830">
                  <c:v>4706.3500000000058</c:v>
                </c:pt>
                <c:pt idx="831">
                  <c:v>4067.8300000000054</c:v>
                </c:pt>
                <c:pt idx="832">
                  <c:v>4072.8100000000049</c:v>
                </c:pt>
                <c:pt idx="833">
                  <c:v>3519.4300000000048</c:v>
                </c:pt>
                <c:pt idx="834">
                  <c:v>3169.6900000000051</c:v>
                </c:pt>
                <c:pt idx="835">
                  <c:v>3265.1500000000042</c:v>
                </c:pt>
                <c:pt idx="836">
                  <c:v>3269.5300000000043</c:v>
                </c:pt>
                <c:pt idx="837">
                  <c:v>3168.3400000000056</c:v>
                </c:pt>
                <c:pt idx="838">
                  <c:v>3557.0500000000047</c:v>
                </c:pt>
                <c:pt idx="839">
                  <c:v>4144.3300000000054</c:v>
                </c:pt>
                <c:pt idx="840">
                  <c:v>4210.7500000000036</c:v>
                </c:pt>
                <c:pt idx="841">
                  <c:v>4023.8500000000058</c:v>
                </c:pt>
                <c:pt idx="842">
                  <c:v>4391.110000000006</c:v>
                </c:pt>
                <c:pt idx="843">
                  <c:v>4411.6300000000037</c:v>
                </c:pt>
                <c:pt idx="844">
                  <c:v>4054.390000000004</c:v>
                </c:pt>
                <c:pt idx="845">
                  <c:v>4252.7500000000036</c:v>
                </c:pt>
                <c:pt idx="846">
                  <c:v>3903.640000000004</c:v>
                </c:pt>
                <c:pt idx="847">
                  <c:v>4046.4400000000051</c:v>
                </c:pt>
                <c:pt idx="848">
                  <c:v>4008.2200000000057</c:v>
                </c:pt>
                <c:pt idx="849">
                  <c:v>4707.2800000000043</c:v>
                </c:pt>
                <c:pt idx="850">
                  <c:v>5047.0900000000056</c:v>
                </c:pt>
                <c:pt idx="851">
                  <c:v>5391.7600000000039</c:v>
                </c:pt>
                <c:pt idx="852">
                  <c:v>5908.6600000000044</c:v>
                </c:pt>
                <c:pt idx="853">
                  <c:v>6224.7100000000055</c:v>
                </c:pt>
                <c:pt idx="854">
                  <c:v>5170.4800000000059</c:v>
                </c:pt>
                <c:pt idx="855">
                  <c:v>5872.2400000000034</c:v>
                </c:pt>
                <c:pt idx="856">
                  <c:v>5772.5200000000041</c:v>
                </c:pt>
                <c:pt idx="857">
                  <c:v>6390.7000000000053</c:v>
                </c:pt>
                <c:pt idx="858">
                  <c:v>6214.5100000000039</c:v>
                </c:pt>
                <c:pt idx="859">
                  <c:v>6989.2000000000053</c:v>
                </c:pt>
                <c:pt idx="860">
                  <c:v>7876.7800000000043</c:v>
                </c:pt>
                <c:pt idx="861">
                  <c:v>7743.9400000000051</c:v>
                </c:pt>
                <c:pt idx="862">
                  <c:v>8220.7000000000044</c:v>
                </c:pt>
                <c:pt idx="863">
                  <c:v>7235.4100000000035</c:v>
                </c:pt>
                <c:pt idx="864">
                  <c:v>6814.7500000000027</c:v>
                </c:pt>
                <c:pt idx="865">
                  <c:v>6599.9200000000037</c:v>
                </c:pt>
                <c:pt idx="866">
                  <c:v>6748.7500000000027</c:v>
                </c:pt>
                <c:pt idx="867">
                  <c:v>6964.060000000004</c:v>
                </c:pt>
                <c:pt idx="868">
                  <c:v>7357.6600000000035</c:v>
                </c:pt>
                <c:pt idx="869">
                  <c:v>7988.7100000000046</c:v>
                </c:pt>
                <c:pt idx="870">
                  <c:v>7854.5200000000032</c:v>
                </c:pt>
                <c:pt idx="871">
                  <c:v>8035.3900000000031</c:v>
                </c:pt>
                <c:pt idx="872">
                  <c:v>7919.8600000000051</c:v>
                </c:pt>
                <c:pt idx="873">
                  <c:v>8629.4500000000044</c:v>
                </c:pt>
                <c:pt idx="874">
                  <c:v>8572.5700000000033</c:v>
                </c:pt>
                <c:pt idx="875">
                  <c:v>9527.350000000004</c:v>
                </c:pt>
                <c:pt idx="876">
                  <c:v>9754.4200000000019</c:v>
                </c:pt>
                <c:pt idx="877">
                  <c:v>10085.230000000003</c:v>
                </c:pt>
                <c:pt idx="878">
                  <c:v>9271.8700000000008</c:v>
                </c:pt>
                <c:pt idx="879">
                  <c:v>9407.77</c:v>
                </c:pt>
                <c:pt idx="880">
                  <c:v>9918.64</c:v>
                </c:pt>
                <c:pt idx="881">
                  <c:v>10265.350000000002</c:v>
                </c:pt>
                <c:pt idx="882">
                  <c:v>10351.030000000001</c:v>
                </c:pt>
                <c:pt idx="883">
                  <c:v>10318.39</c:v>
                </c:pt>
                <c:pt idx="884">
                  <c:v>10558.779999999999</c:v>
                </c:pt>
                <c:pt idx="885">
                  <c:v>10955.019999999999</c:v>
                </c:pt>
                <c:pt idx="886">
                  <c:v>11407.689999999999</c:v>
                </c:pt>
                <c:pt idx="887">
                  <c:v>12045.939999999999</c:v>
                </c:pt>
                <c:pt idx="888">
                  <c:v>11946.639999999998</c:v>
                </c:pt>
                <c:pt idx="889">
                  <c:v>11926.989999999998</c:v>
                </c:pt>
                <c:pt idx="890">
                  <c:v>11095.629999999997</c:v>
                </c:pt>
                <c:pt idx="891">
                  <c:v>10534.57</c:v>
                </c:pt>
                <c:pt idx="892">
                  <c:v>10161.369999999999</c:v>
                </c:pt>
                <c:pt idx="893">
                  <c:v>10168.66</c:v>
                </c:pt>
                <c:pt idx="894">
                  <c:v>10211.77</c:v>
                </c:pt>
                <c:pt idx="895">
                  <c:v>11064.190000000002</c:v>
                </c:pt>
                <c:pt idx="896">
                  <c:v>10919.560000000001</c:v>
                </c:pt>
                <c:pt idx="897">
                  <c:v>10925.74</c:v>
                </c:pt>
                <c:pt idx="898">
                  <c:v>11230.840000000002</c:v>
                </c:pt>
                <c:pt idx="899">
                  <c:v>11299.840000000002</c:v>
                </c:pt>
                <c:pt idx="900">
                  <c:v>11833.060000000001</c:v>
                </c:pt>
                <c:pt idx="901">
                  <c:v>11788.45</c:v>
                </c:pt>
                <c:pt idx="902">
                  <c:v>11827.15</c:v>
                </c:pt>
                <c:pt idx="903">
                  <c:v>12231.009999999998</c:v>
                </c:pt>
                <c:pt idx="904">
                  <c:v>12294.279999999999</c:v>
                </c:pt>
                <c:pt idx="905">
                  <c:v>12876.76</c:v>
                </c:pt>
                <c:pt idx="906">
                  <c:v>12633.249999999998</c:v>
                </c:pt>
                <c:pt idx="907">
                  <c:v>12664.93</c:v>
                </c:pt>
                <c:pt idx="908">
                  <c:v>12347.080000000002</c:v>
                </c:pt>
                <c:pt idx="909">
                  <c:v>12331.150000000001</c:v>
                </c:pt>
                <c:pt idx="910">
                  <c:v>11785.300000000003</c:v>
                </c:pt>
                <c:pt idx="911">
                  <c:v>11765.080000000004</c:v>
                </c:pt>
                <c:pt idx="912">
                  <c:v>11591.260000000002</c:v>
                </c:pt>
                <c:pt idx="913">
                  <c:v>12075.610000000004</c:v>
                </c:pt>
                <c:pt idx="914">
                  <c:v>12224.770000000002</c:v>
                </c:pt>
                <c:pt idx="915">
                  <c:v>12381.670000000002</c:v>
                </c:pt>
                <c:pt idx="916">
                  <c:v>12471.340000000004</c:v>
                </c:pt>
                <c:pt idx="917">
                  <c:v>11891.560000000003</c:v>
                </c:pt>
                <c:pt idx="918">
                  <c:v>11728.570000000003</c:v>
                </c:pt>
                <c:pt idx="919">
                  <c:v>11169.940000000002</c:v>
                </c:pt>
                <c:pt idx="920">
                  <c:v>11170.370000000003</c:v>
                </c:pt>
                <c:pt idx="921">
                  <c:v>11518.970000000001</c:v>
                </c:pt>
                <c:pt idx="922">
                  <c:v>11254.070000000002</c:v>
                </c:pt>
                <c:pt idx="923">
                  <c:v>11247.730000000001</c:v>
                </c:pt>
                <c:pt idx="924">
                  <c:v>11185.470000000001</c:v>
                </c:pt>
                <c:pt idx="925">
                  <c:v>11091.890000000001</c:v>
                </c:pt>
                <c:pt idx="926">
                  <c:v>11125.300000000003</c:v>
                </c:pt>
                <c:pt idx="927">
                  <c:v>11284.280000000002</c:v>
                </c:pt>
                <c:pt idx="928">
                  <c:v>11413.960000000003</c:v>
                </c:pt>
                <c:pt idx="929">
                  <c:v>11396.730000000003</c:v>
                </c:pt>
                <c:pt idx="930">
                  <c:v>11406.370000000003</c:v>
                </c:pt>
                <c:pt idx="931">
                  <c:v>11394.740000000002</c:v>
                </c:pt>
                <c:pt idx="932">
                  <c:v>11403.660000000002</c:v>
                </c:pt>
                <c:pt idx="933">
                  <c:v>11230.780000000002</c:v>
                </c:pt>
                <c:pt idx="934">
                  <c:v>11228.600000000002</c:v>
                </c:pt>
                <c:pt idx="935">
                  <c:v>11121.510000000002</c:v>
                </c:pt>
                <c:pt idx="936">
                  <c:v>11092.560000000001</c:v>
                </c:pt>
                <c:pt idx="937">
                  <c:v>11029.980000000001</c:v>
                </c:pt>
                <c:pt idx="938">
                  <c:v>11149.2</c:v>
                </c:pt>
                <c:pt idx="939">
                  <c:v>11149.2</c:v>
                </c:pt>
                <c:pt idx="940">
                  <c:v>11149.2</c:v>
                </c:pt>
                <c:pt idx="941">
                  <c:v>11149.2</c:v>
                </c:pt>
                <c:pt idx="942">
                  <c:v>11149.2</c:v>
                </c:pt>
                <c:pt idx="943">
                  <c:v>11149.2</c:v>
                </c:pt>
                <c:pt idx="944">
                  <c:v>11170.28</c:v>
                </c:pt>
                <c:pt idx="945">
                  <c:v>11157.220000000001</c:v>
                </c:pt>
                <c:pt idx="946">
                  <c:v>11281.370000000003</c:v>
                </c:pt>
                <c:pt idx="947">
                  <c:v>11276.010000000002</c:v>
                </c:pt>
                <c:pt idx="948">
                  <c:v>11264.000000000004</c:v>
                </c:pt>
                <c:pt idx="949">
                  <c:v>11151.170000000002</c:v>
                </c:pt>
                <c:pt idx="950">
                  <c:v>11134.010000000002</c:v>
                </c:pt>
                <c:pt idx="951">
                  <c:v>11160.730000000003</c:v>
                </c:pt>
                <c:pt idx="952">
                  <c:v>11052.730000000003</c:v>
                </c:pt>
                <c:pt idx="953">
                  <c:v>11029.390000000003</c:v>
                </c:pt>
                <c:pt idx="954">
                  <c:v>10997.880000000003</c:v>
                </c:pt>
                <c:pt idx="955">
                  <c:v>10948.030000000002</c:v>
                </c:pt>
                <c:pt idx="956">
                  <c:v>10942.680000000002</c:v>
                </c:pt>
                <c:pt idx="957">
                  <c:v>10942.680000000002</c:v>
                </c:pt>
                <c:pt idx="958">
                  <c:v>10928.170000000002</c:v>
                </c:pt>
                <c:pt idx="959">
                  <c:v>10828.690000000002</c:v>
                </c:pt>
                <c:pt idx="960">
                  <c:v>10835.280000000002</c:v>
                </c:pt>
                <c:pt idx="961">
                  <c:v>10865.780000000002</c:v>
                </c:pt>
                <c:pt idx="962">
                  <c:v>10773.850000000002</c:v>
                </c:pt>
                <c:pt idx="963">
                  <c:v>10814.690000000002</c:v>
                </c:pt>
                <c:pt idx="964">
                  <c:v>10767.090000000004</c:v>
                </c:pt>
                <c:pt idx="965">
                  <c:v>10830.650000000003</c:v>
                </c:pt>
                <c:pt idx="966">
                  <c:v>10855.470000000005</c:v>
                </c:pt>
                <c:pt idx="967">
                  <c:v>10894.060000000005</c:v>
                </c:pt>
                <c:pt idx="968">
                  <c:v>10762.740000000005</c:v>
                </c:pt>
                <c:pt idx="969">
                  <c:v>10772.250000000005</c:v>
                </c:pt>
                <c:pt idx="970">
                  <c:v>10878.330000000005</c:v>
                </c:pt>
                <c:pt idx="971">
                  <c:v>10974.110000000004</c:v>
                </c:pt>
                <c:pt idx="972">
                  <c:v>10990.540000000005</c:v>
                </c:pt>
                <c:pt idx="973">
                  <c:v>10965.150000000005</c:v>
                </c:pt>
                <c:pt idx="974">
                  <c:v>11007.930000000006</c:v>
                </c:pt>
                <c:pt idx="975">
                  <c:v>11096.870000000006</c:v>
                </c:pt>
                <c:pt idx="976">
                  <c:v>11064.000000000005</c:v>
                </c:pt>
                <c:pt idx="977">
                  <c:v>11349.480000000007</c:v>
                </c:pt>
                <c:pt idx="978">
                  <c:v>11497.340000000006</c:v>
                </c:pt>
                <c:pt idx="979">
                  <c:v>11637.480000000007</c:v>
                </c:pt>
                <c:pt idx="980">
                  <c:v>11649.780000000006</c:v>
                </c:pt>
                <c:pt idx="981">
                  <c:v>11626.560000000007</c:v>
                </c:pt>
                <c:pt idx="982">
                  <c:v>11477.940000000006</c:v>
                </c:pt>
                <c:pt idx="983">
                  <c:v>11803.060000000007</c:v>
                </c:pt>
                <c:pt idx="984">
                  <c:v>12039.060000000007</c:v>
                </c:pt>
                <c:pt idx="985">
                  <c:v>12247.460000000006</c:v>
                </c:pt>
                <c:pt idx="986">
                  <c:v>12327.820000000007</c:v>
                </c:pt>
                <c:pt idx="987">
                  <c:v>12336.100000000006</c:v>
                </c:pt>
                <c:pt idx="988">
                  <c:v>11966.800000000007</c:v>
                </c:pt>
                <c:pt idx="989">
                  <c:v>11976.380000000006</c:v>
                </c:pt>
                <c:pt idx="990">
                  <c:v>12183.600000000006</c:v>
                </c:pt>
                <c:pt idx="991">
                  <c:v>12502.260000000006</c:v>
                </c:pt>
                <c:pt idx="992">
                  <c:v>12602.250000000007</c:v>
                </c:pt>
                <c:pt idx="993">
                  <c:v>12682.020000000008</c:v>
                </c:pt>
                <c:pt idx="994">
                  <c:v>12743.910000000007</c:v>
                </c:pt>
                <c:pt idx="995">
                  <c:v>12344.040000000008</c:v>
                </c:pt>
                <c:pt idx="996">
                  <c:v>13016.760000000007</c:v>
                </c:pt>
                <c:pt idx="997">
                  <c:v>13359.240000000007</c:v>
                </c:pt>
                <c:pt idx="998">
                  <c:v>13586.280000000008</c:v>
                </c:pt>
                <c:pt idx="999">
                  <c:v>13691.400000000009</c:v>
                </c:pt>
                <c:pt idx="1000">
                  <c:v>13638.930000000008</c:v>
                </c:pt>
                <c:pt idx="1001">
                  <c:v>14004.87000000001</c:v>
                </c:pt>
                <c:pt idx="1002">
                  <c:v>13279.500000000011</c:v>
                </c:pt>
                <c:pt idx="1003">
                  <c:v>13358.340000000011</c:v>
                </c:pt>
                <c:pt idx="1004">
                  <c:v>13657.590000000011</c:v>
                </c:pt>
                <c:pt idx="1005">
                  <c:v>13671.69000000001</c:v>
                </c:pt>
                <c:pt idx="1006">
                  <c:v>13639.080000000009</c:v>
                </c:pt>
                <c:pt idx="1007">
                  <c:v>13655.670000000011</c:v>
                </c:pt>
                <c:pt idx="1008">
                  <c:v>13128.510000000009</c:v>
                </c:pt>
                <c:pt idx="1009">
                  <c:v>12803.550000000007</c:v>
                </c:pt>
                <c:pt idx="1010">
                  <c:v>12855.540000000008</c:v>
                </c:pt>
                <c:pt idx="1011">
                  <c:v>13991.070000000007</c:v>
                </c:pt>
                <c:pt idx="1012">
                  <c:v>15004.560000000007</c:v>
                </c:pt>
                <c:pt idx="1013">
                  <c:v>15153.180000000008</c:v>
                </c:pt>
                <c:pt idx="1014">
                  <c:v>15713.460000000008</c:v>
                </c:pt>
                <c:pt idx="1015">
                  <c:v>15731.970000000008</c:v>
                </c:pt>
                <c:pt idx="1016">
                  <c:v>15764.970000000008</c:v>
                </c:pt>
                <c:pt idx="1017">
                  <c:v>15955.860000000008</c:v>
                </c:pt>
                <c:pt idx="1018">
                  <c:v>15311.010000000009</c:v>
                </c:pt>
                <c:pt idx="1019">
                  <c:v>15468.78000000001</c:v>
                </c:pt>
                <c:pt idx="1020">
                  <c:v>15105.87000000001</c:v>
                </c:pt>
                <c:pt idx="1021">
                  <c:v>15480.63000000001</c:v>
                </c:pt>
                <c:pt idx="1022">
                  <c:v>15746.790000000012</c:v>
                </c:pt>
                <c:pt idx="1023">
                  <c:v>15980.130000000012</c:v>
                </c:pt>
                <c:pt idx="1024">
                  <c:v>16124.220000000012</c:v>
                </c:pt>
                <c:pt idx="1025">
                  <c:v>16169.790000000014</c:v>
                </c:pt>
                <c:pt idx="1026">
                  <c:v>16225.230000000012</c:v>
                </c:pt>
                <c:pt idx="1027">
                  <c:v>16216.740000000013</c:v>
                </c:pt>
                <c:pt idx="1028">
                  <c:v>16062.690000000011</c:v>
                </c:pt>
                <c:pt idx="1029">
                  <c:v>16684.680000000011</c:v>
                </c:pt>
                <c:pt idx="1030">
                  <c:v>16875.660000000014</c:v>
                </c:pt>
                <c:pt idx="1031">
                  <c:v>16860.600000000013</c:v>
                </c:pt>
                <c:pt idx="1032">
                  <c:v>16692.780000000013</c:v>
                </c:pt>
                <c:pt idx="1033">
                  <c:v>16371.540000000014</c:v>
                </c:pt>
                <c:pt idx="1034">
                  <c:v>16314.660000000014</c:v>
                </c:pt>
                <c:pt idx="1035">
                  <c:v>15897.420000000015</c:v>
                </c:pt>
                <c:pt idx="1036">
                  <c:v>15256.530000000013</c:v>
                </c:pt>
                <c:pt idx="1037">
                  <c:v>15416.360000000013</c:v>
                </c:pt>
                <c:pt idx="1038">
                  <c:v>15626.560000000012</c:v>
                </c:pt>
                <c:pt idx="1039">
                  <c:v>15388.280000000012</c:v>
                </c:pt>
                <c:pt idx="1040">
                  <c:v>14942.940000000013</c:v>
                </c:pt>
                <c:pt idx="1041">
                  <c:v>14933.170000000013</c:v>
                </c:pt>
                <c:pt idx="1042">
                  <c:v>14908.270000000011</c:v>
                </c:pt>
                <c:pt idx="1043">
                  <c:v>14856.89000000001</c:v>
                </c:pt>
                <c:pt idx="1044">
                  <c:v>14943.510000000009</c:v>
                </c:pt>
                <c:pt idx="1045">
                  <c:v>15053.570000000011</c:v>
                </c:pt>
                <c:pt idx="1046">
                  <c:v>14909.830000000011</c:v>
                </c:pt>
                <c:pt idx="1047">
                  <c:v>15092.44000000001</c:v>
                </c:pt>
                <c:pt idx="1048">
                  <c:v>15169.970000000008</c:v>
                </c:pt>
                <c:pt idx="1049">
                  <c:v>15175.920000000009</c:v>
                </c:pt>
                <c:pt idx="1050">
                  <c:v>15103.510000000009</c:v>
                </c:pt>
                <c:pt idx="1051">
                  <c:v>15144.52000000001</c:v>
                </c:pt>
                <c:pt idx="1052">
                  <c:v>15291.330000000009</c:v>
                </c:pt>
                <c:pt idx="1053">
                  <c:v>15433.700000000008</c:v>
                </c:pt>
                <c:pt idx="1054">
                  <c:v>15429.440000000008</c:v>
                </c:pt>
                <c:pt idx="1055">
                  <c:v>15398.460000000008</c:v>
                </c:pt>
                <c:pt idx="1056">
                  <c:v>15529.080000000009</c:v>
                </c:pt>
                <c:pt idx="1057">
                  <c:v>15434.920000000009</c:v>
                </c:pt>
                <c:pt idx="1058">
                  <c:v>15595.000000000009</c:v>
                </c:pt>
                <c:pt idx="1059">
                  <c:v>15638.360000000008</c:v>
                </c:pt>
                <c:pt idx="1060">
                  <c:v>15160.280000000008</c:v>
                </c:pt>
                <c:pt idx="1061">
                  <c:v>15377.460000000008</c:v>
                </c:pt>
                <c:pt idx="1062">
                  <c:v>15575.840000000009</c:v>
                </c:pt>
                <c:pt idx="1063">
                  <c:v>15659.240000000009</c:v>
                </c:pt>
                <c:pt idx="1064">
                  <c:v>15800.620000000008</c:v>
                </c:pt>
                <c:pt idx="1065">
                  <c:v>15976.360000000008</c:v>
                </c:pt>
                <c:pt idx="1066">
                  <c:v>15963.160000000009</c:v>
                </c:pt>
                <c:pt idx="1067">
                  <c:v>16059.100000000008</c:v>
                </c:pt>
                <c:pt idx="1068">
                  <c:v>16045.78000000001</c:v>
                </c:pt>
                <c:pt idx="1069">
                  <c:v>16022.980000000009</c:v>
                </c:pt>
                <c:pt idx="1070">
                  <c:v>16188.430000000011</c:v>
                </c:pt>
                <c:pt idx="1071">
                  <c:v>16531.03000000001</c:v>
                </c:pt>
                <c:pt idx="1072">
                  <c:v>16354.03000000001</c:v>
                </c:pt>
                <c:pt idx="1073">
                  <c:v>16184.470000000008</c:v>
                </c:pt>
                <c:pt idx="1074">
                  <c:v>16336.27000000001</c:v>
                </c:pt>
                <c:pt idx="1075">
                  <c:v>16273.27000000001</c:v>
                </c:pt>
                <c:pt idx="1076">
                  <c:v>15970.750000000009</c:v>
                </c:pt>
                <c:pt idx="1077">
                  <c:v>15647.860000000008</c:v>
                </c:pt>
                <c:pt idx="1078">
                  <c:v>15709.090000000007</c:v>
                </c:pt>
                <c:pt idx="1079">
                  <c:v>15751.750000000007</c:v>
                </c:pt>
                <c:pt idx="1080">
                  <c:v>15830.200000000008</c:v>
                </c:pt>
                <c:pt idx="1081">
                  <c:v>15799.840000000006</c:v>
                </c:pt>
                <c:pt idx="1082">
                  <c:v>16208.020000000008</c:v>
                </c:pt>
                <c:pt idx="1083">
                  <c:v>16311.670000000009</c:v>
                </c:pt>
                <c:pt idx="1084">
                  <c:v>15898.540000000008</c:v>
                </c:pt>
                <c:pt idx="1085">
                  <c:v>15472.450000000008</c:v>
                </c:pt>
                <c:pt idx="1086">
                  <c:v>15468.880000000006</c:v>
                </c:pt>
                <c:pt idx="1087">
                  <c:v>15302.830000000005</c:v>
                </c:pt>
                <c:pt idx="1088">
                  <c:v>15198.440000000006</c:v>
                </c:pt>
                <c:pt idx="1089">
                  <c:v>15565.340000000006</c:v>
                </c:pt>
                <c:pt idx="1090">
                  <c:v>15507.660000000005</c:v>
                </c:pt>
                <c:pt idx="1091">
                  <c:v>15327.260000000006</c:v>
                </c:pt>
                <c:pt idx="1092">
                  <c:v>15270.340000000006</c:v>
                </c:pt>
                <c:pt idx="1093">
                  <c:v>15508.560000000005</c:v>
                </c:pt>
                <c:pt idx="1094">
                  <c:v>15540.740000000005</c:v>
                </c:pt>
                <c:pt idx="1095">
                  <c:v>15928.340000000006</c:v>
                </c:pt>
                <c:pt idx="1096">
                  <c:v>15968.380000000006</c:v>
                </c:pt>
                <c:pt idx="1097">
                  <c:v>16142.130000000005</c:v>
                </c:pt>
                <c:pt idx="1098">
                  <c:v>16287.570000000007</c:v>
                </c:pt>
                <c:pt idx="1099">
                  <c:v>16501.950000000008</c:v>
                </c:pt>
                <c:pt idx="1100">
                  <c:v>16770.150000000009</c:v>
                </c:pt>
                <c:pt idx="1101">
                  <c:v>16580.340000000011</c:v>
                </c:pt>
                <c:pt idx="1102">
                  <c:v>16824.420000000009</c:v>
                </c:pt>
                <c:pt idx="1103">
                  <c:v>16839.600000000009</c:v>
                </c:pt>
                <c:pt idx="1104">
                  <c:v>16599.030000000006</c:v>
                </c:pt>
                <c:pt idx="1105">
                  <c:v>16866.960000000006</c:v>
                </c:pt>
                <c:pt idx="1106">
                  <c:v>17148.900000000005</c:v>
                </c:pt>
                <c:pt idx="1107">
                  <c:v>17260.080000000005</c:v>
                </c:pt>
                <c:pt idx="1108">
                  <c:v>17407.830000000005</c:v>
                </c:pt>
                <c:pt idx="1109">
                  <c:v>17335.560000000005</c:v>
                </c:pt>
                <c:pt idx="1110">
                  <c:v>17235.270000000004</c:v>
                </c:pt>
                <c:pt idx="1111">
                  <c:v>16958.460000000006</c:v>
                </c:pt>
                <c:pt idx="1112">
                  <c:v>16800.840000000007</c:v>
                </c:pt>
                <c:pt idx="1113">
                  <c:v>16863.840000000007</c:v>
                </c:pt>
                <c:pt idx="1114">
                  <c:v>16682.010000000006</c:v>
                </c:pt>
                <c:pt idx="1115">
                  <c:v>17118.120000000006</c:v>
                </c:pt>
                <c:pt idx="1116">
                  <c:v>17355.69000000001</c:v>
                </c:pt>
                <c:pt idx="1117">
                  <c:v>17464.05000000001</c:v>
                </c:pt>
                <c:pt idx="1118">
                  <c:v>17063.820000000011</c:v>
                </c:pt>
                <c:pt idx="1119">
                  <c:v>17142.12000000001</c:v>
                </c:pt>
                <c:pt idx="1120">
                  <c:v>17436.330000000013</c:v>
                </c:pt>
                <c:pt idx="1121">
                  <c:v>17654.160000000011</c:v>
                </c:pt>
                <c:pt idx="1122">
                  <c:v>17338.110000000011</c:v>
                </c:pt>
                <c:pt idx="1123">
                  <c:v>17544.060000000012</c:v>
                </c:pt>
                <c:pt idx="1124">
                  <c:v>17627.820000000014</c:v>
                </c:pt>
                <c:pt idx="1125">
                  <c:v>17617.980000000014</c:v>
                </c:pt>
                <c:pt idx="1126">
                  <c:v>17915.430000000015</c:v>
                </c:pt>
                <c:pt idx="1127">
                  <c:v>17959.380000000012</c:v>
                </c:pt>
                <c:pt idx="1128">
                  <c:v>17973.480000000014</c:v>
                </c:pt>
                <c:pt idx="1129">
                  <c:v>18082.140000000014</c:v>
                </c:pt>
                <c:pt idx="1130">
                  <c:v>18088.740000000016</c:v>
                </c:pt>
                <c:pt idx="1131">
                  <c:v>17932.680000000015</c:v>
                </c:pt>
                <c:pt idx="1132">
                  <c:v>17651.970000000016</c:v>
                </c:pt>
                <c:pt idx="1133">
                  <c:v>17776.020000000015</c:v>
                </c:pt>
                <c:pt idx="1134">
                  <c:v>17833.380000000016</c:v>
                </c:pt>
                <c:pt idx="1135">
                  <c:v>17800.200000000019</c:v>
                </c:pt>
                <c:pt idx="1136">
                  <c:v>17430.030000000017</c:v>
                </c:pt>
                <c:pt idx="1137">
                  <c:v>16895.250000000015</c:v>
                </c:pt>
                <c:pt idx="1138">
                  <c:v>16937.060000000016</c:v>
                </c:pt>
                <c:pt idx="1139">
                  <c:v>16927.260000000017</c:v>
                </c:pt>
                <c:pt idx="1140">
                  <c:v>16902.760000000017</c:v>
                </c:pt>
                <c:pt idx="1141">
                  <c:v>17190.980000000018</c:v>
                </c:pt>
                <c:pt idx="1142">
                  <c:v>17091.820000000018</c:v>
                </c:pt>
                <c:pt idx="1143">
                  <c:v>17183.000000000018</c:v>
                </c:pt>
                <c:pt idx="1144">
                  <c:v>17330.300000000017</c:v>
                </c:pt>
                <c:pt idx="1145">
                  <c:v>17443.880000000019</c:v>
                </c:pt>
                <c:pt idx="1146">
                  <c:v>17593.020000000019</c:v>
                </c:pt>
                <c:pt idx="1147">
                  <c:v>17586.940000000017</c:v>
                </c:pt>
                <c:pt idx="1148">
                  <c:v>17571.040000000015</c:v>
                </c:pt>
                <c:pt idx="1149">
                  <c:v>17952.190000000017</c:v>
                </c:pt>
                <c:pt idx="1150">
                  <c:v>17773.780000000017</c:v>
                </c:pt>
                <c:pt idx="1151">
                  <c:v>17874.220000000016</c:v>
                </c:pt>
                <c:pt idx="1152">
                  <c:v>17854.090000000015</c:v>
                </c:pt>
                <c:pt idx="1153">
                  <c:v>17623.060000000016</c:v>
                </c:pt>
                <c:pt idx="1154">
                  <c:v>17635.600000000013</c:v>
                </c:pt>
                <c:pt idx="1155">
                  <c:v>17717.830000000016</c:v>
                </c:pt>
                <c:pt idx="1156">
                  <c:v>17843.080000000016</c:v>
                </c:pt>
                <c:pt idx="1157">
                  <c:v>17791.630000000016</c:v>
                </c:pt>
                <c:pt idx="1158">
                  <c:v>17046.880000000016</c:v>
                </c:pt>
                <c:pt idx="1159">
                  <c:v>17321.260000000017</c:v>
                </c:pt>
                <c:pt idx="1160">
                  <c:v>17455.300000000017</c:v>
                </c:pt>
                <c:pt idx="1161">
                  <c:v>17512.080000000016</c:v>
                </c:pt>
                <c:pt idx="1162">
                  <c:v>17526.180000000015</c:v>
                </c:pt>
                <c:pt idx="1163">
                  <c:v>17458.660000000014</c:v>
                </c:pt>
                <c:pt idx="1164">
                  <c:v>17708.120000000017</c:v>
                </c:pt>
                <c:pt idx="1165">
                  <c:v>17694.260000000017</c:v>
                </c:pt>
                <c:pt idx="1166">
                  <c:v>17751.680000000015</c:v>
                </c:pt>
                <c:pt idx="1167">
                  <c:v>17512.660000000014</c:v>
                </c:pt>
                <c:pt idx="1168">
                  <c:v>17746.980000000014</c:v>
                </c:pt>
                <c:pt idx="1169">
                  <c:v>17795.100000000013</c:v>
                </c:pt>
                <c:pt idx="1170">
                  <c:v>17772.080000000013</c:v>
                </c:pt>
                <c:pt idx="1171">
                  <c:v>17660.040000000015</c:v>
                </c:pt>
                <c:pt idx="1172">
                  <c:v>17641.180000000015</c:v>
                </c:pt>
                <c:pt idx="1173">
                  <c:v>17664.100000000013</c:v>
                </c:pt>
                <c:pt idx="1174">
                  <c:v>17731.380000000012</c:v>
                </c:pt>
                <c:pt idx="1175">
                  <c:v>17868.840000000011</c:v>
                </c:pt>
                <c:pt idx="1176">
                  <c:v>17959.840000000011</c:v>
                </c:pt>
                <c:pt idx="1177">
                  <c:v>18083.920000000013</c:v>
                </c:pt>
                <c:pt idx="1178">
                  <c:v>18067.110000000015</c:v>
                </c:pt>
                <c:pt idx="1179">
                  <c:v>18321.810000000012</c:v>
                </c:pt>
                <c:pt idx="1180">
                  <c:v>18310.830000000013</c:v>
                </c:pt>
                <c:pt idx="1181">
                  <c:v>18486.180000000011</c:v>
                </c:pt>
                <c:pt idx="1182">
                  <c:v>18713.670000000013</c:v>
                </c:pt>
                <c:pt idx="1183">
                  <c:v>18772.890000000014</c:v>
                </c:pt>
                <c:pt idx="1184">
                  <c:v>18783.540000000012</c:v>
                </c:pt>
                <c:pt idx="1185">
                  <c:v>19132.200000000015</c:v>
                </c:pt>
                <c:pt idx="1186">
                  <c:v>18861.600000000013</c:v>
                </c:pt>
                <c:pt idx="1187">
                  <c:v>18992.040000000012</c:v>
                </c:pt>
                <c:pt idx="1188">
                  <c:v>19120.80000000001</c:v>
                </c:pt>
                <c:pt idx="1189">
                  <c:v>19077.450000000012</c:v>
                </c:pt>
                <c:pt idx="1190">
                  <c:v>18739.020000000008</c:v>
                </c:pt>
                <c:pt idx="1191">
                  <c:v>19019.280000000006</c:v>
                </c:pt>
                <c:pt idx="1192">
                  <c:v>19220.010000000006</c:v>
                </c:pt>
                <c:pt idx="1193">
                  <c:v>19162.800000000007</c:v>
                </c:pt>
                <c:pt idx="1194">
                  <c:v>18896.340000000007</c:v>
                </c:pt>
                <c:pt idx="1195">
                  <c:v>18812.130000000008</c:v>
                </c:pt>
                <c:pt idx="1196">
                  <c:v>18532.950000000008</c:v>
                </c:pt>
                <c:pt idx="1197">
                  <c:v>17931.270000000011</c:v>
                </c:pt>
                <c:pt idx="1198">
                  <c:v>17740.62000000001</c:v>
                </c:pt>
                <c:pt idx="1199">
                  <c:v>17192.260000000009</c:v>
                </c:pt>
                <c:pt idx="1200">
                  <c:v>17114.700000000008</c:v>
                </c:pt>
                <c:pt idx="1201">
                  <c:v>17383.80000000001</c:v>
                </c:pt>
                <c:pt idx="1202">
                  <c:v>17275.520000000011</c:v>
                </c:pt>
                <c:pt idx="1203">
                  <c:v>17043.98000000001</c:v>
                </c:pt>
                <c:pt idx="1204">
                  <c:v>16853.860000000008</c:v>
                </c:pt>
                <c:pt idx="1205">
                  <c:v>17090.600000000006</c:v>
                </c:pt>
                <c:pt idx="1206">
                  <c:v>17078.720000000008</c:v>
                </c:pt>
                <c:pt idx="1207">
                  <c:v>16430.30000000001</c:v>
                </c:pt>
                <c:pt idx="1208">
                  <c:v>16426.400000000009</c:v>
                </c:pt>
                <c:pt idx="1209">
                  <c:v>16716.720000000008</c:v>
                </c:pt>
                <c:pt idx="1210">
                  <c:v>16878.320000000007</c:v>
                </c:pt>
                <c:pt idx="1211">
                  <c:v>17114.720000000008</c:v>
                </c:pt>
                <c:pt idx="1212">
                  <c:v>17189.520000000008</c:v>
                </c:pt>
                <c:pt idx="1213">
                  <c:v>17053.98000000001</c:v>
                </c:pt>
                <c:pt idx="1214">
                  <c:v>16848.560000000012</c:v>
                </c:pt>
                <c:pt idx="1215">
                  <c:v>16866.840000000011</c:v>
                </c:pt>
                <c:pt idx="1216">
                  <c:v>17150.14000000001</c:v>
                </c:pt>
                <c:pt idx="1217">
                  <c:v>17189.880000000012</c:v>
                </c:pt>
                <c:pt idx="1218">
                  <c:v>17253.680000000015</c:v>
                </c:pt>
                <c:pt idx="1219">
                  <c:v>17134.240000000013</c:v>
                </c:pt>
                <c:pt idx="1220">
                  <c:v>17327.160000000011</c:v>
                </c:pt>
                <c:pt idx="1221">
                  <c:v>17519.180000000011</c:v>
                </c:pt>
                <c:pt idx="1222">
                  <c:v>17544.010000000009</c:v>
                </c:pt>
                <c:pt idx="1223">
                  <c:v>17569.48000000001</c:v>
                </c:pt>
                <c:pt idx="1224">
                  <c:v>17481.220000000008</c:v>
                </c:pt>
                <c:pt idx="1225">
                  <c:v>17477.23000000001</c:v>
                </c:pt>
                <c:pt idx="1226">
                  <c:v>17137.000000000011</c:v>
                </c:pt>
                <c:pt idx="1227">
                  <c:v>17319.130000000012</c:v>
                </c:pt>
                <c:pt idx="1228">
                  <c:v>17775.760000000013</c:v>
                </c:pt>
                <c:pt idx="1229">
                  <c:v>17891.260000000013</c:v>
                </c:pt>
                <c:pt idx="1230">
                  <c:v>17925.970000000012</c:v>
                </c:pt>
                <c:pt idx="1231">
                  <c:v>17740.180000000011</c:v>
                </c:pt>
                <c:pt idx="1232">
                  <c:v>17667.850000000013</c:v>
                </c:pt>
                <c:pt idx="1233">
                  <c:v>17700.370000000014</c:v>
                </c:pt>
                <c:pt idx="1234">
                  <c:v>17746.540000000015</c:v>
                </c:pt>
                <c:pt idx="1235">
                  <c:v>17862.820000000014</c:v>
                </c:pt>
                <c:pt idx="1236">
                  <c:v>18074.590000000015</c:v>
                </c:pt>
                <c:pt idx="1237">
                  <c:v>18118.900000000016</c:v>
                </c:pt>
                <c:pt idx="1238">
                  <c:v>17992.420000000016</c:v>
                </c:pt>
                <c:pt idx="1239">
                  <c:v>18271.510000000017</c:v>
                </c:pt>
                <c:pt idx="1240">
                  <c:v>18310.030000000017</c:v>
                </c:pt>
                <c:pt idx="1241">
                  <c:v>18501.190000000017</c:v>
                </c:pt>
                <c:pt idx="1242">
                  <c:v>18597.580000000016</c:v>
                </c:pt>
                <c:pt idx="1243">
                  <c:v>18405.040000000019</c:v>
                </c:pt>
                <c:pt idx="1244">
                  <c:v>18508.330000000016</c:v>
                </c:pt>
                <c:pt idx="1245">
                  <c:v>18585.490000000016</c:v>
                </c:pt>
                <c:pt idx="1246">
                  <c:v>18321.430000000015</c:v>
                </c:pt>
                <c:pt idx="1247">
                  <c:v>18523.630000000016</c:v>
                </c:pt>
                <c:pt idx="1248">
                  <c:v>18748.060000000012</c:v>
                </c:pt>
                <c:pt idx="1249">
                  <c:v>18566.950000000012</c:v>
                </c:pt>
                <c:pt idx="1250">
                  <c:v>17794.900000000012</c:v>
                </c:pt>
                <c:pt idx="1251">
                  <c:v>17941.19000000001</c:v>
                </c:pt>
                <c:pt idx="1252">
                  <c:v>18121.410000000011</c:v>
                </c:pt>
                <c:pt idx="1253">
                  <c:v>18097.73000000001</c:v>
                </c:pt>
                <c:pt idx="1254">
                  <c:v>18150.130000000012</c:v>
                </c:pt>
                <c:pt idx="1255">
                  <c:v>18456.630000000012</c:v>
                </c:pt>
                <c:pt idx="1256">
                  <c:v>18433.23000000001</c:v>
                </c:pt>
                <c:pt idx="1257">
                  <c:v>18303.450000000012</c:v>
                </c:pt>
                <c:pt idx="1258">
                  <c:v>18248.450000000012</c:v>
                </c:pt>
                <c:pt idx="1259">
                  <c:v>18148.850000000013</c:v>
                </c:pt>
                <c:pt idx="1260">
                  <c:v>18044.690000000013</c:v>
                </c:pt>
                <c:pt idx="1261">
                  <c:v>18001.890000000014</c:v>
                </c:pt>
                <c:pt idx="1262">
                  <c:v>17534.150000000012</c:v>
                </c:pt>
                <c:pt idx="1263">
                  <c:v>17416.100000000013</c:v>
                </c:pt>
                <c:pt idx="1264">
                  <c:v>17403.720000000016</c:v>
                </c:pt>
                <c:pt idx="1265">
                  <c:v>17501.350000000013</c:v>
                </c:pt>
                <c:pt idx="1266">
                  <c:v>17445.060000000012</c:v>
                </c:pt>
                <c:pt idx="1267">
                  <c:v>17439.320000000014</c:v>
                </c:pt>
                <c:pt idx="1268">
                  <c:v>17607.190000000013</c:v>
                </c:pt>
                <c:pt idx="1269">
                  <c:v>17608.750000000015</c:v>
                </c:pt>
                <c:pt idx="1270">
                  <c:v>17435.340000000015</c:v>
                </c:pt>
                <c:pt idx="1271">
                  <c:v>17421.920000000013</c:v>
                </c:pt>
                <c:pt idx="1272">
                  <c:v>17395.780000000013</c:v>
                </c:pt>
                <c:pt idx="1273">
                  <c:v>17261.050000000014</c:v>
                </c:pt>
                <c:pt idx="1274">
                  <c:v>17065.790000000015</c:v>
                </c:pt>
                <c:pt idx="1275">
                  <c:v>17065.790000000015</c:v>
                </c:pt>
                <c:pt idx="1276">
                  <c:v>17065.790000000015</c:v>
                </c:pt>
                <c:pt idx="1277">
                  <c:v>17065.790000000015</c:v>
                </c:pt>
                <c:pt idx="1278">
                  <c:v>17065.790000000015</c:v>
                </c:pt>
                <c:pt idx="1279">
                  <c:v>17065.790000000015</c:v>
                </c:pt>
                <c:pt idx="1280">
                  <c:v>17065.790000000015</c:v>
                </c:pt>
                <c:pt idx="1281">
                  <c:v>17065.790000000015</c:v>
                </c:pt>
                <c:pt idx="1282">
                  <c:v>17065.790000000015</c:v>
                </c:pt>
                <c:pt idx="1283">
                  <c:v>17065.790000000015</c:v>
                </c:pt>
                <c:pt idx="1284">
                  <c:v>17065.790000000015</c:v>
                </c:pt>
                <c:pt idx="1285">
                  <c:v>17065.790000000015</c:v>
                </c:pt>
                <c:pt idx="1286">
                  <c:v>17065.790000000015</c:v>
                </c:pt>
                <c:pt idx="1287">
                  <c:v>17065.790000000015</c:v>
                </c:pt>
                <c:pt idx="1288">
                  <c:v>17065.790000000015</c:v>
                </c:pt>
                <c:pt idx="1289">
                  <c:v>17065.790000000015</c:v>
                </c:pt>
                <c:pt idx="1290">
                  <c:v>17065.790000000015</c:v>
                </c:pt>
                <c:pt idx="1291">
                  <c:v>17065.790000000015</c:v>
                </c:pt>
                <c:pt idx="1292">
                  <c:v>17065.790000000015</c:v>
                </c:pt>
                <c:pt idx="1293">
                  <c:v>17020.350000000013</c:v>
                </c:pt>
                <c:pt idx="1294">
                  <c:v>17162.800000000014</c:v>
                </c:pt>
                <c:pt idx="1295">
                  <c:v>17139.920000000013</c:v>
                </c:pt>
                <c:pt idx="1296">
                  <c:v>17109.390000000014</c:v>
                </c:pt>
                <c:pt idx="1297">
                  <c:v>17117.130000000016</c:v>
                </c:pt>
                <c:pt idx="1298">
                  <c:v>17001.950000000015</c:v>
                </c:pt>
                <c:pt idx="1299">
                  <c:v>17028.030000000013</c:v>
                </c:pt>
                <c:pt idx="1300">
                  <c:v>16950.810000000012</c:v>
                </c:pt>
                <c:pt idx="1301">
                  <c:v>16856.610000000011</c:v>
                </c:pt>
                <c:pt idx="1302">
                  <c:v>16781.30000000001</c:v>
                </c:pt>
                <c:pt idx="1303">
                  <c:v>16812.250000000011</c:v>
                </c:pt>
                <c:pt idx="1304">
                  <c:v>16812.250000000011</c:v>
                </c:pt>
                <c:pt idx="1305">
                  <c:v>16812.250000000011</c:v>
                </c:pt>
                <c:pt idx="1306">
                  <c:v>16812.250000000011</c:v>
                </c:pt>
                <c:pt idx="1307">
                  <c:v>16812.250000000011</c:v>
                </c:pt>
                <c:pt idx="1308">
                  <c:v>16812.250000000011</c:v>
                </c:pt>
                <c:pt idx="1309">
                  <c:v>16777.540000000012</c:v>
                </c:pt>
                <c:pt idx="1310">
                  <c:v>16735.410000000011</c:v>
                </c:pt>
                <c:pt idx="1311">
                  <c:v>16852.500000000011</c:v>
                </c:pt>
                <c:pt idx="1312">
                  <c:v>16847.540000000012</c:v>
                </c:pt>
                <c:pt idx="1313">
                  <c:v>16767.64000000001</c:v>
                </c:pt>
                <c:pt idx="1314">
                  <c:v>16738.160000000011</c:v>
                </c:pt>
                <c:pt idx="1315">
                  <c:v>16862.560000000012</c:v>
                </c:pt>
                <c:pt idx="1316">
                  <c:v>16799.890000000014</c:v>
                </c:pt>
                <c:pt idx="1317">
                  <c:v>16695.040000000015</c:v>
                </c:pt>
                <c:pt idx="1318">
                  <c:v>16979.680000000015</c:v>
                </c:pt>
                <c:pt idx="1319">
                  <c:v>17058.370000000014</c:v>
                </c:pt>
                <c:pt idx="1320">
                  <c:v>16940.050000000014</c:v>
                </c:pt>
                <c:pt idx="1321">
                  <c:v>17050.450000000015</c:v>
                </c:pt>
                <c:pt idx="1322">
                  <c:v>17092.990000000013</c:v>
                </c:pt>
                <c:pt idx="1323">
                  <c:v>16977.910000000014</c:v>
                </c:pt>
                <c:pt idx="1324">
                  <c:v>17431.060000000016</c:v>
                </c:pt>
                <c:pt idx="1325">
                  <c:v>17568.610000000015</c:v>
                </c:pt>
                <c:pt idx="1326">
                  <c:v>17614.000000000015</c:v>
                </c:pt>
                <c:pt idx="1327">
                  <c:v>17506.570000000014</c:v>
                </c:pt>
                <c:pt idx="1328">
                  <c:v>17585.920000000013</c:v>
                </c:pt>
                <c:pt idx="1329">
                  <c:v>17799.490000000013</c:v>
                </c:pt>
                <c:pt idx="1330">
                  <c:v>17626.240000000013</c:v>
                </c:pt>
                <c:pt idx="1331">
                  <c:v>17381.110000000011</c:v>
                </c:pt>
                <c:pt idx="1332">
                  <c:v>17185.390000000014</c:v>
                </c:pt>
                <c:pt idx="1333">
                  <c:v>17370.760000000013</c:v>
                </c:pt>
                <c:pt idx="1334">
                  <c:v>17519.680000000015</c:v>
                </c:pt>
                <c:pt idx="1335">
                  <c:v>17489.290000000015</c:v>
                </c:pt>
                <c:pt idx="1336">
                  <c:v>17468.320000000014</c:v>
                </c:pt>
                <c:pt idx="1337">
                  <c:v>17482.840000000011</c:v>
                </c:pt>
                <c:pt idx="1338">
                  <c:v>17477.950000000012</c:v>
                </c:pt>
                <c:pt idx="1339">
                  <c:v>17623.810000000012</c:v>
                </c:pt>
                <c:pt idx="1340">
                  <c:v>17517.940000000013</c:v>
                </c:pt>
                <c:pt idx="1341">
                  <c:v>16906.96000000001</c:v>
                </c:pt>
                <c:pt idx="1342">
                  <c:v>16818.820000000011</c:v>
                </c:pt>
                <c:pt idx="1343">
                  <c:v>16885.160000000011</c:v>
                </c:pt>
                <c:pt idx="1344">
                  <c:v>16921.740000000013</c:v>
                </c:pt>
                <c:pt idx="1345">
                  <c:v>16671.900000000012</c:v>
                </c:pt>
                <c:pt idx="1346">
                  <c:v>16751.200000000012</c:v>
                </c:pt>
                <c:pt idx="1347">
                  <c:v>16803.770000000011</c:v>
                </c:pt>
                <c:pt idx="1348">
                  <c:v>16913.160000000011</c:v>
                </c:pt>
                <c:pt idx="1349">
                  <c:v>16973.900000000009</c:v>
                </c:pt>
                <c:pt idx="1350">
                  <c:v>16967.350000000009</c:v>
                </c:pt>
                <c:pt idx="1351">
                  <c:v>16934.260000000009</c:v>
                </c:pt>
                <c:pt idx="1352">
                  <c:v>16918.490000000009</c:v>
                </c:pt>
                <c:pt idx="1353">
                  <c:v>16973.060000000009</c:v>
                </c:pt>
                <c:pt idx="1354">
                  <c:v>17174.250000000007</c:v>
                </c:pt>
                <c:pt idx="1355">
                  <c:v>17226.470000000008</c:v>
                </c:pt>
                <c:pt idx="1356">
                  <c:v>17288.910000000007</c:v>
                </c:pt>
                <c:pt idx="1357">
                  <c:v>17160.770000000008</c:v>
                </c:pt>
                <c:pt idx="1358">
                  <c:v>17277.930000000008</c:v>
                </c:pt>
                <c:pt idx="1359">
                  <c:v>17335.19000000001</c:v>
                </c:pt>
                <c:pt idx="1360">
                  <c:v>17354.070000000007</c:v>
                </c:pt>
                <c:pt idx="1361">
                  <c:v>17366.350000000009</c:v>
                </c:pt>
                <c:pt idx="1362">
                  <c:v>17294.510000000009</c:v>
                </c:pt>
                <c:pt idx="1363">
                  <c:v>17344.350000000009</c:v>
                </c:pt>
                <c:pt idx="1364">
                  <c:v>17327.78000000001</c:v>
                </c:pt>
                <c:pt idx="1365">
                  <c:v>17482.130000000008</c:v>
                </c:pt>
                <c:pt idx="1366">
                  <c:v>17472.80000000001</c:v>
                </c:pt>
                <c:pt idx="1367">
                  <c:v>17492.000000000007</c:v>
                </c:pt>
                <c:pt idx="1368">
                  <c:v>17497.760000000009</c:v>
                </c:pt>
                <c:pt idx="1369">
                  <c:v>17360.750000000007</c:v>
                </c:pt>
                <c:pt idx="1370">
                  <c:v>17611.55000000001</c:v>
                </c:pt>
                <c:pt idx="1371">
                  <c:v>17611.220000000008</c:v>
                </c:pt>
                <c:pt idx="1372">
                  <c:v>17492.03000000001</c:v>
                </c:pt>
                <c:pt idx="1373">
                  <c:v>17289.740000000009</c:v>
                </c:pt>
                <c:pt idx="1374">
                  <c:v>17030.12000000001</c:v>
                </c:pt>
                <c:pt idx="1375">
                  <c:v>17079.44000000001</c:v>
                </c:pt>
                <c:pt idx="1376">
                  <c:v>17405.810000000012</c:v>
                </c:pt>
                <c:pt idx="1377">
                  <c:v>17375.360000000008</c:v>
                </c:pt>
                <c:pt idx="1378">
                  <c:v>16941.080000000009</c:v>
                </c:pt>
                <c:pt idx="1379">
                  <c:v>16898.150000000009</c:v>
                </c:pt>
                <c:pt idx="1380">
                  <c:v>17002.130000000012</c:v>
                </c:pt>
                <c:pt idx="1381">
                  <c:v>17015.350000000013</c:v>
                </c:pt>
                <c:pt idx="1382">
                  <c:v>17089.010000000017</c:v>
                </c:pt>
                <c:pt idx="1383">
                  <c:v>17366.850000000013</c:v>
                </c:pt>
                <c:pt idx="1384">
                  <c:v>17439.350000000013</c:v>
                </c:pt>
                <c:pt idx="1385">
                  <c:v>17256.260000000017</c:v>
                </c:pt>
                <c:pt idx="1386">
                  <c:v>17445.290000000012</c:v>
                </c:pt>
                <c:pt idx="1387">
                  <c:v>17244.410000000014</c:v>
                </c:pt>
                <c:pt idx="1388">
                  <c:v>17522.390000000014</c:v>
                </c:pt>
                <c:pt idx="1389">
                  <c:v>17417.420000000013</c:v>
                </c:pt>
                <c:pt idx="1390">
                  <c:v>17264.840000000011</c:v>
                </c:pt>
                <c:pt idx="1391">
                  <c:v>17456.690000000013</c:v>
                </c:pt>
                <c:pt idx="1392">
                  <c:v>17731.160000000011</c:v>
                </c:pt>
                <c:pt idx="1393">
                  <c:v>17674.880000000012</c:v>
                </c:pt>
                <c:pt idx="1394">
                  <c:v>17720.03000000001</c:v>
                </c:pt>
                <c:pt idx="1395">
                  <c:v>17735.03000000001</c:v>
                </c:pt>
                <c:pt idx="1396">
                  <c:v>17693.990000000013</c:v>
                </c:pt>
                <c:pt idx="1397">
                  <c:v>17331.290000000008</c:v>
                </c:pt>
                <c:pt idx="1398">
                  <c:v>17105.090000000011</c:v>
                </c:pt>
                <c:pt idx="1399">
                  <c:v>17241.78000000001</c:v>
                </c:pt>
                <c:pt idx="1400">
                  <c:v>17128.440000000013</c:v>
                </c:pt>
                <c:pt idx="1401">
                  <c:v>17184.260000000013</c:v>
                </c:pt>
                <c:pt idx="1402">
                  <c:v>17229.600000000013</c:v>
                </c:pt>
                <c:pt idx="1403">
                  <c:v>17367.180000000011</c:v>
                </c:pt>
                <c:pt idx="1404">
                  <c:v>17274.62000000001</c:v>
                </c:pt>
                <c:pt idx="1405">
                  <c:v>17211.46000000001</c:v>
                </c:pt>
                <c:pt idx="1406">
                  <c:v>17317.340000000011</c:v>
                </c:pt>
                <c:pt idx="1407">
                  <c:v>17241.660000000011</c:v>
                </c:pt>
                <c:pt idx="1408">
                  <c:v>17351.700000000012</c:v>
                </c:pt>
                <c:pt idx="1409">
                  <c:v>17362.320000000011</c:v>
                </c:pt>
                <c:pt idx="1410">
                  <c:v>17657.580000000013</c:v>
                </c:pt>
                <c:pt idx="1411">
                  <c:v>17776.660000000011</c:v>
                </c:pt>
                <c:pt idx="1412">
                  <c:v>17891.380000000012</c:v>
                </c:pt>
                <c:pt idx="1413">
                  <c:v>18126.040000000008</c:v>
                </c:pt>
                <c:pt idx="1414">
                  <c:v>18132.520000000008</c:v>
                </c:pt>
                <c:pt idx="1415">
                  <c:v>18130.720000000012</c:v>
                </c:pt>
                <c:pt idx="1416">
                  <c:v>18280.87000000001</c:v>
                </c:pt>
                <c:pt idx="1417">
                  <c:v>18175.840000000011</c:v>
                </c:pt>
                <c:pt idx="1418">
                  <c:v>18229.12000000001</c:v>
                </c:pt>
                <c:pt idx="1419">
                  <c:v>18240.64000000001</c:v>
                </c:pt>
                <c:pt idx="1420">
                  <c:v>18289.480000000007</c:v>
                </c:pt>
                <c:pt idx="1421">
                  <c:v>18365.950000000012</c:v>
                </c:pt>
                <c:pt idx="1422">
                  <c:v>18473.05000000001</c:v>
                </c:pt>
                <c:pt idx="1423">
                  <c:v>18325.510000000009</c:v>
                </c:pt>
                <c:pt idx="1424">
                  <c:v>18502.720000000016</c:v>
                </c:pt>
                <c:pt idx="1425">
                  <c:v>18600.820000000014</c:v>
                </c:pt>
                <c:pt idx="1426">
                  <c:v>18715.960000000017</c:v>
                </c:pt>
                <c:pt idx="1427">
                  <c:v>18602.650000000016</c:v>
                </c:pt>
                <c:pt idx="1428">
                  <c:v>18696.280000000013</c:v>
                </c:pt>
                <c:pt idx="1429">
                  <c:v>18631.630000000016</c:v>
                </c:pt>
                <c:pt idx="1430">
                  <c:v>18618.400000000016</c:v>
                </c:pt>
                <c:pt idx="1431">
                  <c:v>18743.080000000016</c:v>
                </c:pt>
                <c:pt idx="1432">
                  <c:v>18936.850000000017</c:v>
                </c:pt>
                <c:pt idx="1433">
                  <c:v>19095.250000000015</c:v>
                </c:pt>
                <c:pt idx="1434">
                  <c:v>19010.92000000002</c:v>
                </c:pt>
                <c:pt idx="1435">
                  <c:v>18558.280000000017</c:v>
                </c:pt>
                <c:pt idx="1436">
                  <c:v>18668.980000000018</c:v>
                </c:pt>
                <c:pt idx="1437">
                  <c:v>18367.510000000017</c:v>
                </c:pt>
                <c:pt idx="1438">
                  <c:v>18472.990000000016</c:v>
                </c:pt>
                <c:pt idx="1439">
                  <c:v>18813.430000000022</c:v>
                </c:pt>
                <c:pt idx="1440">
                  <c:v>18914.35000000002</c:v>
                </c:pt>
                <c:pt idx="1441">
                  <c:v>18946.090000000018</c:v>
                </c:pt>
                <c:pt idx="1442">
                  <c:v>18936.880000000019</c:v>
                </c:pt>
                <c:pt idx="1443">
                  <c:v>18794.620000000017</c:v>
                </c:pt>
                <c:pt idx="1444">
                  <c:v>18983.350000000017</c:v>
                </c:pt>
                <c:pt idx="1445">
                  <c:v>19277.410000000018</c:v>
                </c:pt>
                <c:pt idx="1446">
                  <c:v>19085.860000000015</c:v>
                </c:pt>
                <c:pt idx="1447">
                  <c:v>18882.490000000013</c:v>
                </c:pt>
                <c:pt idx="1448">
                  <c:v>18862.720000000016</c:v>
                </c:pt>
                <c:pt idx="1449">
                  <c:v>18993.520000000011</c:v>
                </c:pt>
                <c:pt idx="1450">
                  <c:v>19186.120000000014</c:v>
                </c:pt>
                <c:pt idx="1451">
                  <c:v>19326.340000000011</c:v>
                </c:pt>
                <c:pt idx="1452">
                  <c:v>19455.400000000012</c:v>
                </c:pt>
                <c:pt idx="1453">
                  <c:v>19353.73000000001</c:v>
                </c:pt>
                <c:pt idx="1454">
                  <c:v>19039.810000000012</c:v>
                </c:pt>
                <c:pt idx="1455">
                  <c:v>18529.030000000013</c:v>
                </c:pt>
                <c:pt idx="1456">
                  <c:v>18081.480000000018</c:v>
                </c:pt>
                <c:pt idx="1457">
                  <c:v>18232.700000000015</c:v>
                </c:pt>
                <c:pt idx="1458">
                  <c:v>18305.620000000017</c:v>
                </c:pt>
                <c:pt idx="1459">
                  <c:v>18287.680000000015</c:v>
                </c:pt>
                <c:pt idx="1460">
                  <c:v>18229.520000000015</c:v>
                </c:pt>
                <c:pt idx="1461">
                  <c:v>18549.440000000017</c:v>
                </c:pt>
                <c:pt idx="1462">
                  <c:v>18540.200000000015</c:v>
                </c:pt>
                <c:pt idx="1463">
                  <c:v>18209.100000000017</c:v>
                </c:pt>
                <c:pt idx="1464">
                  <c:v>17919.640000000018</c:v>
                </c:pt>
                <c:pt idx="1465">
                  <c:v>17964.560000000016</c:v>
                </c:pt>
                <c:pt idx="1466">
                  <c:v>18022.570000000014</c:v>
                </c:pt>
                <c:pt idx="1467">
                  <c:v>18150.480000000014</c:v>
                </c:pt>
                <c:pt idx="1468">
                  <c:v>18042.820000000014</c:v>
                </c:pt>
                <c:pt idx="1469">
                  <c:v>18161.290000000015</c:v>
                </c:pt>
                <c:pt idx="1470">
                  <c:v>18207.320000000014</c:v>
                </c:pt>
                <c:pt idx="1471">
                  <c:v>18136.710000000014</c:v>
                </c:pt>
                <c:pt idx="1472">
                  <c:v>18170.670000000013</c:v>
                </c:pt>
                <c:pt idx="1473">
                  <c:v>18172.940000000013</c:v>
                </c:pt>
                <c:pt idx="1474">
                  <c:v>18065.820000000014</c:v>
                </c:pt>
                <c:pt idx="1475">
                  <c:v>17990.740000000013</c:v>
                </c:pt>
                <c:pt idx="1476">
                  <c:v>17942.940000000013</c:v>
                </c:pt>
                <c:pt idx="1477">
                  <c:v>17657.700000000012</c:v>
                </c:pt>
                <c:pt idx="1478">
                  <c:v>17740.30000000001</c:v>
                </c:pt>
                <c:pt idx="1479">
                  <c:v>17740.30000000001</c:v>
                </c:pt>
                <c:pt idx="1480">
                  <c:v>17740.30000000001</c:v>
                </c:pt>
                <c:pt idx="1481">
                  <c:v>17740.30000000001</c:v>
                </c:pt>
                <c:pt idx="1482">
                  <c:v>17740.30000000001</c:v>
                </c:pt>
                <c:pt idx="1483">
                  <c:v>17740.30000000001</c:v>
                </c:pt>
                <c:pt idx="1484">
                  <c:v>17740.30000000001</c:v>
                </c:pt>
                <c:pt idx="1485">
                  <c:v>17740.30000000001</c:v>
                </c:pt>
                <c:pt idx="1486">
                  <c:v>17740.30000000001</c:v>
                </c:pt>
                <c:pt idx="1487">
                  <c:v>17740.30000000001</c:v>
                </c:pt>
                <c:pt idx="1488">
                  <c:v>17740.30000000001</c:v>
                </c:pt>
                <c:pt idx="1489">
                  <c:v>17739.910000000011</c:v>
                </c:pt>
                <c:pt idx="1490">
                  <c:v>17761.740000000013</c:v>
                </c:pt>
                <c:pt idx="1491">
                  <c:v>17908.590000000011</c:v>
                </c:pt>
                <c:pt idx="1492">
                  <c:v>17958.330000000009</c:v>
                </c:pt>
                <c:pt idx="1493">
                  <c:v>17951.150000000009</c:v>
                </c:pt>
                <c:pt idx="1494">
                  <c:v>17936.880000000008</c:v>
                </c:pt>
                <c:pt idx="1495">
                  <c:v>17789.200000000008</c:v>
                </c:pt>
                <c:pt idx="1496">
                  <c:v>17836.810000000009</c:v>
                </c:pt>
                <c:pt idx="1497">
                  <c:v>17859.340000000007</c:v>
                </c:pt>
                <c:pt idx="1498">
                  <c:v>17774.73000000001</c:v>
                </c:pt>
                <c:pt idx="1499">
                  <c:v>17771.090000000011</c:v>
                </c:pt>
                <c:pt idx="1500">
                  <c:v>17695.160000000011</c:v>
                </c:pt>
                <c:pt idx="1501">
                  <c:v>17869.890000000014</c:v>
                </c:pt>
                <c:pt idx="1502">
                  <c:v>18014.260000000013</c:v>
                </c:pt>
                <c:pt idx="1503">
                  <c:v>18026.040000000015</c:v>
                </c:pt>
                <c:pt idx="1504">
                  <c:v>18007.360000000015</c:v>
                </c:pt>
                <c:pt idx="1505">
                  <c:v>18004.750000000015</c:v>
                </c:pt>
                <c:pt idx="1506">
                  <c:v>18105.860000000015</c:v>
                </c:pt>
                <c:pt idx="1507">
                  <c:v>18049.180000000015</c:v>
                </c:pt>
                <c:pt idx="1508">
                  <c:v>17983.380000000016</c:v>
                </c:pt>
                <c:pt idx="1509">
                  <c:v>17859.800000000014</c:v>
                </c:pt>
                <c:pt idx="1510">
                  <c:v>17862.340000000015</c:v>
                </c:pt>
                <c:pt idx="1511">
                  <c:v>18004.860000000015</c:v>
                </c:pt>
                <c:pt idx="1512">
                  <c:v>17922.100000000013</c:v>
                </c:pt>
                <c:pt idx="1513">
                  <c:v>18038.600000000013</c:v>
                </c:pt>
                <c:pt idx="1514">
                  <c:v>18014.200000000015</c:v>
                </c:pt>
                <c:pt idx="1515">
                  <c:v>18008.440000000013</c:v>
                </c:pt>
                <c:pt idx="1516">
                  <c:v>18035.000000000015</c:v>
                </c:pt>
                <c:pt idx="1517">
                  <c:v>17980.860000000015</c:v>
                </c:pt>
                <c:pt idx="1518">
                  <c:v>17791.060000000012</c:v>
                </c:pt>
                <c:pt idx="1519">
                  <c:v>17735.820000000014</c:v>
                </c:pt>
                <c:pt idx="1520">
                  <c:v>17857.320000000014</c:v>
                </c:pt>
                <c:pt idx="1521">
                  <c:v>17753.400000000012</c:v>
                </c:pt>
                <c:pt idx="1522">
                  <c:v>17641.700000000015</c:v>
                </c:pt>
                <c:pt idx="1523">
                  <c:v>17462.660000000014</c:v>
                </c:pt>
                <c:pt idx="1524">
                  <c:v>17454.480000000014</c:v>
                </c:pt>
                <c:pt idx="1525">
                  <c:v>17424.960000000014</c:v>
                </c:pt>
                <c:pt idx="1526">
                  <c:v>17486.270000000011</c:v>
                </c:pt>
                <c:pt idx="1527">
                  <c:v>17507.87000000001</c:v>
                </c:pt>
                <c:pt idx="1528">
                  <c:v>17521.55000000001</c:v>
                </c:pt>
                <c:pt idx="1529">
                  <c:v>17686.71000000001</c:v>
                </c:pt>
                <c:pt idx="1530">
                  <c:v>17760.220000000008</c:v>
                </c:pt>
                <c:pt idx="1531">
                  <c:v>17698.880000000012</c:v>
                </c:pt>
                <c:pt idx="1532">
                  <c:v>17808.720000000012</c:v>
                </c:pt>
                <c:pt idx="1533">
                  <c:v>17862.250000000015</c:v>
                </c:pt>
                <c:pt idx="1534">
                  <c:v>17713.540000000015</c:v>
                </c:pt>
                <c:pt idx="1535">
                  <c:v>17693.770000000015</c:v>
                </c:pt>
                <c:pt idx="1536">
                  <c:v>17204.410000000011</c:v>
                </c:pt>
                <c:pt idx="1537">
                  <c:v>16829.800000000014</c:v>
                </c:pt>
                <c:pt idx="1538">
                  <c:v>17086.610000000008</c:v>
                </c:pt>
                <c:pt idx="1539">
                  <c:v>17091.090000000011</c:v>
                </c:pt>
                <c:pt idx="1540">
                  <c:v>16737.05000000001</c:v>
                </c:pt>
                <c:pt idx="1541">
                  <c:v>16735.740000000013</c:v>
                </c:pt>
                <c:pt idx="1542">
                  <c:v>16630.320000000014</c:v>
                </c:pt>
                <c:pt idx="1543">
                  <c:v>16697.260000000017</c:v>
                </c:pt>
                <c:pt idx="1544">
                  <c:v>16720.680000000015</c:v>
                </c:pt>
                <c:pt idx="1545">
                  <c:v>16666.920000000013</c:v>
                </c:pt>
                <c:pt idx="1546">
                  <c:v>16632.470000000012</c:v>
                </c:pt>
                <c:pt idx="1547">
                  <c:v>16599.80000000001</c:v>
                </c:pt>
                <c:pt idx="1548">
                  <c:v>16578.500000000011</c:v>
                </c:pt>
                <c:pt idx="1549">
                  <c:v>16673.020000000011</c:v>
                </c:pt>
                <c:pt idx="1550">
                  <c:v>16752.23000000001</c:v>
                </c:pt>
                <c:pt idx="1551">
                  <c:v>16839.46000000001</c:v>
                </c:pt>
                <c:pt idx="1552">
                  <c:v>16874.360000000008</c:v>
                </c:pt>
                <c:pt idx="1553">
                  <c:v>16891.30000000001</c:v>
                </c:pt>
                <c:pt idx="1554">
                  <c:v>16971.30000000001</c:v>
                </c:pt>
                <c:pt idx="1555">
                  <c:v>16869.260000000009</c:v>
                </c:pt>
                <c:pt idx="1556">
                  <c:v>16821.520000000008</c:v>
                </c:pt>
                <c:pt idx="1557">
                  <c:v>16654.12000000001</c:v>
                </c:pt>
                <c:pt idx="1558">
                  <c:v>16304.44000000001</c:v>
                </c:pt>
                <c:pt idx="1559">
                  <c:v>16290.740000000009</c:v>
                </c:pt>
                <c:pt idx="1560">
                  <c:v>16284.03000000001</c:v>
                </c:pt>
                <c:pt idx="1561">
                  <c:v>16377.590000000009</c:v>
                </c:pt>
                <c:pt idx="1562">
                  <c:v>16341.250000000009</c:v>
                </c:pt>
                <c:pt idx="1563">
                  <c:v>16327.250000000009</c:v>
                </c:pt>
                <c:pt idx="1564">
                  <c:v>16508.850000000009</c:v>
                </c:pt>
                <c:pt idx="1565">
                  <c:v>16519.820000000007</c:v>
                </c:pt>
                <c:pt idx="1566">
                  <c:v>16568.000000000007</c:v>
                </c:pt>
                <c:pt idx="1567">
                  <c:v>16486.19000000001</c:v>
                </c:pt>
                <c:pt idx="1568">
                  <c:v>16596.920000000009</c:v>
                </c:pt>
                <c:pt idx="1569">
                  <c:v>16662.48000000001</c:v>
                </c:pt>
                <c:pt idx="1570">
                  <c:v>16561.900000000012</c:v>
                </c:pt>
                <c:pt idx="1571">
                  <c:v>16315.860000000011</c:v>
                </c:pt>
                <c:pt idx="1572">
                  <c:v>16430.260000000009</c:v>
                </c:pt>
                <c:pt idx="1573">
                  <c:v>16196.94000000001</c:v>
                </c:pt>
                <c:pt idx="1574">
                  <c:v>15941.220000000012</c:v>
                </c:pt>
                <c:pt idx="1575">
                  <c:v>15817.140000000012</c:v>
                </c:pt>
                <c:pt idx="1576">
                  <c:v>15353.000000000011</c:v>
                </c:pt>
                <c:pt idx="1577">
                  <c:v>15052.670000000011</c:v>
                </c:pt>
                <c:pt idx="1578">
                  <c:v>14992.990000000011</c:v>
                </c:pt>
                <c:pt idx="1579">
                  <c:v>15236.19000000001</c:v>
                </c:pt>
                <c:pt idx="1580">
                  <c:v>15218.96000000001</c:v>
                </c:pt>
                <c:pt idx="1581">
                  <c:v>15136.89000000001</c:v>
                </c:pt>
                <c:pt idx="1582">
                  <c:v>15319.260000000009</c:v>
                </c:pt>
                <c:pt idx="1583">
                  <c:v>15298.46000000001</c:v>
                </c:pt>
                <c:pt idx="1584">
                  <c:v>15241.63000000001</c:v>
                </c:pt>
                <c:pt idx="1585">
                  <c:v>15114.840000000011</c:v>
                </c:pt>
                <c:pt idx="1586">
                  <c:v>14914.23000000001</c:v>
                </c:pt>
                <c:pt idx="1587">
                  <c:v>14914.23000000001</c:v>
                </c:pt>
                <c:pt idx="1588">
                  <c:v>14914.23000000001</c:v>
                </c:pt>
                <c:pt idx="1589">
                  <c:v>14914.23000000001</c:v>
                </c:pt>
                <c:pt idx="1590">
                  <c:v>14914.23000000001</c:v>
                </c:pt>
                <c:pt idx="1591">
                  <c:v>14914.23000000001</c:v>
                </c:pt>
                <c:pt idx="1592">
                  <c:v>14914.23000000001</c:v>
                </c:pt>
                <c:pt idx="1593">
                  <c:v>14914.23000000001</c:v>
                </c:pt>
                <c:pt idx="1594">
                  <c:v>14914.23000000001</c:v>
                </c:pt>
                <c:pt idx="1595">
                  <c:v>14914.23000000001</c:v>
                </c:pt>
                <c:pt idx="1596">
                  <c:v>14914.23000000001</c:v>
                </c:pt>
                <c:pt idx="1597">
                  <c:v>14914.23000000001</c:v>
                </c:pt>
                <c:pt idx="1598">
                  <c:v>14914.23000000001</c:v>
                </c:pt>
                <c:pt idx="1599">
                  <c:v>14914.23000000001</c:v>
                </c:pt>
                <c:pt idx="1600">
                  <c:v>14914.23000000001</c:v>
                </c:pt>
                <c:pt idx="1601">
                  <c:v>14914.23000000001</c:v>
                </c:pt>
                <c:pt idx="1602">
                  <c:v>14914.23000000001</c:v>
                </c:pt>
                <c:pt idx="1603">
                  <c:v>14914.23000000001</c:v>
                </c:pt>
                <c:pt idx="1604">
                  <c:v>14903.13000000001</c:v>
                </c:pt>
                <c:pt idx="1605">
                  <c:v>14711.410000000011</c:v>
                </c:pt>
                <c:pt idx="1606">
                  <c:v>14807.930000000011</c:v>
                </c:pt>
                <c:pt idx="1607">
                  <c:v>14795.96000000001</c:v>
                </c:pt>
                <c:pt idx="1608">
                  <c:v>14752.930000000011</c:v>
                </c:pt>
                <c:pt idx="1609">
                  <c:v>14983.310000000012</c:v>
                </c:pt>
                <c:pt idx="1610">
                  <c:v>15242.590000000011</c:v>
                </c:pt>
                <c:pt idx="1611">
                  <c:v>15561.060000000012</c:v>
                </c:pt>
                <c:pt idx="1612">
                  <c:v>15135.400000000012</c:v>
                </c:pt>
                <c:pt idx="1613">
                  <c:v>15021.340000000013</c:v>
                </c:pt>
                <c:pt idx="1614">
                  <c:v>14950.080000000013</c:v>
                </c:pt>
                <c:pt idx="1615">
                  <c:v>14864.540000000012</c:v>
                </c:pt>
                <c:pt idx="1616">
                  <c:v>15287.360000000011</c:v>
                </c:pt>
                <c:pt idx="1617">
                  <c:v>15219.560000000012</c:v>
                </c:pt>
                <c:pt idx="1618">
                  <c:v>15337.000000000013</c:v>
                </c:pt>
                <c:pt idx="1619">
                  <c:v>15051.300000000012</c:v>
                </c:pt>
                <c:pt idx="1620">
                  <c:v>14891.380000000012</c:v>
                </c:pt>
                <c:pt idx="1621">
                  <c:v>14517.880000000012</c:v>
                </c:pt>
                <c:pt idx="1622">
                  <c:v>14550.600000000011</c:v>
                </c:pt>
                <c:pt idx="1623">
                  <c:v>14463.790000000012</c:v>
                </c:pt>
                <c:pt idx="1624">
                  <c:v>14534.040000000012</c:v>
                </c:pt>
                <c:pt idx="1625">
                  <c:v>14431.000000000011</c:v>
                </c:pt>
                <c:pt idx="1626">
                  <c:v>14540.000000000011</c:v>
                </c:pt>
                <c:pt idx="1627">
                  <c:v>14540.000000000011</c:v>
                </c:pt>
                <c:pt idx="1628">
                  <c:v>14540.000000000011</c:v>
                </c:pt>
                <c:pt idx="1629">
                  <c:v>14540.000000000011</c:v>
                </c:pt>
              </c:numCache>
            </c:numRef>
          </c:val>
        </c:ser>
        <c:marker val="1"/>
        <c:axId val="144413440"/>
        <c:axId val="144414976"/>
      </c:lineChart>
      <c:catAx>
        <c:axId val="144413440"/>
        <c:scaling>
          <c:orientation val="minMax"/>
        </c:scaling>
        <c:axPos val="b"/>
        <c:tickLblPos val="nextTo"/>
        <c:crossAx val="144414976"/>
        <c:crosses val="autoZero"/>
        <c:auto val="1"/>
        <c:lblAlgn val="ctr"/>
        <c:lblOffset val="500"/>
        <c:tickLblSkip val="500"/>
      </c:catAx>
      <c:valAx>
        <c:axId val="144414976"/>
        <c:scaling>
          <c:orientation val="minMax"/>
        </c:scaling>
        <c:axPos val="l"/>
        <c:numFmt formatCode="#,##0.00_);\(#,##0.00\)" sourceLinked="0"/>
        <c:tickLblPos val="nextTo"/>
        <c:crossAx val="1444134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845860176568841"/>
          <c:y val="0.56518946002013271"/>
          <c:w val="0.13468013468013471"/>
          <c:h val="0.1148121197819973"/>
        </c:manualLayout>
      </c:layout>
    </c:legend>
    <c:plotVisOnly val="1"/>
    <c:dispBlanksAs val="gap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6.5113517060367471E-2"/>
          <c:y val="7.4548702245552642E-2"/>
          <c:w val="0.72080314960629921"/>
          <c:h val="0.81870771361913142"/>
        </c:manualLayout>
      </c:layout>
      <c:lineChart>
        <c:grouping val="standard"/>
        <c:ser>
          <c:idx val="0"/>
          <c:order val="0"/>
          <c:tx>
            <c:v>std1</c:v>
          </c:tx>
          <c:marker>
            <c:symbol val="none"/>
          </c:marker>
          <c:val>
            <c:numRef>
              <c:f>result!$Q$52:$Q$200</c:f>
              <c:numCache>
                <c:formatCode>General</c:formatCode>
                <c:ptCount val="149"/>
                <c:pt idx="0">
                  <c:v>0.65040520050706363</c:v>
                </c:pt>
                <c:pt idx="1">
                  <c:v>0.58025650825843467</c:v>
                </c:pt>
                <c:pt idx="2">
                  <c:v>0.58022788345726939</c:v>
                </c:pt>
                <c:pt idx="3">
                  <c:v>0.71728673286294853</c:v>
                </c:pt>
                <c:pt idx="4">
                  <c:v>0.69053218152337825</c:v>
                </c:pt>
                <c:pt idx="5">
                  <c:v>0.68008308648288596</c:v>
                </c:pt>
                <c:pt idx="6">
                  <c:v>0.67262124650451649</c:v>
                </c:pt>
                <c:pt idx="7">
                  <c:v>0.71652528080799949</c:v>
                </c:pt>
                <c:pt idx="8">
                  <c:v>0.72588315597169817</c:v>
                </c:pt>
                <c:pt idx="9">
                  <c:v>0.72008059939752023</c:v>
                </c:pt>
                <c:pt idx="10">
                  <c:v>0.68933206762597476</c:v>
                </c:pt>
                <c:pt idx="11">
                  <c:v>0.72255638566032321</c:v>
                </c:pt>
                <c:pt idx="12">
                  <c:v>0.77555932197241817</c:v>
                </c:pt>
                <c:pt idx="13">
                  <c:v>0.71631302594219237</c:v>
                </c:pt>
                <c:pt idx="14">
                  <c:v>0.72412928970350432</c:v>
                </c:pt>
                <c:pt idx="15">
                  <c:v>0.54220721226386637</c:v>
                </c:pt>
                <c:pt idx="16">
                  <c:v>0.55765285588596347</c:v>
                </c:pt>
                <c:pt idx="17">
                  <c:v>0.66607440497068415</c:v>
                </c:pt>
                <c:pt idx="18">
                  <c:v>1.0697784164208808</c:v>
                </c:pt>
                <c:pt idx="19">
                  <c:v>1.1223052206925113</c:v>
                </c:pt>
                <c:pt idx="20">
                  <c:v>1.125075164422862</c:v>
                </c:pt>
                <c:pt idx="21">
                  <c:v>1.1708947201128317</c:v>
                </c:pt>
                <c:pt idx="22">
                  <c:v>1.1244649813618743</c:v>
                </c:pt>
                <c:pt idx="23">
                  <c:v>1.1382322303151204</c:v>
                </c:pt>
                <c:pt idx="24">
                  <c:v>1.1859369094896941</c:v>
                </c:pt>
                <c:pt idx="25">
                  <c:v>1.1784554805271248</c:v>
                </c:pt>
                <c:pt idx="26">
                  <c:v>1.2675841713144864</c:v>
                </c:pt>
                <c:pt idx="27">
                  <c:v>1.192122476167963</c:v>
                </c:pt>
                <c:pt idx="28">
                  <c:v>0.64125696065582205</c:v>
                </c:pt>
                <c:pt idx="29">
                  <c:v>0.63734207658541442</c:v>
                </c:pt>
                <c:pt idx="30">
                  <c:v>0.79155623057079416</c:v>
                </c:pt>
                <c:pt idx="31">
                  <c:v>0.79594510757398373</c:v>
                </c:pt>
                <c:pt idx="32">
                  <c:v>0.80786425710421361</c:v>
                </c:pt>
                <c:pt idx="33">
                  <c:v>0.83370871055709428</c:v>
                </c:pt>
                <c:pt idx="34">
                  <c:v>0.85670355834839584</c:v>
                </c:pt>
                <c:pt idx="35">
                  <c:v>0.82510097366779911</c:v>
                </c:pt>
                <c:pt idx="36">
                  <c:v>0.79519540976631198</c:v>
                </c:pt>
                <c:pt idx="37">
                  <c:v>0.85688650835125557</c:v>
                </c:pt>
                <c:pt idx="38">
                  <c:v>0.88623411924362094</c:v>
                </c:pt>
                <c:pt idx="39">
                  <c:v>0.87903687770815953</c:v>
                </c:pt>
                <c:pt idx="40">
                  <c:v>0.70564446898672595</c:v>
                </c:pt>
                <c:pt idx="41">
                  <c:v>0.6781211586002962</c:v>
                </c:pt>
                <c:pt idx="42">
                  <c:v>0.76901943519445137</c:v>
                </c:pt>
                <c:pt idx="43">
                  <c:v>0.78478744995305716</c:v>
                </c:pt>
                <c:pt idx="44">
                  <c:v>0.77352696284997013</c:v>
                </c:pt>
                <c:pt idx="45">
                  <c:v>0.82066882238797823</c:v>
                </c:pt>
                <c:pt idx="46">
                  <c:v>0.83024960477888532</c:v>
                </c:pt>
                <c:pt idx="47">
                  <c:v>0.7621436779151729</c:v>
                </c:pt>
                <c:pt idx="48">
                  <c:v>0.7260687957032198</c:v>
                </c:pt>
                <c:pt idx="49">
                  <c:v>0.77391224697034877</c:v>
                </c:pt>
                <c:pt idx="50">
                  <c:v>0.73843326432504097</c:v>
                </c:pt>
                <c:pt idx="51">
                  <c:v>0.78821995839329262</c:v>
                </c:pt>
                <c:pt idx="52">
                  <c:v>0.60955634220875798</c:v>
                </c:pt>
                <c:pt idx="53">
                  <c:v>0.67823159197774463</c:v>
                </c:pt>
                <c:pt idx="54">
                  <c:v>0.6552807688897847</c:v>
                </c:pt>
                <c:pt idx="55">
                  <c:v>0.67306241474338524</c:v>
                </c:pt>
                <c:pt idx="56">
                  <c:v>0.66343548808248076</c:v>
                </c:pt>
                <c:pt idx="57">
                  <c:v>0.66966077562578241</c:v>
                </c:pt>
                <c:pt idx="58">
                  <c:v>0.70709616679254506</c:v>
                </c:pt>
                <c:pt idx="59">
                  <c:v>0.62477277858769786</c:v>
                </c:pt>
                <c:pt idx="60">
                  <c:v>0.57943388545391328</c:v>
                </c:pt>
                <c:pt idx="61">
                  <c:v>0.52082190399798911</c:v>
                </c:pt>
                <c:pt idx="62">
                  <c:v>0.52169257141259973</c:v>
                </c:pt>
                <c:pt idx="63">
                  <c:v>0.48818501256300845</c:v>
                </c:pt>
                <c:pt idx="64">
                  <c:v>0.5465870777250309</c:v>
                </c:pt>
                <c:pt idx="65">
                  <c:v>0.5102148734244617</c:v>
                </c:pt>
                <c:pt idx="66">
                  <c:v>0.55921068963614884</c:v>
                </c:pt>
                <c:pt idx="67">
                  <c:v>0.59726784068823302</c:v>
                </c:pt>
                <c:pt idx="68">
                  <c:v>0.56865924245129673</c:v>
                </c:pt>
                <c:pt idx="69">
                  <c:v>0.70746151674706659</c:v>
                </c:pt>
                <c:pt idx="70">
                  <c:v>0.68854208472292111</c:v>
                </c:pt>
                <c:pt idx="71">
                  <c:v>0.70698648891798055</c:v>
                </c:pt>
                <c:pt idx="72">
                  <c:v>0.70638405816105576</c:v>
                </c:pt>
                <c:pt idx="73">
                  <c:v>0.72716410340599802</c:v>
                </c:pt>
                <c:pt idx="74">
                  <c:v>0.55733004804729847</c:v>
                </c:pt>
                <c:pt idx="75">
                  <c:v>0.53381148862825811</c:v>
                </c:pt>
                <c:pt idx="76">
                  <c:v>0.52580052534684441</c:v>
                </c:pt>
                <c:pt idx="77">
                  <c:v>0.74960236473059982</c:v>
                </c:pt>
                <c:pt idx="78">
                  <c:v>0.80710942896584381</c:v>
                </c:pt>
                <c:pt idx="79">
                  <c:v>0.63361625596274762</c:v>
                </c:pt>
                <c:pt idx="80">
                  <c:v>0.64613770607427223</c:v>
                </c:pt>
                <c:pt idx="81">
                  <c:v>0.65312507773991768</c:v>
                </c:pt>
                <c:pt idx="82">
                  <c:v>0.64980122814653751</c:v>
                </c:pt>
                <c:pt idx="83">
                  <c:v>0.57987374596161023</c:v>
                </c:pt>
                <c:pt idx="84">
                  <c:v>0.61387808403596622</c:v>
                </c:pt>
                <c:pt idx="85">
                  <c:v>0.61844040551534507</c:v>
                </c:pt>
                <c:pt idx="86">
                  <c:v>0.60578820923904397</c:v>
                </c:pt>
                <c:pt idx="87">
                  <c:v>0.54613414222144185</c:v>
                </c:pt>
                <c:pt idx="88">
                  <c:v>0.50012435331568728</c:v>
                </c:pt>
                <c:pt idx="89">
                  <c:v>0.55516525047863463</c:v>
                </c:pt>
                <c:pt idx="90">
                  <c:v>0.58554362262040138</c:v>
                </c:pt>
                <c:pt idx="91">
                  <c:v>0.58631576825923037</c:v>
                </c:pt>
                <c:pt idx="92">
                  <c:v>0.62655769781963988</c:v>
                </c:pt>
                <c:pt idx="93">
                  <c:v>0.86218332567668499</c:v>
                </c:pt>
                <c:pt idx="94">
                  <c:v>0.8468935757608963</c:v>
                </c:pt>
                <c:pt idx="95">
                  <c:v>0.91504608301667323</c:v>
                </c:pt>
                <c:pt idx="96">
                  <c:v>0.88886604422206794</c:v>
                </c:pt>
                <c:pt idx="97">
                  <c:v>0.85373045259781588</c:v>
                </c:pt>
                <c:pt idx="98">
                  <c:v>0.82804961872004001</c:v>
                </c:pt>
                <c:pt idx="99">
                  <c:v>0.78844392246623474</c:v>
                </c:pt>
                <c:pt idx="100">
                  <c:v>0.90123956485588641</c:v>
                </c:pt>
                <c:pt idx="101">
                  <c:v>0.90136945989284023</c:v>
                </c:pt>
                <c:pt idx="102">
                  <c:v>0.87201032031591086</c:v>
                </c:pt>
                <c:pt idx="103">
                  <c:v>0.56014394861639449</c:v>
                </c:pt>
                <c:pt idx="104">
                  <c:v>0.56271482746539936</c:v>
                </c:pt>
                <c:pt idx="105">
                  <c:v>0.64144598028159128</c:v>
                </c:pt>
                <c:pt idx="106">
                  <c:v>0.63527952310069924</c:v>
                </c:pt>
                <c:pt idx="107">
                  <c:v>0.68530785456936294</c:v>
                </c:pt>
                <c:pt idx="108">
                  <c:v>0.67709528629127547</c:v>
                </c:pt>
                <c:pt idx="109">
                  <c:v>0.72051878208130493</c:v>
                </c:pt>
                <c:pt idx="110">
                  <c:v>0.6717351331116892</c:v>
                </c:pt>
                <c:pt idx="111">
                  <c:v>0.66505830975182567</c:v>
                </c:pt>
                <c:pt idx="112">
                  <c:v>0.66680665937446149</c:v>
                </c:pt>
                <c:pt idx="113">
                  <c:v>0.84618300129694646</c:v>
                </c:pt>
                <c:pt idx="114">
                  <c:v>0.82188419964864901</c:v>
                </c:pt>
                <c:pt idx="115">
                  <c:v>0.81110850243562216</c:v>
                </c:pt>
                <c:pt idx="116">
                  <c:v>0.81147594337665674</c:v>
                </c:pt>
                <c:pt idx="117">
                  <c:v>0.7298277108960296</c:v>
                </c:pt>
                <c:pt idx="118">
                  <c:v>0.74348517909454048</c:v>
                </c:pt>
                <c:pt idx="119">
                  <c:v>0.76898474027948649</c:v>
                </c:pt>
                <c:pt idx="120">
                  <c:v>0.56962462008090131</c:v>
                </c:pt>
                <c:pt idx="121">
                  <c:v>0.57393879048473873</c:v>
                </c:pt>
                <c:pt idx="122">
                  <c:v>0.70194606157035455</c:v>
                </c:pt>
                <c:pt idx="123">
                  <c:v>0.59396412853929126</c:v>
                </c:pt>
                <c:pt idx="124">
                  <c:v>0.59506233962799981</c:v>
                </c:pt>
                <c:pt idx="125">
                  <c:v>0.67715817576958792</c:v>
                </c:pt>
                <c:pt idx="126">
                  <c:v>0.69942499976237704</c:v>
                </c:pt>
                <c:pt idx="127">
                  <c:v>0.82819749130680564</c:v>
                </c:pt>
                <c:pt idx="128">
                  <c:v>0.84066337899296206</c:v>
                </c:pt>
                <c:pt idx="129">
                  <c:v>0.76976773024030087</c:v>
                </c:pt>
                <c:pt idx="130">
                  <c:v>0.78388108744522911</c:v>
                </c:pt>
                <c:pt idx="131">
                  <c:v>0.78508370752641765</c:v>
                </c:pt>
                <c:pt idx="132">
                  <c:v>0.89825857007137166</c:v>
                </c:pt>
                <c:pt idx="133">
                  <c:v>1.0375961601492429</c:v>
                </c:pt>
                <c:pt idx="134">
                  <c:v>1.0374939865195605</c:v>
                </c:pt>
                <c:pt idx="135">
                  <c:v>0.97922979735209159</c:v>
                </c:pt>
                <c:pt idx="136">
                  <c:v>0.95256673328694996</c:v>
                </c:pt>
                <c:pt idx="137">
                  <c:v>0.80099517132008768</c:v>
                </c:pt>
                <c:pt idx="138">
                  <c:v>0.74223715121248801</c:v>
                </c:pt>
                <c:pt idx="139">
                  <c:v>0.75835284142708215</c:v>
                </c:pt>
                <c:pt idx="140">
                  <c:v>0.90101454934310221</c:v>
                </c:pt>
                <c:pt idx="141">
                  <c:v>0.9122124818732551</c:v>
                </c:pt>
                <c:pt idx="142">
                  <c:v>0.79964850983059943</c:v>
                </c:pt>
                <c:pt idx="143">
                  <c:v>0.82054386601334739</c:v>
                </c:pt>
                <c:pt idx="144">
                  <c:v>0.81983094950662205</c:v>
                </c:pt>
                <c:pt idx="145">
                  <c:v>0.95768142608210927</c:v>
                </c:pt>
                <c:pt idx="146">
                  <c:v>1.0860573351172587</c:v>
                </c:pt>
                <c:pt idx="147">
                  <c:v>1.0971338070379755</c:v>
                </c:pt>
                <c:pt idx="148">
                  <c:v>1.0925743879189649</c:v>
                </c:pt>
              </c:numCache>
            </c:numRef>
          </c:val>
        </c:ser>
        <c:ser>
          <c:idx val="1"/>
          <c:order val="1"/>
          <c:tx>
            <c:v>std2</c:v>
          </c:tx>
          <c:marker>
            <c:symbol val="none"/>
          </c:marker>
          <c:val>
            <c:numRef>
              <c:f>result!$R$52:$R$200</c:f>
              <c:numCache>
                <c:formatCode>General</c:formatCode>
                <c:ptCount val="149"/>
                <c:pt idx="0">
                  <c:v>0.73786990994144974</c:v>
                </c:pt>
                <c:pt idx="1">
                  <c:v>0.72369238698533234</c:v>
                </c:pt>
                <c:pt idx="2">
                  <c:v>0.72479692779107729</c:v>
                </c:pt>
                <c:pt idx="3">
                  <c:v>0.7347824939960188</c:v>
                </c:pt>
                <c:pt idx="4">
                  <c:v>0.73630652681574649</c:v>
                </c:pt>
                <c:pt idx="5">
                  <c:v>0.76647236581644662</c:v>
                </c:pt>
                <c:pt idx="6">
                  <c:v>0.73338507091894034</c:v>
                </c:pt>
                <c:pt idx="7">
                  <c:v>0.74203384127087801</c:v>
                </c:pt>
                <c:pt idx="8">
                  <c:v>0.73188360034291455</c:v>
                </c:pt>
                <c:pt idx="9">
                  <c:v>0.73272482700604524</c:v>
                </c:pt>
                <c:pt idx="10">
                  <c:v>0.72756732624182008</c:v>
                </c:pt>
                <c:pt idx="11">
                  <c:v>0.6707389790657412</c:v>
                </c:pt>
                <c:pt idx="12">
                  <c:v>0.68411340995673975</c:v>
                </c:pt>
                <c:pt idx="13">
                  <c:v>0.68732823438253787</c:v>
                </c:pt>
                <c:pt idx="14">
                  <c:v>0.68710410353398099</c:v>
                </c:pt>
                <c:pt idx="15">
                  <c:v>0.65434744124694222</c:v>
                </c:pt>
                <c:pt idx="16">
                  <c:v>0.65523135039352765</c:v>
                </c:pt>
                <c:pt idx="17">
                  <c:v>0.68941969928785385</c:v>
                </c:pt>
                <c:pt idx="18">
                  <c:v>0.81049252470773747</c:v>
                </c:pt>
                <c:pt idx="19">
                  <c:v>0.80717954333131781</c:v>
                </c:pt>
                <c:pt idx="20">
                  <c:v>0.81112806344055333</c:v>
                </c:pt>
                <c:pt idx="21">
                  <c:v>0.81592242105440338</c:v>
                </c:pt>
                <c:pt idx="22">
                  <c:v>0.81908393617725117</c:v>
                </c:pt>
                <c:pt idx="23">
                  <c:v>0.81989554326412739</c:v>
                </c:pt>
                <c:pt idx="24">
                  <c:v>0.80161671919551447</c:v>
                </c:pt>
                <c:pt idx="25">
                  <c:v>0.78623926388744791</c:v>
                </c:pt>
                <c:pt idx="26">
                  <c:v>0.81036290063526961</c:v>
                </c:pt>
                <c:pt idx="27">
                  <c:v>0.81070843918120628</c:v>
                </c:pt>
                <c:pt idx="28">
                  <c:v>0.81111222686020057</c:v>
                </c:pt>
                <c:pt idx="29">
                  <c:v>0.8055515526296082</c:v>
                </c:pt>
                <c:pt idx="30">
                  <c:v>0.87668268075050149</c:v>
                </c:pt>
                <c:pt idx="31">
                  <c:v>0.87747240907384105</c:v>
                </c:pt>
                <c:pt idx="32">
                  <c:v>0.87673540916788162</c:v>
                </c:pt>
                <c:pt idx="33">
                  <c:v>0.87603996996113553</c:v>
                </c:pt>
                <c:pt idx="34">
                  <c:v>0.87207978114079321</c:v>
                </c:pt>
                <c:pt idx="35">
                  <c:v>0.84356918003114634</c:v>
                </c:pt>
                <c:pt idx="36">
                  <c:v>0.85348452250930906</c:v>
                </c:pt>
                <c:pt idx="37">
                  <c:v>0.85969797218959754</c:v>
                </c:pt>
                <c:pt idx="38">
                  <c:v>0.86232371288762022</c:v>
                </c:pt>
                <c:pt idx="39">
                  <c:v>0.86085318385553866</c:v>
                </c:pt>
                <c:pt idx="40">
                  <c:v>0.8836869770110346</c:v>
                </c:pt>
                <c:pt idx="41">
                  <c:v>0.88454026899985072</c:v>
                </c:pt>
                <c:pt idx="42">
                  <c:v>0.90188029645408796</c:v>
                </c:pt>
                <c:pt idx="43">
                  <c:v>0.88648736330683509</c:v>
                </c:pt>
                <c:pt idx="44">
                  <c:v>0.88695871744336907</c:v>
                </c:pt>
                <c:pt idx="45">
                  <c:v>0.86935160192470973</c:v>
                </c:pt>
                <c:pt idx="46">
                  <c:v>0.88043163528843593</c:v>
                </c:pt>
                <c:pt idx="47">
                  <c:v>0.87247834971923122</c:v>
                </c:pt>
                <c:pt idx="48">
                  <c:v>0.87034140521855807</c:v>
                </c:pt>
                <c:pt idx="49">
                  <c:v>0.87634154664100006</c:v>
                </c:pt>
                <c:pt idx="50">
                  <c:v>0.89482779973991067</c:v>
                </c:pt>
                <c:pt idx="51">
                  <c:v>0.90428380336270653</c:v>
                </c:pt>
                <c:pt idx="52">
                  <c:v>0.89735876620801791</c:v>
                </c:pt>
                <c:pt idx="53">
                  <c:v>0.89297329823742033</c:v>
                </c:pt>
                <c:pt idx="54">
                  <c:v>0.90282673981043982</c:v>
                </c:pt>
                <c:pt idx="55">
                  <c:v>0.90428589477366528</c:v>
                </c:pt>
                <c:pt idx="56">
                  <c:v>0.90814448731445874</c:v>
                </c:pt>
                <c:pt idx="57">
                  <c:v>0.87487432397600084</c:v>
                </c:pt>
                <c:pt idx="58">
                  <c:v>0.71979603185004748</c:v>
                </c:pt>
                <c:pt idx="59">
                  <c:v>0.72245529183448087</c:v>
                </c:pt>
                <c:pt idx="60">
                  <c:v>0.69783024943847394</c:v>
                </c:pt>
                <c:pt idx="61">
                  <c:v>0.6966104069352943</c:v>
                </c:pt>
                <c:pt idx="62">
                  <c:v>0.69643924807749868</c:v>
                </c:pt>
                <c:pt idx="63">
                  <c:v>0.70129895441245194</c:v>
                </c:pt>
                <c:pt idx="64">
                  <c:v>0.71437467664637244</c:v>
                </c:pt>
                <c:pt idx="65">
                  <c:v>0.70547654784640246</c:v>
                </c:pt>
                <c:pt idx="66">
                  <c:v>0.70163645110676021</c:v>
                </c:pt>
                <c:pt idx="67">
                  <c:v>0.70631162385313995</c:v>
                </c:pt>
                <c:pt idx="68">
                  <c:v>0.70558825116663981</c:v>
                </c:pt>
                <c:pt idx="69">
                  <c:v>0.7445875515470195</c:v>
                </c:pt>
                <c:pt idx="70">
                  <c:v>0.67539901000794689</c:v>
                </c:pt>
                <c:pt idx="71">
                  <c:v>0.67197916318332074</c:v>
                </c:pt>
                <c:pt idx="72">
                  <c:v>0.67195970748067091</c:v>
                </c:pt>
                <c:pt idx="73">
                  <c:v>0.67940199384687106</c:v>
                </c:pt>
                <c:pt idx="74">
                  <c:v>0.67235222157572117</c:v>
                </c:pt>
                <c:pt idx="75">
                  <c:v>0.67318029409607982</c:v>
                </c:pt>
                <c:pt idx="76">
                  <c:v>0.66573956917600385</c:v>
                </c:pt>
                <c:pt idx="77">
                  <c:v>0.6838634017729851</c:v>
                </c:pt>
                <c:pt idx="78">
                  <c:v>0.68569012943188989</c:v>
                </c:pt>
                <c:pt idx="79">
                  <c:v>0.68470137911636852</c:v>
                </c:pt>
                <c:pt idx="80">
                  <c:v>0.66316425309028693</c:v>
                </c:pt>
                <c:pt idx="81">
                  <c:v>0.66100553956564922</c:v>
                </c:pt>
                <c:pt idx="82">
                  <c:v>0.62380474155607302</c:v>
                </c:pt>
                <c:pt idx="83">
                  <c:v>0.62326225245254585</c:v>
                </c:pt>
                <c:pt idx="84">
                  <c:v>0.62618449627227268</c:v>
                </c:pt>
                <c:pt idx="85">
                  <c:v>0.62030998919717584</c:v>
                </c:pt>
                <c:pt idx="86">
                  <c:v>0.61430023215134022</c:v>
                </c:pt>
                <c:pt idx="87">
                  <c:v>0.63473659394442383</c:v>
                </c:pt>
                <c:pt idx="88">
                  <c:v>0.64576496477204881</c:v>
                </c:pt>
                <c:pt idx="89">
                  <c:v>0.64017241280860671</c:v>
                </c:pt>
                <c:pt idx="90">
                  <c:v>0.64644525953352561</c:v>
                </c:pt>
                <c:pt idx="91">
                  <c:v>0.62549346752937984</c:v>
                </c:pt>
                <c:pt idx="92">
                  <c:v>0.62692574670733325</c:v>
                </c:pt>
                <c:pt idx="93">
                  <c:v>0.67216099735350776</c:v>
                </c:pt>
                <c:pt idx="94">
                  <c:v>0.6617659398496778</c:v>
                </c:pt>
                <c:pt idx="95">
                  <c:v>0.68373025792209596</c:v>
                </c:pt>
                <c:pt idx="96">
                  <c:v>0.67543238930556571</c:v>
                </c:pt>
                <c:pt idx="97">
                  <c:v>0.67290398418922548</c:v>
                </c:pt>
                <c:pt idx="98">
                  <c:v>0.66904639239331121</c:v>
                </c:pt>
                <c:pt idx="99">
                  <c:v>0.65989732013752134</c:v>
                </c:pt>
                <c:pt idx="100">
                  <c:v>0.70932255849605008</c:v>
                </c:pt>
                <c:pt idx="101">
                  <c:v>0.70864750542717847</c:v>
                </c:pt>
                <c:pt idx="102">
                  <c:v>0.70855155312833606</c:v>
                </c:pt>
                <c:pt idx="103">
                  <c:v>0.71304229170833489</c:v>
                </c:pt>
                <c:pt idx="104">
                  <c:v>0.6904089419796583</c:v>
                </c:pt>
                <c:pt idx="105">
                  <c:v>0.70160660893089999</c:v>
                </c:pt>
                <c:pt idx="106">
                  <c:v>0.69801417527496579</c:v>
                </c:pt>
                <c:pt idx="107">
                  <c:v>0.71246938180402009</c:v>
                </c:pt>
                <c:pt idx="108">
                  <c:v>0.711682461189585</c:v>
                </c:pt>
                <c:pt idx="109">
                  <c:v>0.68540344429808553</c:v>
                </c:pt>
                <c:pt idx="110">
                  <c:v>0.71883025190923378</c:v>
                </c:pt>
                <c:pt idx="111">
                  <c:v>0.71371017637611145</c:v>
                </c:pt>
                <c:pt idx="112">
                  <c:v>0.71384544606242972</c:v>
                </c:pt>
                <c:pt idx="113">
                  <c:v>0.74445299507140794</c:v>
                </c:pt>
                <c:pt idx="114">
                  <c:v>0.74518205800547355</c:v>
                </c:pt>
                <c:pt idx="115">
                  <c:v>0.7537251630257823</c:v>
                </c:pt>
                <c:pt idx="116">
                  <c:v>0.75335559910326833</c:v>
                </c:pt>
                <c:pt idx="117">
                  <c:v>0.70898030132870449</c:v>
                </c:pt>
                <c:pt idx="118">
                  <c:v>0.6930525000116089</c:v>
                </c:pt>
                <c:pt idx="119">
                  <c:v>0.70333113816512238</c:v>
                </c:pt>
                <c:pt idx="120">
                  <c:v>0.69383019184861772</c:v>
                </c:pt>
                <c:pt idx="121">
                  <c:v>0.6947937518598355</c:v>
                </c:pt>
                <c:pt idx="122">
                  <c:v>0.71090165265551608</c:v>
                </c:pt>
                <c:pt idx="123">
                  <c:v>0.718503260254577</c:v>
                </c:pt>
                <c:pt idx="124">
                  <c:v>0.71763411127580368</c:v>
                </c:pt>
                <c:pt idx="125">
                  <c:v>0.74606146434205511</c:v>
                </c:pt>
                <c:pt idx="126">
                  <c:v>0.74074129791251409</c:v>
                </c:pt>
                <c:pt idx="127">
                  <c:v>0.7673216302428848</c:v>
                </c:pt>
                <c:pt idx="128">
                  <c:v>0.77033963909270109</c:v>
                </c:pt>
                <c:pt idx="129">
                  <c:v>0.7567383454444927</c:v>
                </c:pt>
                <c:pt idx="130">
                  <c:v>0.74770885615453486</c:v>
                </c:pt>
                <c:pt idx="131">
                  <c:v>0.74768262502730698</c:v>
                </c:pt>
                <c:pt idx="132">
                  <c:v>0.77520008554335551</c:v>
                </c:pt>
                <c:pt idx="133">
                  <c:v>0.77775163533075331</c:v>
                </c:pt>
                <c:pt idx="134">
                  <c:v>0.77852859292168941</c:v>
                </c:pt>
                <c:pt idx="135">
                  <c:v>0.76733810566977922</c:v>
                </c:pt>
                <c:pt idx="136">
                  <c:v>0.7671904531950795</c:v>
                </c:pt>
                <c:pt idx="137">
                  <c:v>0.77089822566292221</c:v>
                </c:pt>
                <c:pt idx="138">
                  <c:v>0.7710915842070819</c:v>
                </c:pt>
                <c:pt idx="139">
                  <c:v>0.77133730928906052</c:v>
                </c:pt>
                <c:pt idx="140">
                  <c:v>0.75429903225724892</c:v>
                </c:pt>
                <c:pt idx="141">
                  <c:v>0.7562590122687316</c:v>
                </c:pt>
                <c:pt idx="142">
                  <c:v>0.75724873976225471</c:v>
                </c:pt>
                <c:pt idx="143">
                  <c:v>0.83794696287490056</c:v>
                </c:pt>
                <c:pt idx="144">
                  <c:v>0.83321038140080106</c:v>
                </c:pt>
                <c:pt idx="145">
                  <c:v>0.89148224891148797</c:v>
                </c:pt>
                <c:pt idx="146">
                  <c:v>0.91005544418492301</c:v>
                </c:pt>
                <c:pt idx="147">
                  <c:v>0.8978659547836686</c:v>
                </c:pt>
                <c:pt idx="148">
                  <c:v>0.89828225877292833</c:v>
                </c:pt>
              </c:numCache>
            </c:numRef>
          </c:val>
        </c:ser>
        <c:marker val="1"/>
        <c:axId val="144448512"/>
        <c:axId val="144454400"/>
      </c:lineChart>
      <c:catAx>
        <c:axId val="144448512"/>
        <c:scaling>
          <c:orientation val="minMax"/>
        </c:scaling>
        <c:axPos val="b"/>
        <c:tickLblPos val="nextTo"/>
        <c:crossAx val="144454400"/>
        <c:crosses val="autoZero"/>
        <c:auto val="1"/>
        <c:lblAlgn val="ctr"/>
        <c:lblOffset val="100"/>
      </c:catAx>
      <c:valAx>
        <c:axId val="144454400"/>
        <c:scaling>
          <c:orientation val="minMax"/>
        </c:scaling>
        <c:axPos val="l"/>
        <c:majorGridlines/>
        <c:numFmt formatCode="General" sourceLinked="1"/>
        <c:tickLblPos val="nextTo"/>
        <c:crossAx val="144448512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v>range</c:v>
          </c:tx>
          <c:marker>
            <c:symbol val="none"/>
          </c:marker>
          <c:val>
            <c:numRef>
              <c:f>result!$S$52:$S$200</c:f>
              <c:numCache>
                <c:formatCode>General</c:formatCode>
                <c:ptCount val="149"/>
                <c:pt idx="0">
                  <c:v>59.119999999999891</c:v>
                </c:pt>
                <c:pt idx="1">
                  <c:v>53.5600000000004</c:v>
                </c:pt>
                <c:pt idx="2">
                  <c:v>53.649999999999636</c:v>
                </c:pt>
                <c:pt idx="3">
                  <c:v>49.430000000000291</c:v>
                </c:pt>
                <c:pt idx="4">
                  <c:v>44.449999999999818</c:v>
                </c:pt>
                <c:pt idx="5">
                  <c:v>74.530000000000655</c:v>
                </c:pt>
                <c:pt idx="6">
                  <c:v>40.319999999999709</c:v>
                </c:pt>
                <c:pt idx="7">
                  <c:v>21.769999999999527</c:v>
                </c:pt>
                <c:pt idx="8">
                  <c:v>69.710000000000036</c:v>
                </c:pt>
                <c:pt idx="9">
                  <c:v>42.069999999999709</c:v>
                </c:pt>
                <c:pt idx="10">
                  <c:v>39.349999999999454</c:v>
                </c:pt>
                <c:pt idx="11">
                  <c:v>71.340000000000146</c:v>
                </c:pt>
                <c:pt idx="12">
                  <c:v>31.260000000000218</c:v>
                </c:pt>
                <c:pt idx="13">
                  <c:v>51.930000000000291</c:v>
                </c:pt>
                <c:pt idx="14">
                  <c:v>40.690000000000509</c:v>
                </c:pt>
                <c:pt idx="15">
                  <c:v>18.400000000000546</c:v>
                </c:pt>
                <c:pt idx="16">
                  <c:v>30.659999999999854</c:v>
                </c:pt>
                <c:pt idx="17">
                  <c:v>70.529999999999745</c:v>
                </c:pt>
                <c:pt idx="18">
                  <c:v>130.40999999999985</c:v>
                </c:pt>
                <c:pt idx="19">
                  <c:v>46.359999999999673</c:v>
                </c:pt>
                <c:pt idx="20">
                  <c:v>116.85000000000036</c:v>
                </c:pt>
                <c:pt idx="21">
                  <c:v>160.06999999999971</c:v>
                </c:pt>
                <c:pt idx="22">
                  <c:v>58.239999999999782</c:v>
                </c:pt>
                <c:pt idx="23">
                  <c:v>43.960000000000036</c:v>
                </c:pt>
                <c:pt idx="24">
                  <c:v>59.260000000000218</c:v>
                </c:pt>
                <c:pt idx="25">
                  <c:v>40.510000000000218</c:v>
                </c:pt>
                <c:pt idx="26">
                  <c:v>87.190000000000509</c:v>
                </c:pt>
                <c:pt idx="27">
                  <c:v>37.099999999999454</c:v>
                </c:pt>
                <c:pt idx="28">
                  <c:v>47.679999999999382</c:v>
                </c:pt>
                <c:pt idx="29">
                  <c:v>37.770000000000437</c:v>
                </c:pt>
                <c:pt idx="30">
                  <c:v>106.36999999999989</c:v>
                </c:pt>
                <c:pt idx="31">
                  <c:v>57.839999999999236</c:v>
                </c:pt>
                <c:pt idx="32">
                  <c:v>22.970000000000255</c:v>
                </c:pt>
                <c:pt idx="33">
                  <c:v>37.350000000000364</c:v>
                </c:pt>
                <c:pt idx="34">
                  <c:v>24.300000000000182</c:v>
                </c:pt>
                <c:pt idx="35">
                  <c:v>28.230000000000473</c:v>
                </c:pt>
                <c:pt idx="36">
                  <c:v>75.519999999999527</c:v>
                </c:pt>
                <c:pt idx="37">
                  <c:v>71.890000000000327</c:v>
                </c:pt>
                <c:pt idx="38">
                  <c:v>64.730000000000473</c:v>
                </c:pt>
                <c:pt idx="39">
                  <c:v>31.699999999999818</c:v>
                </c:pt>
                <c:pt idx="40">
                  <c:v>39.420000000000073</c:v>
                </c:pt>
                <c:pt idx="41">
                  <c:v>41.420000000000073</c:v>
                </c:pt>
                <c:pt idx="42">
                  <c:v>69.219999999999345</c:v>
                </c:pt>
                <c:pt idx="43">
                  <c:v>37.029999999999745</c:v>
                </c:pt>
                <c:pt idx="44">
                  <c:v>77.5600000000004</c:v>
                </c:pt>
                <c:pt idx="45">
                  <c:v>56.239999999999782</c:v>
                </c:pt>
                <c:pt idx="46">
                  <c:v>32.369999999999891</c:v>
                </c:pt>
                <c:pt idx="47">
                  <c:v>37.550000000000182</c:v>
                </c:pt>
                <c:pt idx="48">
                  <c:v>45.289999999999964</c:v>
                </c:pt>
                <c:pt idx="49">
                  <c:v>60.460000000000036</c:v>
                </c:pt>
                <c:pt idx="50">
                  <c:v>56.329999999999927</c:v>
                </c:pt>
                <c:pt idx="51">
                  <c:v>62.219999999999345</c:v>
                </c:pt>
                <c:pt idx="52">
                  <c:v>54.329999999999927</c:v>
                </c:pt>
                <c:pt idx="53">
                  <c:v>50.099999999999454</c:v>
                </c:pt>
                <c:pt idx="54">
                  <c:v>49.260000000000218</c:v>
                </c:pt>
                <c:pt idx="55">
                  <c:v>44.319999999999709</c:v>
                </c:pt>
                <c:pt idx="56">
                  <c:v>40.170000000000073</c:v>
                </c:pt>
                <c:pt idx="57">
                  <c:v>68.369999999999891</c:v>
                </c:pt>
                <c:pt idx="58">
                  <c:v>60.489999999999782</c:v>
                </c:pt>
                <c:pt idx="59">
                  <c:v>36.3700000000008</c:v>
                </c:pt>
                <c:pt idx="60">
                  <c:v>49.350000000000364</c:v>
                </c:pt>
                <c:pt idx="61">
                  <c:v>64.160000000000764</c:v>
                </c:pt>
                <c:pt idx="62">
                  <c:v>42.319999999999709</c:v>
                </c:pt>
                <c:pt idx="63">
                  <c:v>39.190000000000509</c:v>
                </c:pt>
                <c:pt idx="64">
                  <c:v>89.319999999999709</c:v>
                </c:pt>
                <c:pt idx="65">
                  <c:v>32.600000000000364</c:v>
                </c:pt>
                <c:pt idx="66">
                  <c:v>39.659999999999854</c:v>
                </c:pt>
                <c:pt idx="67">
                  <c:v>63.059999999999491</c:v>
                </c:pt>
                <c:pt idx="68">
                  <c:v>28.920000000000073</c:v>
                </c:pt>
                <c:pt idx="69">
                  <c:v>144.03000000000065</c:v>
                </c:pt>
                <c:pt idx="70">
                  <c:v>39.6899999999996</c:v>
                </c:pt>
                <c:pt idx="71">
                  <c:v>80.309999999999491</c:v>
                </c:pt>
                <c:pt idx="72">
                  <c:v>31.0600000000004</c:v>
                </c:pt>
                <c:pt idx="73">
                  <c:v>47.159999999999854</c:v>
                </c:pt>
                <c:pt idx="74">
                  <c:v>35.869999999999891</c:v>
                </c:pt>
                <c:pt idx="75">
                  <c:v>41.010000000000218</c:v>
                </c:pt>
                <c:pt idx="76">
                  <c:v>43.720000000000255</c:v>
                </c:pt>
                <c:pt idx="77">
                  <c:v>56.199999999999818</c:v>
                </c:pt>
                <c:pt idx="78">
                  <c:v>28.260000000000218</c:v>
                </c:pt>
                <c:pt idx="79">
                  <c:v>54.779999999999745</c:v>
                </c:pt>
                <c:pt idx="80">
                  <c:v>51.569999999999709</c:v>
                </c:pt>
                <c:pt idx="81">
                  <c:v>43.739999999999782</c:v>
                </c:pt>
                <c:pt idx="82">
                  <c:v>44.720000000000255</c:v>
                </c:pt>
                <c:pt idx="83">
                  <c:v>65.190000000000509</c:v>
                </c:pt>
                <c:pt idx="84">
                  <c:v>133.80000000000018</c:v>
                </c:pt>
                <c:pt idx="85">
                  <c:v>50.050000000000182</c:v>
                </c:pt>
                <c:pt idx="86">
                  <c:v>34.340000000000146</c:v>
                </c:pt>
                <c:pt idx="87">
                  <c:v>73.819999999999709</c:v>
                </c:pt>
                <c:pt idx="88">
                  <c:v>70.119999999999891</c:v>
                </c:pt>
                <c:pt idx="89">
                  <c:v>49.640000000000327</c:v>
                </c:pt>
                <c:pt idx="90">
                  <c:v>110.01000000000022</c:v>
                </c:pt>
                <c:pt idx="91">
                  <c:v>36.899999999999636</c:v>
                </c:pt>
                <c:pt idx="92">
                  <c:v>63.650000000000546</c:v>
                </c:pt>
                <c:pt idx="93">
                  <c:v>76.059999999999491</c:v>
                </c:pt>
                <c:pt idx="94">
                  <c:v>41.729999999999563</c:v>
                </c:pt>
                <c:pt idx="95">
                  <c:v>32.159999999999854</c:v>
                </c:pt>
                <c:pt idx="96">
                  <c:v>36.180000000000291</c:v>
                </c:pt>
                <c:pt idx="97">
                  <c:v>73.289999999999964</c:v>
                </c:pt>
                <c:pt idx="98">
                  <c:v>54.020000000000437</c:v>
                </c:pt>
                <c:pt idx="99">
                  <c:v>47.820000000000618</c:v>
                </c:pt>
                <c:pt idx="100">
                  <c:v>106.85999999999967</c:v>
                </c:pt>
                <c:pt idx="101">
                  <c:v>58.75</c:v>
                </c:pt>
                <c:pt idx="102">
                  <c:v>42.519999999999527</c:v>
                </c:pt>
                <c:pt idx="103">
                  <c:v>55.859999999999673</c:v>
                </c:pt>
                <c:pt idx="104">
                  <c:v>51.710000000000036</c:v>
                </c:pt>
                <c:pt idx="105">
                  <c:v>26.4399999999996</c:v>
                </c:pt>
                <c:pt idx="106">
                  <c:v>39.130000000000109</c:v>
                </c:pt>
                <c:pt idx="107">
                  <c:v>47.819999999999709</c:v>
                </c:pt>
                <c:pt idx="108">
                  <c:v>56.390000000000327</c:v>
                </c:pt>
                <c:pt idx="109">
                  <c:v>41.949999999999818</c:v>
                </c:pt>
                <c:pt idx="110">
                  <c:v>99.590000000000146</c:v>
                </c:pt>
                <c:pt idx="111">
                  <c:v>65.889999999999418</c:v>
                </c:pt>
                <c:pt idx="112">
                  <c:v>101.77000000000044</c:v>
                </c:pt>
                <c:pt idx="113">
                  <c:v>40.699999999999818</c:v>
                </c:pt>
                <c:pt idx="114">
                  <c:v>37.949999999999818</c:v>
                </c:pt>
                <c:pt idx="115">
                  <c:v>21.460000000000036</c:v>
                </c:pt>
                <c:pt idx="116">
                  <c:v>37.949999999999818</c:v>
                </c:pt>
                <c:pt idx="117">
                  <c:v>29.659999999999854</c:v>
                </c:pt>
                <c:pt idx="118">
                  <c:v>59.5</c:v>
                </c:pt>
                <c:pt idx="119">
                  <c:v>35.119999999999891</c:v>
                </c:pt>
                <c:pt idx="120">
                  <c:v>30</c:v>
                </c:pt>
                <c:pt idx="121">
                  <c:v>39.900000000000546</c:v>
                </c:pt>
                <c:pt idx="122">
                  <c:v>60.420000000000073</c:v>
                </c:pt>
                <c:pt idx="123">
                  <c:v>71.319999999999709</c:v>
                </c:pt>
                <c:pt idx="124">
                  <c:v>27.319999999999709</c:v>
                </c:pt>
                <c:pt idx="125">
                  <c:v>121.07999999999993</c:v>
                </c:pt>
                <c:pt idx="126">
                  <c:v>55.25</c:v>
                </c:pt>
                <c:pt idx="127">
                  <c:v>73.690000000000509</c:v>
                </c:pt>
                <c:pt idx="128">
                  <c:v>74.130000000000109</c:v>
                </c:pt>
                <c:pt idx="129">
                  <c:v>80.989999999999782</c:v>
                </c:pt>
                <c:pt idx="130">
                  <c:v>61.530000000000655</c:v>
                </c:pt>
                <c:pt idx="131">
                  <c:v>48.329999999999927</c:v>
                </c:pt>
                <c:pt idx="132">
                  <c:v>78.969999999999345</c:v>
                </c:pt>
                <c:pt idx="133">
                  <c:v>71.409999999999854</c:v>
                </c:pt>
                <c:pt idx="134">
                  <c:v>48.440000000000509</c:v>
                </c:pt>
                <c:pt idx="135">
                  <c:v>44.659999999999854</c:v>
                </c:pt>
                <c:pt idx="136">
                  <c:v>46.760000000000218</c:v>
                </c:pt>
                <c:pt idx="137">
                  <c:v>29.380000000000109</c:v>
                </c:pt>
                <c:pt idx="138">
                  <c:v>36.680000000000291</c:v>
                </c:pt>
                <c:pt idx="139">
                  <c:v>47.110000000000582</c:v>
                </c:pt>
                <c:pt idx="140">
                  <c:v>58.329999999999927</c:v>
                </c:pt>
                <c:pt idx="141">
                  <c:v>45.170000000000073</c:v>
                </c:pt>
                <c:pt idx="142">
                  <c:v>39.25</c:v>
                </c:pt>
                <c:pt idx="143">
                  <c:v>165.07999999999993</c:v>
                </c:pt>
                <c:pt idx="144">
                  <c:v>59.539999999999964</c:v>
                </c:pt>
                <c:pt idx="145">
                  <c:v>96.550000000000182</c:v>
                </c:pt>
                <c:pt idx="146">
                  <c:v>115.80000000000018</c:v>
                </c:pt>
                <c:pt idx="147">
                  <c:v>82.539999999999964</c:v>
                </c:pt>
                <c:pt idx="148">
                  <c:v>52.720000000000255</c:v>
                </c:pt>
              </c:numCache>
            </c:numRef>
          </c:val>
        </c:ser>
        <c:ser>
          <c:idx val="1"/>
          <c:order val="1"/>
          <c:tx>
            <c:v>EMA-TR</c:v>
          </c:tx>
          <c:marker>
            <c:symbol val="none"/>
          </c:marker>
          <c:val>
            <c:numRef>
              <c:f>result!$U$52:$U$200</c:f>
              <c:numCache>
                <c:formatCode>General</c:formatCode>
                <c:ptCount val="149"/>
                <c:pt idx="0">
                  <c:v>60.180000000000291</c:v>
                </c:pt>
                <c:pt idx="1">
                  <c:v>59.29733333333364</c:v>
                </c:pt>
                <c:pt idx="2">
                  <c:v>58.544355555555775</c:v>
                </c:pt>
                <c:pt idx="3">
                  <c:v>59.393108148148322</c:v>
                </c:pt>
                <c:pt idx="4">
                  <c:v>57.40069372839519</c:v>
                </c:pt>
                <c:pt idx="5">
                  <c:v>61.413934564609164</c:v>
                </c:pt>
                <c:pt idx="6">
                  <c:v>58.601409955994576</c:v>
                </c:pt>
                <c:pt idx="7">
                  <c:v>58.662555295195354</c:v>
                </c:pt>
                <c:pt idx="8">
                  <c:v>60.135547922502646</c:v>
                </c:pt>
                <c:pt idx="9">
                  <c:v>57.726808199502258</c:v>
                </c:pt>
                <c:pt idx="10">
                  <c:v>55.27656710623522</c:v>
                </c:pt>
                <c:pt idx="11">
                  <c:v>57.418358158737213</c:v>
                </c:pt>
                <c:pt idx="12">
                  <c:v>57.334577070905581</c:v>
                </c:pt>
                <c:pt idx="13">
                  <c:v>56.979300128118183</c:v>
                </c:pt>
                <c:pt idx="14">
                  <c:v>54.807393444369161</c:v>
                </c:pt>
                <c:pt idx="15">
                  <c:v>49.953074318453346</c:v>
                </c:pt>
                <c:pt idx="16">
                  <c:v>47.792664409326235</c:v>
                </c:pt>
                <c:pt idx="17">
                  <c:v>54.888309154749436</c:v>
                </c:pt>
                <c:pt idx="18">
                  <c:v>75.439201267449448</c:v>
                </c:pt>
                <c:pt idx="19">
                  <c:v>73.135307765122846</c:v>
                </c:pt>
                <c:pt idx="20">
                  <c:v>78.963933396439842</c:v>
                </c:pt>
                <c:pt idx="21">
                  <c:v>89.778075610247825</c:v>
                </c:pt>
                <c:pt idx="22">
                  <c:v>88.172998862214769</c:v>
                </c:pt>
                <c:pt idx="23">
                  <c:v>82.277932347252801</c:v>
                </c:pt>
                <c:pt idx="24">
                  <c:v>79.208874700952464</c:v>
                </c:pt>
                <c:pt idx="25">
                  <c:v>74.049024740825502</c:v>
                </c:pt>
                <c:pt idx="26">
                  <c:v>75.801154775382173</c:v>
                </c:pt>
                <c:pt idx="27">
                  <c:v>73.867667471997919</c:v>
                </c:pt>
                <c:pt idx="28">
                  <c:v>70.395978475731525</c:v>
                </c:pt>
                <c:pt idx="29">
                  <c:v>66.045848012300723</c:v>
                </c:pt>
                <c:pt idx="30">
                  <c:v>77.798401610660576</c:v>
                </c:pt>
                <c:pt idx="31">
                  <c:v>75.137281395905745</c:v>
                </c:pt>
                <c:pt idx="32">
                  <c:v>68.181643876451687</c:v>
                </c:pt>
                <c:pt idx="33">
                  <c:v>64.070758026258176</c:v>
                </c:pt>
                <c:pt idx="34">
                  <c:v>62.071990289423745</c:v>
                </c:pt>
                <c:pt idx="35">
                  <c:v>57.559724917500638</c:v>
                </c:pt>
                <c:pt idx="36">
                  <c:v>59.954428261833826</c:v>
                </c:pt>
                <c:pt idx="37">
                  <c:v>61.545837826922693</c:v>
                </c:pt>
                <c:pt idx="38">
                  <c:v>61.970392783333068</c:v>
                </c:pt>
                <c:pt idx="39">
                  <c:v>57.934340412221971</c:v>
                </c:pt>
                <c:pt idx="40">
                  <c:v>64.467095023925751</c:v>
                </c:pt>
                <c:pt idx="41">
                  <c:v>61.394149020735668</c:v>
                </c:pt>
                <c:pt idx="42">
                  <c:v>62.625595817970805</c:v>
                </c:pt>
                <c:pt idx="43">
                  <c:v>59.6661830422414</c:v>
                </c:pt>
                <c:pt idx="44">
                  <c:v>62.05202530327594</c:v>
                </c:pt>
                <c:pt idx="45">
                  <c:v>61.277088596172455</c:v>
                </c:pt>
                <c:pt idx="46">
                  <c:v>61.021476783349414</c:v>
                </c:pt>
                <c:pt idx="47">
                  <c:v>57.891946545569517</c:v>
                </c:pt>
                <c:pt idx="48">
                  <c:v>56.211687006160247</c:v>
                </c:pt>
                <c:pt idx="49">
                  <c:v>56.778128738672223</c:v>
                </c:pt>
                <c:pt idx="50">
                  <c:v>61.689044906849219</c:v>
                </c:pt>
                <c:pt idx="51">
                  <c:v>63.331838919269359</c:v>
                </c:pt>
                <c:pt idx="52">
                  <c:v>62.131593730033437</c:v>
                </c:pt>
                <c:pt idx="53">
                  <c:v>60.527381232695575</c:v>
                </c:pt>
                <c:pt idx="54">
                  <c:v>61.081063735002871</c:v>
                </c:pt>
                <c:pt idx="55">
                  <c:v>58.846255237002453</c:v>
                </c:pt>
                <c:pt idx="56">
                  <c:v>57.984087872068812</c:v>
                </c:pt>
                <c:pt idx="57">
                  <c:v>59.368876155792961</c:v>
                </c:pt>
                <c:pt idx="58">
                  <c:v>59.518359335020541</c:v>
                </c:pt>
                <c:pt idx="59">
                  <c:v>57.76124475701782</c:v>
                </c:pt>
                <c:pt idx="60">
                  <c:v>56.63974545608216</c:v>
                </c:pt>
                <c:pt idx="61">
                  <c:v>59.085112728604599</c:v>
                </c:pt>
                <c:pt idx="62">
                  <c:v>56.849764364790616</c:v>
                </c:pt>
                <c:pt idx="63">
                  <c:v>54.495129116151936</c:v>
                </c:pt>
                <c:pt idx="64">
                  <c:v>60.931778567331612</c:v>
                </c:pt>
                <c:pt idx="65">
                  <c:v>58.671541425020791</c:v>
                </c:pt>
                <c:pt idx="66">
                  <c:v>57.467335901684613</c:v>
                </c:pt>
                <c:pt idx="67">
                  <c:v>58.213024448126596</c:v>
                </c:pt>
                <c:pt idx="68">
                  <c:v>54.307287855043057</c:v>
                </c:pt>
                <c:pt idx="69">
                  <c:v>66.270316141037398</c:v>
                </c:pt>
                <c:pt idx="70">
                  <c:v>63.951607322232427</c:v>
                </c:pt>
                <c:pt idx="71">
                  <c:v>66.132726345934699</c:v>
                </c:pt>
                <c:pt idx="72">
                  <c:v>61.456362833143459</c:v>
                </c:pt>
                <c:pt idx="73">
                  <c:v>59.550181122057651</c:v>
                </c:pt>
                <c:pt idx="74">
                  <c:v>56.392823639116614</c:v>
                </c:pt>
                <c:pt idx="75">
                  <c:v>54.403113820567768</c:v>
                </c:pt>
                <c:pt idx="76">
                  <c:v>52.978698644492098</c:v>
                </c:pt>
                <c:pt idx="77">
                  <c:v>59.80953882522649</c:v>
                </c:pt>
                <c:pt idx="78">
                  <c:v>60.7549336485297</c:v>
                </c:pt>
                <c:pt idx="79">
                  <c:v>59.958275828725711</c:v>
                </c:pt>
                <c:pt idx="80">
                  <c:v>58.839839051562244</c:v>
                </c:pt>
                <c:pt idx="81">
                  <c:v>56.826527178020584</c:v>
                </c:pt>
                <c:pt idx="82">
                  <c:v>55.212323554284538</c:v>
                </c:pt>
                <c:pt idx="83">
                  <c:v>56.542680413713342</c:v>
                </c:pt>
                <c:pt idx="84">
                  <c:v>66.843656358551584</c:v>
                </c:pt>
                <c:pt idx="85">
                  <c:v>64.604502177411405</c:v>
                </c:pt>
                <c:pt idx="86">
                  <c:v>63.153235220423255</c:v>
                </c:pt>
                <c:pt idx="87">
                  <c:v>64.575470524366779</c:v>
                </c:pt>
                <c:pt idx="88">
                  <c:v>65.314741121117862</c:v>
                </c:pt>
                <c:pt idx="89">
                  <c:v>63.224775638302198</c:v>
                </c:pt>
                <c:pt idx="90">
                  <c:v>69.462805553195267</c:v>
                </c:pt>
                <c:pt idx="91">
                  <c:v>65.121098146102511</c:v>
                </c:pt>
                <c:pt idx="92">
                  <c:v>64.924951726622254</c:v>
                </c:pt>
                <c:pt idx="93">
                  <c:v>71.205624829739264</c:v>
                </c:pt>
                <c:pt idx="94">
                  <c:v>67.275541519107307</c:v>
                </c:pt>
                <c:pt idx="95">
                  <c:v>67.654802649892986</c:v>
                </c:pt>
                <c:pt idx="96">
                  <c:v>63.458162296573967</c:v>
                </c:pt>
                <c:pt idx="97">
                  <c:v>64.769073990364106</c:v>
                </c:pt>
                <c:pt idx="98">
                  <c:v>63.33586412498228</c:v>
                </c:pt>
                <c:pt idx="99">
                  <c:v>61.267082241651394</c:v>
                </c:pt>
                <c:pt idx="100">
                  <c:v>68.14880460943111</c:v>
                </c:pt>
                <c:pt idx="101">
                  <c:v>66.895630661506956</c:v>
                </c:pt>
                <c:pt idx="102">
                  <c:v>63.645546573305971</c:v>
                </c:pt>
                <c:pt idx="103">
                  <c:v>62.607473696865135</c:v>
                </c:pt>
                <c:pt idx="104">
                  <c:v>63.122477203949813</c:v>
                </c:pt>
                <c:pt idx="105">
                  <c:v>61.240813576756537</c:v>
                </c:pt>
                <c:pt idx="106">
                  <c:v>58.292705099855681</c:v>
                </c:pt>
                <c:pt idx="107">
                  <c:v>59.6150110865416</c:v>
                </c:pt>
                <c:pt idx="108">
                  <c:v>59.185009608336102</c:v>
                </c:pt>
                <c:pt idx="109">
                  <c:v>56.887008327224606</c:v>
                </c:pt>
                <c:pt idx="110">
                  <c:v>63.348740550261375</c:v>
                </c:pt>
                <c:pt idx="111">
                  <c:v>63.687575143559783</c:v>
                </c:pt>
                <c:pt idx="112">
                  <c:v>68.765231791085213</c:v>
                </c:pt>
                <c:pt idx="113">
                  <c:v>70.60720088560717</c:v>
                </c:pt>
                <c:pt idx="114">
                  <c:v>66.252907434192863</c:v>
                </c:pt>
                <c:pt idx="115">
                  <c:v>63.621853109633875</c:v>
                </c:pt>
                <c:pt idx="116">
                  <c:v>60.198939361682669</c:v>
                </c:pt>
                <c:pt idx="117">
                  <c:v>56.127080780124963</c:v>
                </c:pt>
                <c:pt idx="118">
                  <c:v>56.576803342774966</c:v>
                </c:pt>
                <c:pt idx="119">
                  <c:v>55.306562897071537</c:v>
                </c:pt>
                <c:pt idx="120">
                  <c:v>51.932354510795335</c:v>
                </c:pt>
                <c:pt idx="121">
                  <c:v>50.328040576022694</c:v>
                </c:pt>
                <c:pt idx="122">
                  <c:v>52.834968499219684</c:v>
                </c:pt>
                <c:pt idx="123">
                  <c:v>55.299639365990359</c:v>
                </c:pt>
                <c:pt idx="124">
                  <c:v>51.569020783858271</c:v>
                </c:pt>
                <c:pt idx="125">
                  <c:v>60.837151346010494</c:v>
                </c:pt>
                <c:pt idx="126">
                  <c:v>60.092197833209099</c:v>
                </c:pt>
                <c:pt idx="127">
                  <c:v>65.570571455447919</c:v>
                </c:pt>
                <c:pt idx="128">
                  <c:v>66.711828594721538</c:v>
                </c:pt>
                <c:pt idx="129">
                  <c:v>68.615584782091972</c:v>
                </c:pt>
                <c:pt idx="130">
                  <c:v>67.670840144479797</c:v>
                </c:pt>
                <c:pt idx="131">
                  <c:v>65.092061458549153</c:v>
                </c:pt>
                <c:pt idx="132">
                  <c:v>66.942453264075851</c:v>
                </c:pt>
                <c:pt idx="133">
                  <c:v>72.499459495532392</c:v>
                </c:pt>
                <c:pt idx="134">
                  <c:v>69.291531562794802</c:v>
                </c:pt>
                <c:pt idx="135">
                  <c:v>66.007327354422145</c:v>
                </c:pt>
                <c:pt idx="136">
                  <c:v>63.441017040499226</c:v>
                </c:pt>
                <c:pt idx="137">
                  <c:v>62.894214768432683</c:v>
                </c:pt>
                <c:pt idx="138">
                  <c:v>59.398986132641696</c:v>
                </c:pt>
                <c:pt idx="139">
                  <c:v>57.760454648289553</c:v>
                </c:pt>
                <c:pt idx="140">
                  <c:v>60.61772736185101</c:v>
                </c:pt>
                <c:pt idx="141">
                  <c:v>60.340697046937542</c:v>
                </c:pt>
                <c:pt idx="142">
                  <c:v>58.541937440679249</c:v>
                </c:pt>
                <c:pt idx="143">
                  <c:v>72.747012448588677</c:v>
                </c:pt>
                <c:pt idx="144">
                  <c:v>70.986077455443521</c:v>
                </c:pt>
                <c:pt idx="145">
                  <c:v>79.989267128051083</c:v>
                </c:pt>
                <c:pt idx="146">
                  <c:v>84.764031510977631</c:v>
                </c:pt>
                <c:pt idx="147">
                  <c:v>84.467493976180606</c:v>
                </c:pt>
                <c:pt idx="148">
                  <c:v>80.234494779356567</c:v>
                </c:pt>
              </c:numCache>
            </c:numRef>
          </c:val>
        </c:ser>
        <c:marker val="1"/>
        <c:axId val="144483840"/>
        <c:axId val="144485376"/>
      </c:lineChart>
      <c:catAx>
        <c:axId val="144483840"/>
        <c:scaling>
          <c:orientation val="minMax"/>
        </c:scaling>
        <c:axPos val="b"/>
        <c:tickLblPos val="nextTo"/>
        <c:crossAx val="144485376"/>
        <c:crosses val="autoZero"/>
        <c:auto val="1"/>
        <c:lblAlgn val="ctr"/>
        <c:lblOffset val="100"/>
      </c:catAx>
      <c:valAx>
        <c:axId val="144485376"/>
        <c:scaling>
          <c:orientation val="minMax"/>
        </c:scaling>
        <c:axPos val="l"/>
        <c:majorGridlines/>
        <c:numFmt formatCode="General" sourceLinked="1"/>
        <c:tickLblPos val="nextTo"/>
        <c:crossAx val="144483840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v>MA</c:v>
          </c:tx>
          <c:marker>
            <c:symbol val="none"/>
          </c:marker>
          <c:val>
            <c:numRef>
              <c:f>result!$V$52:$V$200</c:f>
              <c:numCache>
                <c:formatCode>General</c:formatCode>
                <c:ptCount val="149"/>
                <c:pt idx="0">
                  <c:v>6131.8157142857144</c:v>
                </c:pt>
                <c:pt idx="1">
                  <c:v>6118.7521428571426</c:v>
                </c:pt>
                <c:pt idx="2">
                  <c:v>6104.9935714285721</c:v>
                </c:pt>
                <c:pt idx="3">
                  <c:v>6093.95</c:v>
                </c:pt>
                <c:pt idx="4">
                  <c:v>6085.0500000000011</c:v>
                </c:pt>
                <c:pt idx="5">
                  <c:v>6067.0471428571427</c:v>
                </c:pt>
                <c:pt idx="6">
                  <c:v>6050.2935714285713</c:v>
                </c:pt>
                <c:pt idx="7">
                  <c:v>6036.1257142857148</c:v>
                </c:pt>
                <c:pt idx="8">
                  <c:v>6027.0714285714284</c:v>
                </c:pt>
                <c:pt idx="9">
                  <c:v>6023.960714285713</c:v>
                </c:pt>
                <c:pt idx="10">
                  <c:v>6019.755714285714</c:v>
                </c:pt>
                <c:pt idx="11">
                  <c:v>6015.4192857142853</c:v>
                </c:pt>
                <c:pt idx="12">
                  <c:v>6013.9992857142852</c:v>
                </c:pt>
                <c:pt idx="13">
                  <c:v>6008.3178571428571</c:v>
                </c:pt>
                <c:pt idx="14">
                  <c:v>6006.5392857142851</c:v>
                </c:pt>
                <c:pt idx="15">
                  <c:v>6005.01</c:v>
                </c:pt>
                <c:pt idx="16">
                  <c:v>6003.2728571428579</c:v>
                </c:pt>
                <c:pt idx="17">
                  <c:v>5990.5914285714289</c:v>
                </c:pt>
                <c:pt idx="18">
                  <c:v>5966.7642857142846</c:v>
                </c:pt>
                <c:pt idx="19">
                  <c:v>5951.5578571428568</c:v>
                </c:pt>
                <c:pt idx="20">
                  <c:v>5932.6314285714298</c:v>
                </c:pt>
                <c:pt idx="21">
                  <c:v>5912.3535714285726</c:v>
                </c:pt>
                <c:pt idx="22">
                  <c:v>5892.2350000000006</c:v>
                </c:pt>
                <c:pt idx="23">
                  <c:v>5873.5478571428566</c:v>
                </c:pt>
                <c:pt idx="24">
                  <c:v>5858.6735714285724</c:v>
                </c:pt>
                <c:pt idx="25">
                  <c:v>5844.8528571428569</c:v>
                </c:pt>
                <c:pt idx="26">
                  <c:v>5831.8671428571424</c:v>
                </c:pt>
                <c:pt idx="27">
                  <c:v>5820.3421428571437</c:v>
                </c:pt>
                <c:pt idx="28">
                  <c:v>5807.7942857142853</c:v>
                </c:pt>
                <c:pt idx="29">
                  <c:v>5793.9085714285711</c:v>
                </c:pt>
                <c:pt idx="30">
                  <c:v>5790.3957142857153</c:v>
                </c:pt>
                <c:pt idx="31">
                  <c:v>5796.0807142857157</c:v>
                </c:pt>
                <c:pt idx="32">
                  <c:v>5814.0585714285726</c:v>
                </c:pt>
                <c:pt idx="33">
                  <c:v>5828.4478571428581</c:v>
                </c:pt>
                <c:pt idx="34">
                  <c:v>5844.4564285714296</c:v>
                </c:pt>
                <c:pt idx="35">
                  <c:v>5859.6428571428578</c:v>
                </c:pt>
                <c:pt idx="36">
                  <c:v>5876.3850000000002</c:v>
                </c:pt>
                <c:pt idx="37">
                  <c:v>5888.3542857142866</c:v>
                </c:pt>
                <c:pt idx="38">
                  <c:v>5894.6942857142858</c:v>
                </c:pt>
                <c:pt idx="39">
                  <c:v>5902.7342857142858</c:v>
                </c:pt>
                <c:pt idx="40">
                  <c:v>5911.9085714285711</c:v>
                </c:pt>
                <c:pt idx="41">
                  <c:v>5921.6671428571435</c:v>
                </c:pt>
                <c:pt idx="42">
                  <c:v>5926.4692857142863</c:v>
                </c:pt>
                <c:pt idx="43">
                  <c:v>5933.9992857142852</c:v>
                </c:pt>
                <c:pt idx="44">
                  <c:v>5931.2157142857159</c:v>
                </c:pt>
                <c:pt idx="45">
                  <c:v>5929.1771428571437</c:v>
                </c:pt>
                <c:pt idx="46">
                  <c:v>5930.9414285714292</c:v>
                </c:pt>
                <c:pt idx="47">
                  <c:v>5935.2071428571435</c:v>
                </c:pt>
                <c:pt idx="48">
                  <c:v>5941.9521428571434</c:v>
                </c:pt>
                <c:pt idx="49">
                  <c:v>5944.5964285714281</c:v>
                </c:pt>
                <c:pt idx="50">
                  <c:v>5948.739285714285</c:v>
                </c:pt>
                <c:pt idx="51">
                  <c:v>5961.7442857142842</c:v>
                </c:pt>
                <c:pt idx="52">
                  <c:v>5979.1414285714291</c:v>
                </c:pt>
                <c:pt idx="53">
                  <c:v>5994.4957142857138</c:v>
                </c:pt>
                <c:pt idx="54">
                  <c:v>6008.1350000000002</c:v>
                </c:pt>
                <c:pt idx="55">
                  <c:v>6021.7942857142853</c:v>
                </c:pt>
                <c:pt idx="56">
                  <c:v>6043.715714285715</c:v>
                </c:pt>
                <c:pt idx="57">
                  <c:v>6066.7121428571436</c:v>
                </c:pt>
                <c:pt idx="58">
                  <c:v>6089.3714285714286</c:v>
                </c:pt>
                <c:pt idx="59">
                  <c:v>6111.7057142857147</c:v>
                </c:pt>
                <c:pt idx="60">
                  <c:v>6132.4814285714283</c:v>
                </c:pt>
                <c:pt idx="61">
                  <c:v>6152.7700000000013</c:v>
                </c:pt>
                <c:pt idx="62">
                  <c:v>6173.1507142857145</c:v>
                </c:pt>
                <c:pt idx="63">
                  <c:v>6195.067857142858</c:v>
                </c:pt>
                <c:pt idx="64">
                  <c:v>6217.8071428571429</c:v>
                </c:pt>
                <c:pt idx="65">
                  <c:v>6236.800714285715</c:v>
                </c:pt>
                <c:pt idx="66">
                  <c:v>6251.3092857142856</c:v>
                </c:pt>
                <c:pt idx="67">
                  <c:v>6265.3949999999995</c:v>
                </c:pt>
                <c:pt idx="68">
                  <c:v>6276.4792857142847</c:v>
                </c:pt>
                <c:pt idx="69">
                  <c:v>6282.6028571428569</c:v>
                </c:pt>
                <c:pt idx="70">
                  <c:v>6286.1449999999995</c:v>
                </c:pt>
                <c:pt idx="71">
                  <c:v>6289.08</c:v>
                </c:pt>
                <c:pt idx="72">
                  <c:v>6293.7542857142853</c:v>
                </c:pt>
                <c:pt idx="73">
                  <c:v>6292.3214285714275</c:v>
                </c:pt>
                <c:pt idx="74">
                  <c:v>6288.01</c:v>
                </c:pt>
                <c:pt idx="75">
                  <c:v>6282.227142857143</c:v>
                </c:pt>
                <c:pt idx="76">
                  <c:v>6275.4064285714285</c:v>
                </c:pt>
                <c:pt idx="77">
                  <c:v>6276.863571428571</c:v>
                </c:pt>
                <c:pt idx="78">
                  <c:v>6276.9335714285708</c:v>
                </c:pt>
                <c:pt idx="79">
                  <c:v>6277.1642857142851</c:v>
                </c:pt>
                <c:pt idx="80">
                  <c:v>6282.7114285714279</c:v>
                </c:pt>
                <c:pt idx="81">
                  <c:v>6290.3971428571431</c:v>
                </c:pt>
                <c:pt idx="82">
                  <c:v>6297.5042857142853</c:v>
                </c:pt>
                <c:pt idx="83">
                  <c:v>6311.2300000000005</c:v>
                </c:pt>
                <c:pt idx="84">
                  <c:v>6322.0935714285715</c:v>
                </c:pt>
                <c:pt idx="85">
                  <c:v>6329.8499999999995</c:v>
                </c:pt>
                <c:pt idx="86">
                  <c:v>6340.5107142857141</c:v>
                </c:pt>
                <c:pt idx="87">
                  <c:v>6350.0907142857131</c:v>
                </c:pt>
                <c:pt idx="88">
                  <c:v>6357.6049999999987</c:v>
                </c:pt>
                <c:pt idx="89">
                  <c:v>6369.2507142857139</c:v>
                </c:pt>
                <c:pt idx="90">
                  <c:v>6377.1492857142857</c:v>
                </c:pt>
                <c:pt idx="91">
                  <c:v>6377.7971428571427</c:v>
                </c:pt>
                <c:pt idx="92">
                  <c:v>6376.7064285714287</c:v>
                </c:pt>
                <c:pt idx="93">
                  <c:v>6382.3121428571403</c:v>
                </c:pt>
                <c:pt idx="94">
                  <c:v>6384.2878571428564</c:v>
                </c:pt>
                <c:pt idx="95">
                  <c:v>6382.1049999999987</c:v>
                </c:pt>
                <c:pt idx="96">
                  <c:v>6379.5092857142854</c:v>
                </c:pt>
                <c:pt idx="97">
                  <c:v>6374.7257142857143</c:v>
                </c:pt>
                <c:pt idx="98">
                  <c:v>6371.8457142857151</c:v>
                </c:pt>
                <c:pt idx="99">
                  <c:v>6369.7149999999992</c:v>
                </c:pt>
                <c:pt idx="100">
                  <c:v>6357.1921428571432</c:v>
                </c:pt>
                <c:pt idx="101">
                  <c:v>6348.352142857143</c:v>
                </c:pt>
                <c:pt idx="102">
                  <c:v>6342.2571428571418</c:v>
                </c:pt>
                <c:pt idx="103">
                  <c:v>6330.0749999999989</c:v>
                </c:pt>
                <c:pt idx="104">
                  <c:v>6319.1435714285708</c:v>
                </c:pt>
                <c:pt idx="105">
                  <c:v>6311.909285714285</c:v>
                </c:pt>
                <c:pt idx="106">
                  <c:v>6301.3121428571421</c:v>
                </c:pt>
                <c:pt idx="107">
                  <c:v>6277.86</c:v>
                </c:pt>
                <c:pt idx="108">
                  <c:v>6253.8349999999991</c:v>
                </c:pt>
                <c:pt idx="109">
                  <c:v>6236.4435714285719</c:v>
                </c:pt>
                <c:pt idx="110">
                  <c:v>6212.8321428571435</c:v>
                </c:pt>
                <c:pt idx="111">
                  <c:v>6189.6378571428568</c:v>
                </c:pt>
                <c:pt idx="112">
                  <c:v>6166.7635714285716</c:v>
                </c:pt>
                <c:pt idx="113">
                  <c:v>6149.988571428571</c:v>
                </c:pt>
                <c:pt idx="114">
                  <c:v>6139.5350000000008</c:v>
                </c:pt>
                <c:pt idx="115">
                  <c:v>6132.2307142857144</c:v>
                </c:pt>
                <c:pt idx="116">
                  <c:v>6125.0321428571424</c:v>
                </c:pt>
                <c:pt idx="117">
                  <c:v>6121.0885714285732</c:v>
                </c:pt>
                <c:pt idx="118">
                  <c:v>6118.2400000000007</c:v>
                </c:pt>
                <c:pt idx="119">
                  <c:v>6115.2635714285716</c:v>
                </c:pt>
                <c:pt idx="120">
                  <c:v>6113.3992857142857</c:v>
                </c:pt>
                <c:pt idx="121">
                  <c:v>6114.932142857142</c:v>
                </c:pt>
                <c:pt idx="122">
                  <c:v>6112.9964285714286</c:v>
                </c:pt>
                <c:pt idx="123">
                  <c:v>6105.4742857142855</c:v>
                </c:pt>
                <c:pt idx="124">
                  <c:v>6104.4849999999997</c:v>
                </c:pt>
                <c:pt idx="125">
                  <c:v>6109.715714285715</c:v>
                </c:pt>
                <c:pt idx="126">
                  <c:v>6112.1350000000002</c:v>
                </c:pt>
                <c:pt idx="127">
                  <c:v>6101.8499999999995</c:v>
                </c:pt>
                <c:pt idx="128">
                  <c:v>6089.4757142857134</c:v>
                </c:pt>
                <c:pt idx="129">
                  <c:v>6074.4799999999987</c:v>
                </c:pt>
                <c:pt idx="130">
                  <c:v>6060.4735714285707</c:v>
                </c:pt>
                <c:pt idx="131">
                  <c:v>6044.8664285714285</c:v>
                </c:pt>
                <c:pt idx="132">
                  <c:v>6037.0757142857155</c:v>
                </c:pt>
                <c:pt idx="133">
                  <c:v>6033.7635714285716</c:v>
                </c:pt>
                <c:pt idx="134">
                  <c:v>6030.5378571428573</c:v>
                </c:pt>
                <c:pt idx="135">
                  <c:v>6030.0678571428571</c:v>
                </c:pt>
                <c:pt idx="136">
                  <c:v>6033.8142857142839</c:v>
                </c:pt>
                <c:pt idx="137">
                  <c:v>6038.426428571428</c:v>
                </c:pt>
                <c:pt idx="138">
                  <c:v>6041.7299999999987</c:v>
                </c:pt>
                <c:pt idx="139">
                  <c:v>6038.9614285714279</c:v>
                </c:pt>
                <c:pt idx="140">
                  <c:v>6033.2514285714278</c:v>
                </c:pt>
                <c:pt idx="141">
                  <c:v>6032.397857142857</c:v>
                </c:pt>
                <c:pt idx="142">
                  <c:v>6035.5071428571437</c:v>
                </c:pt>
                <c:pt idx="143">
                  <c:v>6028.0835714285713</c:v>
                </c:pt>
                <c:pt idx="144">
                  <c:v>6019.9221428571409</c:v>
                </c:pt>
                <c:pt idx="145">
                  <c:v>6002.977857142856</c:v>
                </c:pt>
                <c:pt idx="146">
                  <c:v>5984.2642857142855</c:v>
                </c:pt>
                <c:pt idx="147">
                  <c:v>5957.1321428571437</c:v>
                </c:pt>
                <c:pt idx="148">
                  <c:v>5928.0864285714279</c:v>
                </c:pt>
              </c:numCache>
            </c:numRef>
          </c:val>
        </c:ser>
        <c:ser>
          <c:idx val="1"/>
          <c:order val="1"/>
          <c:tx>
            <c:v>UB</c:v>
          </c:tx>
          <c:marker>
            <c:symbol val="none"/>
          </c:marker>
          <c:val>
            <c:numRef>
              <c:f>result!$W$52:$W$200</c:f>
              <c:numCache>
                <c:formatCode>General</c:formatCode>
                <c:ptCount val="149"/>
                <c:pt idx="0">
                  <c:v>6222.0857142857149</c:v>
                </c:pt>
                <c:pt idx="1">
                  <c:v>6207.6981428571435</c:v>
                </c:pt>
                <c:pt idx="2">
                  <c:v>6192.8101047619057</c:v>
                </c:pt>
                <c:pt idx="3">
                  <c:v>6183.0396622222224</c:v>
                </c:pt>
                <c:pt idx="4">
                  <c:v>6171.1510405925937</c:v>
                </c:pt>
                <c:pt idx="5">
                  <c:v>6159.1680447040562</c:v>
                </c:pt>
                <c:pt idx="6">
                  <c:v>6138.1956863625628</c:v>
                </c:pt>
                <c:pt idx="7">
                  <c:v>6124.1195472285081</c:v>
                </c:pt>
                <c:pt idx="8">
                  <c:v>6117.2747504551826</c:v>
                </c:pt>
                <c:pt idx="9">
                  <c:v>6110.5509265849669</c:v>
                </c:pt>
                <c:pt idx="10">
                  <c:v>6102.6705649450669</c:v>
                </c:pt>
                <c:pt idx="11">
                  <c:v>6101.5468229523913</c:v>
                </c:pt>
                <c:pt idx="12">
                  <c:v>6100.0011513206437</c:v>
                </c:pt>
                <c:pt idx="13">
                  <c:v>6093.7868073350346</c:v>
                </c:pt>
                <c:pt idx="14">
                  <c:v>6088.7503758808389</c:v>
                </c:pt>
                <c:pt idx="15">
                  <c:v>6079.93961147768</c:v>
                </c:pt>
                <c:pt idx="16">
                  <c:v>6074.9618537568476</c:v>
                </c:pt>
                <c:pt idx="17">
                  <c:v>6072.9238923035527</c:v>
                </c:pt>
                <c:pt idx="18">
                  <c:v>6079.9230876154588</c:v>
                </c:pt>
                <c:pt idx="19">
                  <c:v>6061.2608187905407</c:v>
                </c:pt>
                <c:pt idx="20">
                  <c:v>6051.0773286660897</c:v>
                </c:pt>
                <c:pt idx="21">
                  <c:v>6047.0206848439448</c:v>
                </c:pt>
                <c:pt idx="22">
                  <c:v>6024.494498293323</c:v>
                </c:pt>
                <c:pt idx="23">
                  <c:v>5996.9647556637356</c:v>
                </c:pt>
                <c:pt idx="24">
                  <c:v>5977.4868834800009</c:v>
                </c:pt>
                <c:pt idx="25">
                  <c:v>5955.9263942540956</c:v>
                </c:pt>
                <c:pt idx="26">
                  <c:v>5945.5688750202153</c:v>
                </c:pt>
                <c:pt idx="27">
                  <c:v>5931.1436440651405</c:v>
                </c:pt>
                <c:pt idx="28">
                  <c:v>5913.3882534278828</c:v>
                </c:pt>
                <c:pt idx="29">
                  <c:v>5892.9773434470226</c:v>
                </c:pt>
                <c:pt idx="30">
                  <c:v>5907.0933167017065</c:v>
                </c:pt>
                <c:pt idx="31">
                  <c:v>5908.7866363795747</c:v>
                </c:pt>
                <c:pt idx="32">
                  <c:v>5916.3310372432497</c:v>
                </c:pt>
                <c:pt idx="33">
                  <c:v>5924.5539941822453</c:v>
                </c:pt>
                <c:pt idx="34">
                  <c:v>5937.5644140055656</c:v>
                </c:pt>
                <c:pt idx="35">
                  <c:v>5945.9824445191089</c:v>
                </c:pt>
                <c:pt idx="36">
                  <c:v>5966.3166423927505</c:v>
                </c:pt>
                <c:pt idx="37">
                  <c:v>5980.6730424546704</c:v>
                </c:pt>
                <c:pt idx="38">
                  <c:v>5987.6498748892855</c:v>
                </c:pt>
                <c:pt idx="39">
                  <c:v>5989.6357963326191</c:v>
                </c:pt>
                <c:pt idx="40">
                  <c:v>6008.6092139644597</c:v>
                </c:pt>
                <c:pt idx="41">
                  <c:v>6013.7583663882469</c:v>
                </c:pt>
                <c:pt idx="42">
                  <c:v>6020.4076794412422</c:v>
                </c:pt>
                <c:pt idx="43">
                  <c:v>6023.4985602776469</c:v>
                </c:pt>
                <c:pt idx="44">
                  <c:v>6024.2937522406301</c:v>
                </c:pt>
                <c:pt idx="45">
                  <c:v>6021.0927757514028</c:v>
                </c:pt>
                <c:pt idx="46">
                  <c:v>6022.4736437464535</c:v>
                </c:pt>
                <c:pt idx="47">
                  <c:v>6022.0450626754973</c:v>
                </c:pt>
                <c:pt idx="48">
                  <c:v>6026.2696733663834</c:v>
                </c:pt>
                <c:pt idx="49">
                  <c:v>6029.7636216794363</c:v>
                </c:pt>
                <c:pt idx="50">
                  <c:v>6041.272853074559</c:v>
                </c:pt>
                <c:pt idx="51">
                  <c:v>6056.7420440931883</c:v>
                </c:pt>
                <c:pt idx="52">
                  <c:v>6072.338819166479</c:v>
                </c:pt>
                <c:pt idx="53">
                  <c:v>6085.2867861347568</c:v>
                </c:pt>
                <c:pt idx="54">
                  <c:v>6099.7565956025046</c:v>
                </c:pt>
                <c:pt idx="55">
                  <c:v>6110.0636685697891</c:v>
                </c:pt>
                <c:pt idx="56">
                  <c:v>6130.6918460938177</c:v>
                </c:pt>
                <c:pt idx="57">
                  <c:v>6155.7654570908326</c:v>
                </c:pt>
                <c:pt idx="58">
                  <c:v>6178.6489675739595</c:v>
                </c:pt>
                <c:pt idx="59">
                  <c:v>6198.3475814212416</c:v>
                </c:pt>
                <c:pt idx="60">
                  <c:v>6217.4410467555517</c:v>
                </c:pt>
                <c:pt idx="61">
                  <c:v>6241.3976690929085</c:v>
                </c:pt>
                <c:pt idx="62">
                  <c:v>6258.4253608329</c:v>
                </c:pt>
                <c:pt idx="63">
                  <c:v>6276.8105508170856</c:v>
                </c:pt>
                <c:pt idx="64">
                  <c:v>6309.20481070814</c:v>
                </c:pt>
                <c:pt idx="65">
                  <c:v>6324.8080264232458</c:v>
                </c:pt>
                <c:pt idx="66">
                  <c:v>6337.5102895668124</c:v>
                </c:pt>
                <c:pt idx="67">
                  <c:v>6352.7145366721898</c:v>
                </c:pt>
                <c:pt idx="68">
                  <c:v>6357.9402174968491</c:v>
                </c:pt>
                <c:pt idx="69">
                  <c:v>6382.0083313544128</c:v>
                </c:pt>
                <c:pt idx="70">
                  <c:v>6382.0724109833482</c:v>
                </c:pt>
                <c:pt idx="71">
                  <c:v>6388.2790895189019</c:v>
                </c:pt>
                <c:pt idx="72">
                  <c:v>6385.9388299640004</c:v>
                </c:pt>
                <c:pt idx="73">
                  <c:v>6381.6467002545141</c:v>
                </c:pt>
                <c:pt idx="74">
                  <c:v>6372.5992354586751</c:v>
                </c:pt>
                <c:pt idx="75">
                  <c:v>6363.8318135879945</c:v>
                </c:pt>
                <c:pt idx="76">
                  <c:v>6354.8744765381671</c:v>
                </c:pt>
                <c:pt idx="77">
                  <c:v>6366.5778796664108</c:v>
                </c:pt>
                <c:pt idx="78">
                  <c:v>6368.0659719013656</c:v>
                </c:pt>
                <c:pt idx="79">
                  <c:v>6367.1016994573738</c:v>
                </c:pt>
                <c:pt idx="80">
                  <c:v>6370.9711871487716</c:v>
                </c:pt>
                <c:pt idx="81">
                  <c:v>6375.6369336241742</c:v>
                </c:pt>
                <c:pt idx="82">
                  <c:v>6380.3227710457122</c:v>
                </c:pt>
                <c:pt idx="83">
                  <c:v>6396.0440206205703</c:v>
                </c:pt>
                <c:pt idx="84">
                  <c:v>6422.359055966399</c:v>
                </c:pt>
                <c:pt idx="85">
                  <c:v>6426.7567532661169</c:v>
                </c:pt>
                <c:pt idx="86">
                  <c:v>6435.2405671163488</c:v>
                </c:pt>
                <c:pt idx="87">
                  <c:v>6446.9539200722629</c:v>
                </c:pt>
                <c:pt idx="88">
                  <c:v>6455.5771116816759</c:v>
                </c:pt>
                <c:pt idx="89">
                  <c:v>6464.0878777431672</c:v>
                </c:pt>
                <c:pt idx="90">
                  <c:v>6481.3434940440784</c:v>
                </c:pt>
                <c:pt idx="91">
                  <c:v>6475.4787900762967</c:v>
                </c:pt>
                <c:pt idx="92">
                  <c:v>6474.0938561613621</c:v>
                </c:pt>
                <c:pt idx="93">
                  <c:v>6489.1205801017495</c:v>
                </c:pt>
                <c:pt idx="94">
                  <c:v>6485.2011694215171</c:v>
                </c:pt>
                <c:pt idx="95">
                  <c:v>6483.5872039748383</c:v>
                </c:pt>
                <c:pt idx="96">
                  <c:v>6474.6965291591459</c:v>
                </c:pt>
                <c:pt idx="97">
                  <c:v>6471.8793252712603</c:v>
                </c:pt>
                <c:pt idx="98">
                  <c:v>6466.8495104731883</c:v>
                </c:pt>
                <c:pt idx="99">
                  <c:v>6461.6156233624761</c:v>
                </c:pt>
                <c:pt idx="100">
                  <c:v>6459.4153497712896</c:v>
                </c:pt>
                <c:pt idx="101">
                  <c:v>6448.6955888494031</c:v>
                </c:pt>
                <c:pt idx="102">
                  <c:v>6437.7254627171005</c:v>
                </c:pt>
                <c:pt idx="103">
                  <c:v>6423.9862105452967</c:v>
                </c:pt>
                <c:pt idx="104">
                  <c:v>6413.8272872344951</c:v>
                </c:pt>
                <c:pt idx="105">
                  <c:v>6403.7705060794196</c:v>
                </c:pt>
                <c:pt idx="106">
                  <c:v>6388.7512005069257</c:v>
                </c:pt>
                <c:pt idx="107">
                  <c:v>6367.2825166298117</c:v>
                </c:pt>
                <c:pt idx="108">
                  <c:v>6342.6125144125035</c:v>
                </c:pt>
                <c:pt idx="109">
                  <c:v>6321.7740839194084</c:v>
                </c:pt>
                <c:pt idx="110">
                  <c:v>6307.8552536825355</c:v>
                </c:pt>
                <c:pt idx="111">
                  <c:v>6285.1692198581968</c:v>
                </c:pt>
                <c:pt idx="112">
                  <c:v>6269.9114191151994</c:v>
                </c:pt>
                <c:pt idx="113">
                  <c:v>6255.8993727569814</c:v>
                </c:pt>
                <c:pt idx="114">
                  <c:v>6238.91436115129</c:v>
                </c:pt>
                <c:pt idx="115">
                  <c:v>6227.6634939501655</c:v>
                </c:pt>
                <c:pt idx="116">
                  <c:v>6215.3305518996667</c:v>
                </c:pt>
                <c:pt idx="117">
                  <c:v>6205.2791925987603</c:v>
                </c:pt>
                <c:pt idx="118">
                  <c:v>6203.1052050141634</c:v>
                </c:pt>
                <c:pt idx="119">
                  <c:v>6198.2234157741786</c:v>
                </c:pt>
                <c:pt idx="120">
                  <c:v>6191.2978174804784</c:v>
                </c:pt>
                <c:pt idx="121">
                  <c:v>6190.4242037211761</c:v>
                </c:pt>
                <c:pt idx="122">
                  <c:v>6192.2488813202581</c:v>
                </c:pt>
                <c:pt idx="123">
                  <c:v>6188.4237447632713</c:v>
                </c:pt>
                <c:pt idx="124">
                  <c:v>6181.8385311757875</c:v>
                </c:pt>
                <c:pt idx="125">
                  <c:v>6200.9714413047304</c:v>
                </c:pt>
                <c:pt idx="126">
                  <c:v>6202.2732967498141</c:v>
                </c:pt>
                <c:pt idx="127">
                  <c:v>6200.2058571831712</c:v>
                </c:pt>
                <c:pt idx="128">
                  <c:v>6189.543457177796</c:v>
                </c:pt>
                <c:pt idx="129">
                  <c:v>6177.4033771731365</c:v>
                </c:pt>
                <c:pt idx="130">
                  <c:v>6161.9798316452907</c:v>
                </c:pt>
                <c:pt idx="131">
                  <c:v>6142.504520759252</c:v>
                </c:pt>
                <c:pt idx="132">
                  <c:v>6137.4893941818291</c:v>
                </c:pt>
                <c:pt idx="133">
                  <c:v>6142.5127606718706</c:v>
                </c:pt>
                <c:pt idx="134">
                  <c:v>6134.4751544870496</c:v>
                </c:pt>
                <c:pt idx="135">
                  <c:v>6129.0788481744903</c:v>
                </c:pt>
                <c:pt idx="136">
                  <c:v>6128.9758112750324</c:v>
                </c:pt>
                <c:pt idx="137">
                  <c:v>6132.7677507240769</c:v>
                </c:pt>
                <c:pt idx="138">
                  <c:v>6130.8284791989608</c:v>
                </c:pt>
                <c:pt idx="139">
                  <c:v>6125.6021105438622</c:v>
                </c:pt>
                <c:pt idx="140">
                  <c:v>6124.1780196142045</c:v>
                </c:pt>
                <c:pt idx="141">
                  <c:v>6122.9089027132632</c:v>
                </c:pt>
                <c:pt idx="142">
                  <c:v>6123.3200490181625</c:v>
                </c:pt>
                <c:pt idx="143">
                  <c:v>6137.2040901014543</c:v>
                </c:pt>
                <c:pt idx="144">
                  <c:v>6126.4012590403063</c:v>
                </c:pt>
                <c:pt idx="145">
                  <c:v>6122.9617578349325</c:v>
                </c:pt>
                <c:pt idx="146">
                  <c:v>6111.4103329807522</c:v>
                </c:pt>
                <c:pt idx="147">
                  <c:v>6083.8333838214148</c:v>
                </c:pt>
                <c:pt idx="148">
                  <c:v>6048.4381707404627</c:v>
                </c:pt>
              </c:numCache>
            </c:numRef>
          </c:val>
        </c:ser>
        <c:ser>
          <c:idx val="2"/>
          <c:order val="2"/>
          <c:tx>
            <c:v>LB</c:v>
          </c:tx>
          <c:marker>
            <c:symbol val="none"/>
          </c:marker>
          <c:val>
            <c:numRef>
              <c:f>result!$X$52:$X$200</c:f>
              <c:numCache>
                <c:formatCode>General</c:formatCode>
                <c:ptCount val="149"/>
                <c:pt idx="0">
                  <c:v>6041.545714285714</c:v>
                </c:pt>
                <c:pt idx="1">
                  <c:v>6029.8061428571418</c:v>
                </c:pt>
                <c:pt idx="2">
                  <c:v>6017.1770380952385</c:v>
                </c:pt>
                <c:pt idx="3">
                  <c:v>6004.8603377777772</c:v>
                </c:pt>
                <c:pt idx="4">
                  <c:v>5998.9489594074084</c:v>
                </c:pt>
                <c:pt idx="5">
                  <c:v>5974.9262410102292</c:v>
                </c:pt>
                <c:pt idx="6">
                  <c:v>5962.3914564945799</c:v>
                </c:pt>
                <c:pt idx="7">
                  <c:v>5948.1318813429216</c:v>
                </c:pt>
                <c:pt idx="8">
                  <c:v>5936.8681066876743</c:v>
                </c:pt>
                <c:pt idx="9">
                  <c:v>5937.3705019864592</c:v>
                </c:pt>
                <c:pt idx="10">
                  <c:v>5936.8408636263612</c:v>
                </c:pt>
                <c:pt idx="11">
                  <c:v>5929.2917484761792</c:v>
                </c:pt>
                <c:pt idx="12">
                  <c:v>5927.9974201079267</c:v>
                </c:pt>
                <c:pt idx="13">
                  <c:v>5922.8489069506795</c:v>
                </c:pt>
                <c:pt idx="14">
                  <c:v>5924.3281955477314</c:v>
                </c:pt>
                <c:pt idx="15">
                  <c:v>5930.0803885223204</c:v>
                </c:pt>
                <c:pt idx="16">
                  <c:v>5931.5838605288682</c:v>
                </c:pt>
                <c:pt idx="17">
                  <c:v>5908.258964839305</c:v>
                </c:pt>
                <c:pt idx="18">
                  <c:v>5853.6054838131104</c:v>
                </c:pt>
                <c:pt idx="19">
                  <c:v>5841.854895495173</c:v>
                </c:pt>
                <c:pt idx="20">
                  <c:v>5814.1855284767698</c:v>
                </c:pt>
                <c:pt idx="21">
                  <c:v>5777.6864580132005</c:v>
                </c:pt>
                <c:pt idx="22">
                  <c:v>5759.9755017066782</c:v>
                </c:pt>
                <c:pt idx="23">
                  <c:v>5750.1309586219777</c:v>
                </c:pt>
                <c:pt idx="24">
                  <c:v>5739.8602593771438</c:v>
                </c:pt>
                <c:pt idx="25">
                  <c:v>5733.7793200316182</c:v>
                </c:pt>
                <c:pt idx="26">
                  <c:v>5718.1654106940696</c:v>
                </c:pt>
                <c:pt idx="27">
                  <c:v>5709.5406416491469</c:v>
                </c:pt>
                <c:pt idx="28">
                  <c:v>5702.2003180006877</c:v>
                </c:pt>
                <c:pt idx="29">
                  <c:v>5694.8397994101197</c:v>
                </c:pt>
                <c:pt idx="30">
                  <c:v>5673.698111869724</c:v>
                </c:pt>
                <c:pt idx="31">
                  <c:v>5683.3747921918566</c:v>
                </c:pt>
                <c:pt idx="32">
                  <c:v>5711.7861056138954</c:v>
                </c:pt>
                <c:pt idx="33">
                  <c:v>5732.3417201034708</c:v>
                </c:pt>
                <c:pt idx="34">
                  <c:v>5751.3484431372935</c:v>
                </c:pt>
                <c:pt idx="35">
                  <c:v>5773.3032697666067</c:v>
                </c:pt>
                <c:pt idx="36">
                  <c:v>5786.4533576072499</c:v>
                </c:pt>
                <c:pt idx="37">
                  <c:v>5796.0355289739027</c:v>
                </c:pt>
                <c:pt idx="38">
                  <c:v>5801.7386965392861</c:v>
                </c:pt>
                <c:pt idx="39">
                  <c:v>5815.8327750959525</c:v>
                </c:pt>
                <c:pt idx="40">
                  <c:v>5815.2079288926825</c:v>
                </c:pt>
                <c:pt idx="41">
                  <c:v>5829.5759193260401</c:v>
                </c:pt>
                <c:pt idx="42">
                  <c:v>5832.5308919873305</c:v>
                </c:pt>
                <c:pt idx="43">
                  <c:v>5844.5000111509235</c:v>
                </c:pt>
                <c:pt idx="44">
                  <c:v>5838.1376763308017</c:v>
                </c:pt>
                <c:pt idx="45">
                  <c:v>5837.2615099628847</c:v>
                </c:pt>
                <c:pt idx="46">
                  <c:v>5839.409213396405</c:v>
                </c:pt>
                <c:pt idx="47">
                  <c:v>5848.3692230387896</c:v>
                </c:pt>
                <c:pt idx="48">
                  <c:v>5857.6346123479034</c:v>
                </c:pt>
                <c:pt idx="49">
                  <c:v>5859.4292354634199</c:v>
                </c:pt>
                <c:pt idx="50">
                  <c:v>5856.205718354011</c:v>
                </c:pt>
                <c:pt idx="51">
                  <c:v>5866.7465273353801</c:v>
                </c:pt>
                <c:pt idx="52">
                  <c:v>5885.9440379763791</c:v>
                </c:pt>
                <c:pt idx="53">
                  <c:v>5903.7046424366708</c:v>
                </c:pt>
                <c:pt idx="54">
                  <c:v>5916.5134043974958</c:v>
                </c:pt>
                <c:pt idx="55">
                  <c:v>5933.5249028587814</c:v>
                </c:pt>
                <c:pt idx="56">
                  <c:v>5956.7395824776122</c:v>
                </c:pt>
                <c:pt idx="57">
                  <c:v>5977.6588286234546</c:v>
                </c:pt>
                <c:pt idx="58">
                  <c:v>6000.0938895688978</c:v>
                </c:pt>
                <c:pt idx="59">
                  <c:v>6025.0638471501879</c:v>
                </c:pt>
                <c:pt idx="60">
                  <c:v>6047.5218103873049</c:v>
                </c:pt>
                <c:pt idx="61">
                  <c:v>6064.1423309070942</c:v>
                </c:pt>
                <c:pt idx="62">
                  <c:v>6087.8760677385289</c:v>
                </c:pt>
                <c:pt idx="63">
                  <c:v>6113.3251634686303</c:v>
                </c:pt>
                <c:pt idx="64">
                  <c:v>6126.4094750061458</c:v>
                </c:pt>
                <c:pt idx="65">
                  <c:v>6148.7934021481842</c:v>
                </c:pt>
                <c:pt idx="66">
                  <c:v>6165.1082818617588</c:v>
                </c:pt>
                <c:pt idx="67">
                  <c:v>6178.0754633278093</c:v>
                </c:pt>
                <c:pt idx="68">
                  <c:v>6195.0183539317204</c:v>
                </c:pt>
                <c:pt idx="69">
                  <c:v>6183.197382931301</c:v>
                </c:pt>
                <c:pt idx="70">
                  <c:v>6190.2175890166509</c:v>
                </c:pt>
                <c:pt idx="71">
                  <c:v>6189.880910481098</c:v>
                </c:pt>
                <c:pt idx="72">
                  <c:v>6201.5697414645701</c:v>
                </c:pt>
                <c:pt idx="73">
                  <c:v>6202.9961568883409</c:v>
                </c:pt>
                <c:pt idx="74">
                  <c:v>6203.4207645413253</c:v>
                </c:pt>
                <c:pt idx="75">
                  <c:v>6200.6224721262915</c:v>
                </c:pt>
                <c:pt idx="76">
                  <c:v>6195.9383806046899</c:v>
                </c:pt>
                <c:pt idx="77">
                  <c:v>6187.1492631907313</c:v>
                </c:pt>
                <c:pt idx="78">
                  <c:v>6185.8011709557759</c:v>
                </c:pt>
                <c:pt idx="79">
                  <c:v>6187.2268719711965</c:v>
                </c:pt>
                <c:pt idx="80">
                  <c:v>6194.4516699940841</c:v>
                </c:pt>
                <c:pt idx="81">
                  <c:v>6205.157352090112</c:v>
                </c:pt>
                <c:pt idx="82">
                  <c:v>6214.6858003828584</c:v>
                </c:pt>
                <c:pt idx="83">
                  <c:v>6226.4159793794306</c:v>
                </c:pt>
                <c:pt idx="84">
                  <c:v>6221.8280868907441</c:v>
                </c:pt>
                <c:pt idx="85">
                  <c:v>6232.943246733882</c:v>
                </c:pt>
                <c:pt idx="86">
                  <c:v>6245.7808614550795</c:v>
                </c:pt>
                <c:pt idx="87">
                  <c:v>6253.2275084991634</c:v>
                </c:pt>
                <c:pt idx="88">
                  <c:v>6259.6328883183214</c:v>
                </c:pt>
                <c:pt idx="89">
                  <c:v>6274.4135508282607</c:v>
                </c:pt>
                <c:pt idx="90">
                  <c:v>6272.9550773844931</c:v>
                </c:pt>
                <c:pt idx="91">
                  <c:v>6280.1154956379887</c:v>
                </c:pt>
                <c:pt idx="92">
                  <c:v>6279.3190009814953</c:v>
                </c:pt>
                <c:pt idx="93">
                  <c:v>6275.5037056125311</c:v>
                </c:pt>
                <c:pt idx="94">
                  <c:v>6283.3745448641957</c:v>
                </c:pt>
                <c:pt idx="95">
                  <c:v>6280.622796025159</c:v>
                </c:pt>
                <c:pt idx="96">
                  <c:v>6284.3220422694249</c:v>
                </c:pt>
                <c:pt idx="97">
                  <c:v>6277.5721033001682</c:v>
                </c:pt>
                <c:pt idx="98">
                  <c:v>6276.8419180982419</c:v>
                </c:pt>
                <c:pt idx="99">
                  <c:v>6277.8143766375224</c:v>
                </c:pt>
                <c:pt idx="100">
                  <c:v>6254.9689359429967</c:v>
                </c:pt>
                <c:pt idx="101">
                  <c:v>6248.0086968648829</c:v>
                </c:pt>
                <c:pt idx="102">
                  <c:v>6246.7888229971832</c:v>
                </c:pt>
                <c:pt idx="103">
                  <c:v>6236.1637894547011</c:v>
                </c:pt>
                <c:pt idx="104">
                  <c:v>6224.4598556226465</c:v>
                </c:pt>
                <c:pt idx="105">
                  <c:v>6220.0480653491504</c:v>
                </c:pt>
                <c:pt idx="106">
                  <c:v>6213.8730852073586</c:v>
                </c:pt>
                <c:pt idx="107">
                  <c:v>6188.4374833701877</c:v>
                </c:pt>
                <c:pt idx="108">
                  <c:v>6165.0574855874947</c:v>
                </c:pt>
                <c:pt idx="109">
                  <c:v>6151.1130589377353</c:v>
                </c:pt>
                <c:pt idx="110">
                  <c:v>6117.8090320317515</c:v>
                </c:pt>
                <c:pt idx="111">
                  <c:v>6094.1064944275167</c:v>
                </c:pt>
                <c:pt idx="112">
                  <c:v>6063.6157237419438</c:v>
                </c:pt>
                <c:pt idx="113">
                  <c:v>6044.0777701001607</c:v>
                </c:pt>
                <c:pt idx="114">
                  <c:v>6040.1556388487115</c:v>
                </c:pt>
                <c:pt idx="115">
                  <c:v>6036.7979346212633</c:v>
                </c:pt>
                <c:pt idx="116">
                  <c:v>6034.7337338146181</c:v>
                </c:pt>
                <c:pt idx="117">
                  <c:v>6036.8979502583861</c:v>
                </c:pt>
                <c:pt idx="118">
                  <c:v>6033.374794985838</c:v>
                </c:pt>
                <c:pt idx="119">
                  <c:v>6032.3037270829645</c:v>
                </c:pt>
                <c:pt idx="120">
                  <c:v>6035.500753948093</c:v>
                </c:pt>
                <c:pt idx="121">
                  <c:v>6039.4400819931079</c:v>
                </c:pt>
                <c:pt idx="122">
                  <c:v>6033.7439758225992</c:v>
                </c:pt>
                <c:pt idx="123">
                  <c:v>6022.5248266652998</c:v>
                </c:pt>
                <c:pt idx="124">
                  <c:v>6027.1314688242119</c:v>
                </c:pt>
                <c:pt idx="125">
                  <c:v>6018.4599872666995</c:v>
                </c:pt>
                <c:pt idx="126">
                  <c:v>6021.9967032501863</c:v>
                </c:pt>
                <c:pt idx="127">
                  <c:v>6003.4941428168277</c:v>
                </c:pt>
                <c:pt idx="128">
                  <c:v>5989.4079713936308</c:v>
                </c:pt>
                <c:pt idx="129">
                  <c:v>5971.5566228268608</c:v>
                </c:pt>
                <c:pt idx="130">
                  <c:v>5958.9673112118508</c:v>
                </c:pt>
                <c:pt idx="131">
                  <c:v>5947.228336383605</c:v>
                </c:pt>
                <c:pt idx="132">
                  <c:v>5936.662034389602</c:v>
                </c:pt>
                <c:pt idx="133">
                  <c:v>5925.0143821852726</c:v>
                </c:pt>
                <c:pt idx="134">
                  <c:v>5926.600559798665</c:v>
                </c:pt>
                <c:pt idx="135">
                  <c:v>5931.0568661112238</c:v>
                </c:pt>
                <c:pt idx="136">
                  <c:v>5938.6527601535354</c:v>
                </c:pt>
                <c:pt idx="137">
                  <c:v>5944.0851064187791</c:v>
                </c:pt>
                <c:pt idx="138">
                  <c:v>5952.6315208010365</c:v>
                </c:pt>
                <c:pt idx="139">
                  <c:v>5952.3207465989935</c:v>
                </c:pt>
                <c:pt idx="140">
                  <c:v>5942.3248375286512</c:v>
                </c:pt>
                <c:pt idx="141">
                  <c:v>5941.8868115724508</c:v>
                </c:pt>
                <c:pt idx="142">
                  <c:v>5947.6942366961248</c:v>
                </c:pt>
                <c:pt idx="143">
                  <c:v>5918.9630527556883</c:v>
                </c:pt>
                <c:pt idx="144">
                  <c:v>5913.4430266739755</c:v>
                </c:pt>
                <c:pt idx="145">
                  <c:v>5882.9939564507795</c:v>
                </c:pt>
                <c:pt idx="146">
                  <c:v>5857.1182384478188</c:v>
                </c:pt>
                <c:pt idx="147">
                  <c:v>5830.4309018928725</c:v>
                </c:pt>
                <c:pt idx="148">
                  <c:v>5807.734686402393</c:v>
                </c:pt>
              </c:numCache>
            </c:numRef>
          </c:val>
        </c:ser>
        <c:ser>
          <c:idx val="3"/>
          <c:order val="3"/>
          <c:tx>
            <c:v>Close</c:v>
          </c:tx>
          <c:marker>
            <c:symbol val="none"/>
          </c:marker>
          <c:val>
            <c:numRef>
              <c:f>result!$E$52:$E$200</c:f>
              <c:numCache>
                <c:formatCode>General</c:formatCode>
                <c:ptCount val="149"/>
                <c:pt idx="0">
                  <c:v>6018.79</c:v>
                </c:pt>
                <c:pt idx="1">
                  <c:v>6019.49</c:v>
                </c:pt>
                <c:pt idx="2">
                  <c:v>6001</c:v>
                </c:pt>
                <c:pt idx="3">
                  <c:v>6065.91</c:v>
                </c:pt>
                <c:pt idx="4">
                  <c:v>6048.74</c:v>
                </c:pt>
                <c:pt idx="5">
                  <c:v>5961.24</c:v>
                </c:pt>
                <c:pt idx="6">
                  <c:v>5957.98</c:v>
                </c:pt>
                <c:pt idx="7">
                  <c:v>6005.88</c:v>
                </c:pt>
                <c:pt idx="8">
                  <c:v>6028.75</c:v>
                </c:pt>
                <c:pt idx="9">
                  <c:v>6019.93</c:v>
                </c:pt>
                <c:pt idx="10">
                  <c:v>6013.49</c:v>
                </c:pt>
                <c:pt idx="11">
                  <c:v>5971.76</c:v>
                </c:pt>
                <c:pt idx="12">
                  <c:v>6024.07</c:v>
                </c:pt>
                <c:pt idx="13">
                  <c:v>5979.42</c:v>
                </c:pt>
                <c:pt idx="14">
                  <c:v>5993.89</c:v>
                </c:pt>
                <c:pt idx="15">
                  <c:v>5998.08</c:v>
                </c:pt>
                <c:pt idx="16">
                  <c:v>5976.68</c:v>
                </c:pt>
                <c:pt idx="17">
                  <c:v>5888.37</c:v>
                </c:pt>
                <c:pt idx="18">
                  <c:v>5715.16</c:v>
                </c:pt>
                <c:pt idx="19">
                  <c:v>5748.35</c:v>
                </c:pt>
                <c:pt idx="20">
                  <c:v>5693.01</c:v>
                </c:pt>
                <c:pt idx="21">
                  <c:v>5721.99</c:v>
                </c:pt>
                <c:pt idx="22">
                  <c:v>5747.09</c:v>
                </c:pt>
                <c:pt idx="23">
                  <c:v>5758.31</c:v>
                </c:pt>
                <c:pt idx="24">
                  <c:v>5805.25</c:v>
                </c:pt>
                <c:pt idx="25">
                  <c:v>5778.27</c:v>
                </c:pt>
                <c:pt idx="26">
                  <c:v>5842.27</c:v>
                </c:pt>
                <c:pt idx="27">
                  <c:v>5818.07</c:v>
                </c:pt>
                <c:pt idx="28">
                  <c:v>5818.22</c:v>
                </c:pt>
                <c:pt idx="29">
                  <c:v>5803.68</c:v>
                </c:pt>
                <c:pt idx="30">
                  <c:v>5927.5</c:v>
                </c:pt>
                <c:pt idx="31">
                  <c:v>5967.96</c:v>
                </c:pt>
                <c:pt idx="32">
                  <c:v>5966.85</c:v>
                </c:pt>
                <c:pt idx="33">
                  <c:v>5949.8</c:v>
                </c:pt>
                <c:pt idx="34">
                  <c:v>5917.13</c:v>
                </c:pt>
                <c:pt idx="35">
                  <c:v>5934.6</c:v>
                </c:pt>
                <c:pt idx="36">
                  <c:v>5981.48</c:v>
                </c:pt>
                <c:pt idx="37">
                  <c:v>5925.88</c:v>
                </c:pt>
                <c:pt idx="38">
                  <c:v>5894.01</c:v>
                </c:pt>
                <c:pt idx="39">
                  <c:v>5890.83</c:v>
                </c:pt>
                <c:pt idx="40">
                  <c:v>5970.71</c:v>
                </c:pt>
                <c:pt idx="41">
                  <c:v>5954.69</c:v>
                </c:pt>
                <c:pt idx="42">
                  <c:v>5885.45</c:v>
                </c:pt>
                <c:pt idx="43">
                  <c:v>5909.1</c:v>
                </c:pt>
                <c:pt idx="44">
                  <c:v>5888.53</c:v>
                </c:pt>
                <c:pt idx="45">
                  <c:v>5939.42</c:v>
                </c:pt>
                <c:pt idx="46">
                  <c:v>5991.55</c:v>
                </c:pt>
                <c:pt idx="47">
                  <c:v>6009.52</c:v>
                </c:pt>
                <c:pt idx="48">
                  <c:v>6011.56</c:v>
                </c:pt>
                <c:pt idx="49">
                  <c:v>5971.62</c:v>
                </c:pt>
                <c:pt idx="50">
                  <c:v>6039.48</c:v>
                </c:pt>
                <c:pt idx="51">
                  <c:v>6107.95</c:v>
                </c:pt>
                <c:pt idx="52">
                  <c:v>6137.57</c:v>
                </c:pt>
                <c:pt idx="53">
                  <c:v>6105.79</c:v>
                </c:pt>
                <c:pt idx="54">
                  <c:v>6161.66</c:v>
                </c:pt>
                <c:pt idx="55">
                  <c:v>6145.92</c:v>
                </c:pt>
                <c:pt idx="56">
                  <c:v>6192.35</c:v>
                </c:pt>
                <c:pt idx="57">
                  <c:v>6231.05</c:v>
                </c:pt>
                <c:pt idx="58">
                  <c:v>6205.76</c:v>
                </c:pt>
                <c:pt idx="59">
                  <c:v>6252.1</c:v>
                </c:pt>
                <c:pt idx="60">
                  <c:v>6282.41</c:v>
                </c:pt>
                <c:pt idx="61">
                  <c:v>6293.56</c:v>
                </c:pt>
                <c:pt idx="62">
                  <c:v>6296.89</c:v>
                </c:pt>
                <c:pt idx="63">
                  <c:v>6278.46</c:v>
                </c:pt>
                <c:pt idx="64">
                  <c:v>6357.83</c:v>
                </c:pt>
                <c:pt idx="65">
                  <c:v>6373.86</c:v>
                </c:pt>
                <c:pt idx="66">
                  <c:v>6340.69</c:v>
                </c:pt>
                <c:pt idx="67">
                  <c:v>6302.99</c:v>
                </c:pt>
                <c:pt idx="68">
                  <c:v>6316.84</c:v>
                </c:pt>
                <c:pt idx="69">
                  <c:v>6231.65</c:v>
                </c:pt>
                <c:pt idx="70">
                  <c:v>6241.94</c:v>
                </c:pt>
                <c:pt idx="71">
                  <c:v>6272.14</c:v>
                </c:pt>
                <c:pt idx="72">
                  <c:v>6271.2</c:v>
                </c:pt>
                <c:pt idx="73">
                  <c:v>6232.04</c:v>
                </c:pt>
                <c:pt idx="74">
                  <c:v>6222.05</c:v>
                </c:pt>
                <c:pt idx="75">
                  <c:v>6212.6</c:v>
                </c:pt>
                <c:pt idx="76">
                  <c:v>6201.4</c:v>
                </c:pt>
                <c:pt idx="77">
                  <c:v>6298.86</c:v>
                </c:pt>
                <c:pt idx="78">
                  <c:v>6358.81</c:v>
                </c:pt>
                <c:pt idx="79">
                  <c:v>6377.09</c:v>
                </c:pt>
                <c:pt idx="80">
                  <c:v>6418.35</c:v>
                </c:pt>
                <c:pt idx="81">
                  <c:v>6410.59</c:v>
                </c:pt>
                <c:pt idx="82">
                  <c:v>6416.34</c:v>
                </c:pt>
                <c:pt idx="83">
                  <c:v>6423.81</c:v>
                </c:pt>
                <c:pt idx="84">
                  <c:v>6394.03</c:v>
                </c:pt>
                <c:pt idx="85">
                  <c:v>6380.73</c:v>
                </c:pt>
                <c:pt idx="86">
                  <c:v>6420.45</c:v>
                </c:pt>
                <c:pt idx="87">
                  <c:v>6366.16</c:v>
                </c:pt>
                <c:pt idx="88">
                  <c:v>6327.25</c:v>
                </c:pt>
                <c:pt idx="89">
                  <c:v>6375.64</c:v>
                </c:pt>
                <c:pt idx="90">
                  <c:v>6311.98</c:v>
                </c:pt>
                <c:pt idx="91">
                  <c:v>6307.93</c:v>
                </c:pt>
                <c:pt idx="92">
                  <c:v>6343.54</c:v>
                </c:pt>
                <c:pt idx="93">
                  <c:v>6455.57</c:v>
                </c:pt>
                <c:pt idx="94">
                  <c:v>6446.01</c:v>
                </c:pt>
                <c:pt idx="95">
                  <c:v>6380.03</c:v>
                </c:pt>
                <c:pt idx="96">
                  <c:v>6380</c:v>
                </c:pt>
                <c:pt idx="97">
                  <c:v>6356.84</c:v>
                </c:pt>
                <c:pt idx="98">
                  <c:v>6353.71</c:v>
                </c:pt>
                <c:pt idx="99">
                  <c:v>6350.9</c:v>
                </c:pt>
                <c:pt idx="100">
                  <c:v>6245.13</c:v>
                </c:pt>
                <c:pt idx="101">
                  <c:v>6242.4</c:v>
                </c:pt>
                <c:pt idx="102">
                  <c:v>6241.92</c:v>
                </c:pt>
                <c:pt idx="103">
                  <c:v>6205.09</c:v>
                </c:pt>
                <c:pt idx="104">
                  <c:v>6158.94</c:v>
                </c:pt>
                <c:pt idx="105">
                  <c:v>6206.65</c:v>
                </c:pt>
                <c:pt idx="106">
                  <c:v>6195.18</c:v>
                </c:pt>
                <c:pt idx="107">
                  <c:v>6127.24</c:v>
                </c:pt>
                <c:pt idx="108">
                  <c:v>6109.66</c:v>
                </c:pt>
                <c:pt idx="109">
                  <c:v>6136.55</c:v>
                </c:pt>
                <c:pt idx="110">
                  <c:v>6049.44</c:v>
                </c:pt>
                <c:pt idx="111">
                  <c:v>6032.12</c:v>
                </c:pt>
                <c:pt idx="112">
                  <c:v>6033.47</c:v>
                </c:pt>
                <c:pt idx="113">
                  <c:v>6116.05</c:v>
                </c:pt>
                <c:pt idx="114">
                  <c:v>6098.78</c:v>
                </c:pt>
                <c:pt idx="115">
                  <c:v>6140.14</c:v>
                </c:pt>
                <c:pt idx="116">
                  <c:v>6141.14</c:v>
                </c:pt>
                <c:pt idx="117">
                  <c:v>6149.88</c:v>
                </c:pt>
                <c:pt idx="118">
                  <c:v>6119.06</c:v>
                </c:pt>
                <c:pt idx="119">
                  <c:v>6164.98</c:v>
                </c:pt>
                <c:pt idx="120">
                  <c:v>6169.08</c:v>
                </c:pt>
                <c:pt idx="121">
                  <c:v>6148.7</c:v>
                </c:pt>
                <c:pt idx="122">
                  <c:v>6082.56</c:v>
                </c:pt>
                <c:pt idx="123">
                  <c:v>6031.24</c:v>
                </c:pt>
                <c:pt idx="124">
                  <c:v>6035.59</c:v>
                </c:pt>
                <c:pt idx="125">
                  <c:v>6105.35</c:v>
                </c:pt>
                <c:pt idx="126">
                  <c:v>6067.34</c:v>
                </c:pt>
                <c:pt idx="127">
                  <c:v>5972.06</c:v>
                </c:pt>
                <c:pt idx="128">
                  <c:v>5925.54</c:v>
                </c:pt>
                <c:pt idx="129">
                  <c:v>5930.2</c:v>
                </c:pt>
                <c:pt idx="130">
                  <c:v>5945.05</c:v>
                </c:pt>
                <c:pt idx="131">
                  <c:v>5931.38</c:v>
                </c:pt>
                <c:pt idx="132">
                  <c:v>6009.99</c:v>
                </c:pt>
                <c:pt idx="133">
                  <c:v>6118.61</c:v>
                </c:pt>
                <c:pt idx="134">
                  <c:v>6123.92</c:v>
                </c:pt>
                <c:pt idx="135">
                  <c:v>6142.12</c:v>
                </c:pt>
                <c:pt idx="136">
                  <c:v>6135.01</c:v>
                </c:pt>
                <c:pt idx="137">
                  <c:v>6095.81</c:v>
                </c:pt>
                <c:pt idx="138">
                  <c:v>6081.84</c:v>
                </c:pt>
                <c:pt idx="139">
                  <c:v>6066.59</c:v>
                </c:pt>
                <c:pt idx="140">
                  <c:v>5987.4</c:v>
                </c:pt>
                <c:pt idx="141">
                  <c:v>5960.11</c:v>
                </c:pt>
                <c:pt idx="142">
                  <c:v>5969.07</c:v>
                </c:pt>
                <c:pt idx="143">
                  <c:v>5826.27</c:v>
                </c:pt>
                <c:pt idx="144">
                  <c:v>5830.79</c:v>
                </c:pt>
                <c:pt idx="145">
                  <c:v>5694.16</c:v>
                </c:pt>
                <c:pt idx="146">
                  <c:v>5748</c:v>
                </c:pt>
                <c:pt idx="147">
                  <c:v>5738.76</c:v>
                </c:pt>
                <c:pt idx="148">
                  <c:v>5717.28</c:v>
                </c:pt>
              </c:numCache>
            </c:numRef>
          </c:val>
        </c:ser>
        <c:marker val="1"/>
        <c:axId val="144546048"/>
        <c:axId val="144556032"/>
      </c:lineChart>
      <c:catAx>
        <c:axId val="144546048"/>
        <c:scaling>
          <c:orientation val="minMax"/>
        </c:scaling>
        <c:axPos val="b"/>
        <c:majorTickMark val="none"/>
        <c:tickLblPos val="nextTo"/>
        <c:crossAx val="144556032"/>
        <c:crosses val="autoZero"/>
        <c:auto val="1"/>
        <c:lblAlgn val="ctr"/>
        <c:lblOffset val="100"/>
      </c:catAx>
      <c:valAx>
        <c:axId val="144556032"/>
        <c:scaling>
          <c:orientation val="minMax"/>
        </c:scaling>
        <c:axPos val="l"/>
        <c:numFmt formatCode="General" sourceLinked="1"/>
        <c:majorTickMark val="none"/>
        <c:tickLblPos val="nextTo"/>
        <c:crossAx val="1445460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20580432880672528"/>
          <c:y val="0.89773709814935554"/>
          <c:w val="0.44527578074479818"/>
          <c:h val="7.6785194844275054E-2"/>
        </c:manualLayout>
      </c:layout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0</xdr:row>
      <xdr:rowOff>114298</xdr:rowOff>
    </xdr:from>
    <xdr:to>
      <xdr:col>36</xdr:col>
      <xdr:colOff>428625</xdr:colOff>
      <xdr:row>59</xdr:row>
      <xdr:rowOff>133349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28575</xdr:colOff>
      <xdr:row>59</xdr:row>
      <xdr:rowOff>166686</xdr:rowOff>
    </xdr:from>
    <xdr:to>
      <xdr:col>34</xdr:col>
      <xdr:colOff>542925</xdr:colOff>
      <xdr:row>75</xdr:row>
      <xdr:rowOff>152399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666749</xdr:colOff>
      <xdr:row>77</xdr:row>
      <xdr:rowOff>33336</xdr:rowOff>
    </xdr:from>
    <xdr:to>
      <xdr:col>34</xdr:col>
      <xdr:colOff>447674</xdr:colOff>
      <xdr:row>93</xdr:row>
      <xdr:rowOff>95249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0</xdr:colOff>
      <xdr:row>95</xdr:row>
      <xdr:rowOff>0</xdr:rowOff>
    </xdr:from>
    <xdr:to>
      <xdr:col>34</xdr:col>
      <xdr:colOff>457200</xdr:colOff>
      <xdr:row>109</xdr:row>
      <xdr:rowOff>57150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681"/>
  <sheetViews>
    <sheetView workbookViewId="0">
      <selection activeCell="D15" sqref="D15"/>
    </sheetView>
  </sheetViews>
  <sheetFormatPr defaultRowHeight="16.5"/>
  <cols>
    <col min="1" max="1" width="12.75" style="1" customWidth="1"/>
    <col min="2" max="4" width="9" style="1"/>
    <col min="5" max="5" width="9" style="3"/>
    <col min="6" max="6" width="9" style="1"/>
  </cols>
  <sheetData>
    <row r="1" spans="1:6">
      <c r="A1" s="1" t="s">
        <v>0</v>
      </c>
      <c r="B1" s="1" t="s">
        <v>5</v>
      </c>
      <c r="C1" s="1" t="s">
        <v>4</v>
      </c>
      <c r="D1" s="1" t="s">
        <v>3</v>
      </c>
      <c r="E1" s="3" t="s">
        <v>2</v>
      </c>
      <c r="F1" s="1" t="s">
        <v>1</v>
      </c>
    </row>
    <row r="2" spans="1:6">
      <c r="A2" s="2">
        <v>38355</v>
      </c>
      <c r="B2" s="1">
        <v>6166.39</v>
      </c>
      <c r="C2" s="1">
        <v>6183.15</v>
      </c>
      <c r="D2" s="1">
        <v>6129.28</v>
      </c>
      <c r="E2" s="3">
        <v>6143.12</v>
      </c>
      <c r="F2" s="1">
        <v>4212000</v>
      </c>
    </row>
    <row r="3" spans="1:6">
      <c r="A3" s="2">
        <v>38356</v>
      </c>
      <c r="B3" s="1">
        <v>6117.87</v>
      </c>
      <c r="C3" s="1">
        <v>6129.38</v>
      </c>
      <c r="D3" s="1">
        <v>6053.18</v>
      </c>
      <c r="E3" s="3">
        <v>6060.46</v>
      </c>
      <c r="F3" s="1">
        <v>3213200</v>
      </c>
    </row>
    <row r="4" spans="1:6">
      <c r="A4" s="2">
        <v>38357</v>
      </c>
      <c r="B4" s="1">
        <v>5999.47</v>
      </c>
      <c r="C4" s="1">
        <v>6030.19</v>
      </c>
      <c r="D4" s="1">
        <v>5988.37</v>
      </c>
      <c r="E4" s="3">
        <v>5988.37</v>
      </c>
      <c r="F4" s="1">
        <v>2850000</v>
      </c>
    </row>
    <row r="5" spans="1:6">
      <c r="A5" s="2">
        <v>38358</v>
      </c>
      <c r="B5" s="1">
        <v>5988.72</v>
      </c>
      <c r="C5" s="1">
        <v>6002.52</v>
      </c>
      <c r="D5" s="1">
        <v>5971.58</v>
      </c>
      <c r="E5" s="3">
        <v>5982.12</v>
      </c>
      <c r="F5" s="1">
        <v>2381000</v>
      </c>
    </row>
    <row r="6" spans="1:6">
      <c r="A6" s="2">
        <v>38359</v>
      </c>
      <c r="B6" s="1">
        <v>5990.78</v>
      </c>
      <c r="C6" s="1">
        <v>6007.34</v>
      </c>
      <c r="D6" s="1">
        <v>5934.83</v>
      </c>
      <c r="E6" s="3">
        <v>5935.99</v>
      </c>
      <c r="F6" s="1">
        <v>2991000</v>
      </c>
    </row>
    <row r="7" spans="1:6">
      <c r="A7" s="2">
        <v>38362</v>
      </c>
      <c r="B7" s="1">
        <v>5950.12</v>
      </c>
      <c r="C7" s="1">
        <v>5962.64</v>
      </c>
      <c r="D7" s="1">
        <v>5929.11</v>
      </c>
      <c r="E7" s="3">
        <v>5942.85</v>
      </c>
      <c r="F7" s="1">
        <v>2406400</v>
      </c>
    </row>
    <row r="8" spans="1:6">
      <c r="A8" s="2">
        <v>38363</v>
      </c>
      <c r="B8" s="1">
        <v>5948.07</v>
      </c>
      <c r="C8" s="1">
        <v>5993.39</v>
      </c>
      <c r="D8" s="1">
        <v>5942.14</v>
      </c>
      <c r="E8" s="3">
        <v>5975.66</v>
      </c>
      <c r="F8" s="1">
        <v>2509600</v>
      </c>
    </row>
    <row r="9" spans="1:6">
      <c r="A9" s="2">
        <v>38364</v>
      </c>
      <c r="B9" s="1">
        <v>5957.9</v>
      </c>
      <c r="C9" s="1">
        <v>5978.41</v>
      </c>
      <c r="D9" s="1">
        <v>5878.39</v>
      </c>
      <c r="E9" s="3">
        <v>5879.08</v>
      </c>
      <c r="F9" s="1">
        <v>2901000</v>
      </c>
    </row>
    <row r="10" spans="1:6">
      <c r="A10" s="2">
        <v>38365</v>
      </c>
      <c r="B10" s="1">
        <v>5899.76</v>
      </c>
      <c r="C10" s="1">
        <v>5922.26</v>
      </c>
      <c r="D10" s="1">
        <v>5828.09</v>
      </c>
      <c r="E10" s="3">
        <v>5853.94</v>
      </c>
      <c r="F10" s="1">
        <v>3119800</v>
      </c>
    </row>
    <row r="11" spans="1:6">
      <c r="A11" s="2">
        <v>38366</v>
      </c>
      <c r="B11" s="1">
        <v>5831.7</v>
      </c>
      <c r="C11" s="1">
        <v>5895.35</v>
      </c>
      <c r="D11" s="1">
        <v>5813.15</v>
      </c>
      <c r="E11" s="3">
        <v>5889.52</v>
      </c>
      <c r="F11" s="1">
        <v>3104200</v>
      </c>
    </row>
    <row r="12" spans="1:6">
      <c r="A12" s="2">
        <v>38369</v>
      </c>
      <c r="B12" s="1">
        <v>5955.62</v>
      </c>
      <c r="C12" s="1">
        <v>5969.03</v>
      </c>
      <c r="D12" s="1">
        <v>5940.06</v>
      </c>
      <c r="E12" s="3">
        <v>5945.27</v>
      </c>
      <c r="F12" s="1">
        <v>3187800</v>
      </c>
    </row>
    <row r="13" spans="1:6">
      <c r="A13" s="2">
        <v>38370</v>
      </c>
      <c r="B13" s="1">
        <v>5964.08</v>
      </c>
      <c r="C13" s="1">
        <v>5964.08</v>
      </c>
      <c r="D13" s="1">
        <v>5926.8</v>
      </c>
      <c r="E13" s="3">
        <v>5933.57</v>
      </c>
      <c r="F13" s="1">
        <v>2337600</v>
      </c>
    </row>
    <row r="14" spans="1:6">
      <c r="A14" s="2">
        <v>38371</v>
      </c>
      <c r="B14" s="1">
        <v>5952.59</v>
      </c>
      <c r="C14" s="1">
        <v>5961.78</v>
      </c>
      <c r="D14" s="1">
        <v>5895.35</v>
      </c>
      <c r="E14" s="3">
        <v>5895.35</v>
      </c>
      <c r="F14" s="1">
        <v>2667200</v>
      </c>
    </row>
    <row r="15" spans="1:6">
      <c r="A15" s="2">
        <v>38372</v>
      </c>
      <c r="B15" s="1">
        <v>5835.68</v>
      </c>
      <c r="C15" s="1">
        <v>5918.33</v>
      </c>
      <c r="D15" s="1">
        <v>5835.68</v>
      </c>
      <c r="E15" s="3">
        <v>5888.1</v>
      </c>
      <c r="F15" s="1">
        <v>3150000</v>
      </c>
    </row>
    <row r="16" spans="1:6">
      <c r="A16" s="2">
        <v>38373</v>
      </c>
      <c r="B16" s="1">
        <v>5877.31</v>
      </c>
      <c r="C16" s="1">
        <v>5898.86</v>
      </c>
      <c r="D16" s="1">
        <v>5846.95</v>
      </c>
      <c r="E16" s="3">
        <v>5848.91</v>
      </c>
      <c r="F16" s="1">
        <v>2485600</v>
      </c>
    </row>
    <row r="17" spans="1:6">
      <c r="A17" s="2">
        <v>38376</v>
      </c>
      <c r="B17" s="1">
        <v>5859.89</v>
      </c>
      <c r="C17" s="1">
        <v>5862.62</v>
      </c>
      <c r="D17" s="1">
        <v>5763.84</v>
      </c>
      <c r="E17" s="3">
        <v>5771.48</v>
      </c>
      <c r="F17" s="1">
        <v>2611600</v>
      </c>
    </row>
    <row r="18" spans="1:6">
      <c r="A18" s="2">
        <v>38377</v>
      </c>
      <c r="B18" s="1">
        <v>5759.21</v>
      </c>
      <c r="C18" s="1">
        <v>5796.85</v>
      </c>
      <c r="D18" s="1">
        <v>5734.87</v>
      </c>
      <c r="E18" s="3">
        <v>5782.75</v>
      </c>
      <c r="F18" s="1">
        <v>2587400</v>
      </c>
    </row>
    <row r="19" spans="1:6">
      <c r="A19" s="2">
        <v>38378</v>
      </c>
      <c r="B19" s="1">
        <v>5815.48</v>
      </c>
      <c r="C19" s="1">
        <v>5847.41</v>
      </c>
      <c r="D19" s="1">
        <v>5810.14</v>
      </c>
      <c r="E19" s="3">
        <v>5835.37</v>
      </c>
      <c r="F19" s="1">
        <v>2345600</v>
      </c>
    </row>
    <row r="20" spans="1:6">
      <c r="A20" s="2">
        <v>38379</v>
      </c>
      <c r="B20" s="1">
        <v>5849.23</v>
      </c>
      <c r="C20" s="1">
        <v>5859.7</v>
      </c>
      <c r="D20" s="1">
        <v>5820.72</v>
      </c>
      <c r="E20" s="3">
        <v>5842.76</v>
      </c>
      <c r="F20" s="1">
        <v>2340400</v>
      </c>
    </row>
    <row r="21" spans="1:6">
      <c r="A21" s="2">
        <v>38380</v>
      </c>
      <c r="B21" s="1">
        <v>5845.59</v>
      </c>
      <c r="C21" s="1">
        <v>5902.72</v>
      </c>
      <c r="D21" s="1">
        <v>5836.47</v>
      </c>
      <c r="E21" s="3">
        <v>5879.93</v>
      </c>
      <c r="F21" s="1">
        <v>3053000</v>
      </c>
    </row>
    <row r="22" spans="1:6">
      <c r="A22" s="2">
        <v>38383</v>
      </c>
      <c r="B22" s="1">
        <v>5905.3</v>
      </c>
      <c r="C22" s="1">
        <v>6002.37</v>
      </c>
      <c r="D22" s="1">
        <v>5900.37</v>
      </c>
      <c r="E22" s="3">
        <v>5994.23</v>
      </c>
      <c r="F22" s="1">
        <v>4459200</v>
      </c>
    </row>
    <row r="23" spans="1:6">
      <c r="A23" s="2">
        <v>38384</v>
      </c>
      <c r="B23" s="1">
        <v>6015.78</v>
      </c>
      <c r="C23" s="1">
        <v>6015.78</v>
      </c>
      <c r="D23" s="1">
        <v>5979.92</v>
      </c>
      <c r="E23" s="3">
        <v>5981.54</v>
      </c>
      <c r="F23" s="1">
        <v>3192200</v>
      </c>
    </row>
    <row r="24" spans="1:6">
      <c r="A24" s="2">
        <v>38385</v>
      </c>
      <c r="B24" s="1">
        <v>6016.33</v>
      </c>
      <c r="C24" s="1">
        <v>6064.66</v>
      </c>
      <c r="D24" s="1">
        <v>6010.76</v>
      </c>
      <c r="E24" s="3">
        <v>6018.69</v>
      </c>
      <c r="F24" s="1">
        <v>4000600</v>
      </c>
    </row>
    <row r="25" spans="1:6">
      <c r="A25" s="2">
        <v>38386</v>
      </c>
      <c r="B25" s="1">
        <v>6028.94</v>
      </c>
      <c r="C25" s="1">
        <v>6044.43</v>
      </c>
      <c r="D25" s="1">
        <v>6006.23</v>
      </c>
      <c r="E25" s="3">
        <v>6034.6</v>
      </c>
      <c r="F25" s="1">
        <v>3194800</v>
      </c>
    </row>
    <row r="26" spans="1:6">
      <c r="A26" s="2">
        <v>38397</v>
      </c>
      <c r="B26" s="1">
        <v>6130.32</v>
      </c>
      <c r="C26" s="1">
        <v>6148.95</v>
      </c>
      <c r="D26" s="1">
        <v>6089.44</v>
      </c>
      <c r="E26" s="3">
        <v>6112.4</v>
      </c>
      <c r="F26" s="1">
        <v>3814400</v>
      </c>
    </row>
    <row r="27" spans="1:6">
      <c r="A27" s="2">
        <v>38398</v>
      </c>
      <c r="B27" s="1">
        <v>6121.97</v>
      </c>
      <c r="C27" s="1">
        <v>6142.44</v>
      </c>
      <c r="D27" s="1">
        <v>6106.5</v>
      </c>
      <c r="E27" s="3">
        <v>6122.39</v>
      </c>
      <c r="F27" s="1">
        <v>3044800</v>
      </c>
    </row>
    <row r="28" spans="1:6">
      <c r="A28" s="2">
        <v>38399</v>
      </c>
      <c r="B28" s="1">
        <v>6134.53</v>
      </c>
      <c r="C28" s="1">
        <v>6158.8</v>
      </c>
      <c r="D28" s="1">
        <v>6086.3</v>
      </c>
      <c r="E28" s="3">
        <v>6143.49</v>
      </c>
      <c r="F28" s="1">
        <v>3705600</v>
      </c>
    </row>
    <row r="29" spans="1:6">
      <c r="A29" s="2">
        <v>38400</v>
      </c>
      <c r="B29" s="1">
        <v>6118.62</v>
      </c>
      <c r="C29" s="1">
        <v>6139.65</v>
      </c>
      <c r="D29" s="1">
        <v>6072.16</v>
      </c>
      <c r="E29" s="3">
        <v>6072.16</v>
      </c>
      <c r="F29" s="1">
        <v>3709200</v>
      </c>
    </row>
    <row r="30" spans="1:6">
      <c r="A30" s="2">
        <v>38401</v>
      </c>
      <c r="B30" s="1">
        <v>6072.45</v>
      </c>
      <c r="C30" s="1">
        <v>6128.64</v>
      </c>
      <c r="D30" s="1">
        <v>6062.96</v>
      </c>
      <c r="E30" s="3">
        <v>6115.43</v>
      </c>
      <c r="F30" s="1">
        <v>3656200</v>
      </c>
    </row>
    <row r="31" spans="1:6">
      <c r="A31" s="2">
        <v>38404</v>
      </c>
      <c r="B31" s="1">
        <v>6145.56</v>
      </c>
      <c r="C31" s="1">
        <v>6172.27</v>
      </c>
      <c r="D31" s="1">
        <v>6133.11</v>
      </c>
      <c r="E31" s="3">
        <v>6142.78</v>
      </c>
      <c r="F31" s="1">
        <v>4384400</v>
      </c>
    </row>
    <row r="32" spans="1:6">
      <c r="A32" s="2">
        <v>38405</v>
      </c>
      <c r="B32" s="1">
        <v>6155.54</v>
      </c>
      <c r="C32" s="1">
        <v>6161</v>
      </c>
      <c r="D32" s="1">
        <v>6106.19</v>
      </c>
      <c r="E32" s="3">
        <v>6107.17</v>
      </c>
      <c r="F32" s="1">
        <v>3149000</v>
      </c>
    </row>
    <row r="33" spans="1:6">
      <c r="A33" s="2">
        <v>38406</v>
      </c>
      <c r="B33" s="1">
        <v>6082.34</v>
      </c>
      <c r="C33" s="1">
        <v>6128.7</v>
      </c>
      <c r="D33" s="1">
        <v>6048.63</v>
      </c>
      <c r="E33" s="3">
        <v>6121.52</v>
      </c>
      <c r="F33" s="1">
        <v>3264600</v>
      </c>
    </row>
    <row r="34" spans="1:6">
      <c r="A34" s="2">
        <v>38407</v>
      </c>
      <c r="B34" s="1">
        <v>6123.59</v>
      </c>
      <c r="C34" s="1">
        <v>6171.56</v>
      </c>
      <c r="D34" s="1">
        <v>6109.9</v>
      </c>
      <c r="E34" s="3">
        <v>6128.34</v>
      </c>
      <c r="F34" s="1">
        <v>4080200</v>
      </c>
    </row>
    <row r="35" spans="1:6">
      <c r="A35" s="2">
        <v>38408</v>
      </c>
      <c r="B35" s="1">
        <v>6195.24</v>
      </c>
      <c r="C35" s="1">
        <v>6233.53</v>
      </c>
      <c r="D35" s="1">
        <v>6192.38</v>
      </c>
      <c r="E35" s="3">
        <v>6207.83</v>
      </c>
      <c r="F35" s="1">
        <v>5020600</v>
      </c>
    </row>
    <row r="36" spans="1:6">
      <c r="A36" s="2">
        <v>38412</v>
      </c>
      <c r="B36" s="1">
        <v>6227.42</v>
      </c>
      <c r="C36" s="1">
        <v>6260.32</v>
      </c>
      <c r="D36" s="1">
        <v>6207.78</v>
      </c>
      <c r="E36" s="3">
        <v>6259.69</v>
      </c>
      <c r="F36" s="1">
        <v>4353800</v>
      </c>
    </row>
    <row r="37" spans="1:6">
      <c r="A37" s="2">
        <v>38413</v>
      </c>
      <c r="B37" s="1">
        <v>6267.52</v>
      </c>
      <c r="C37" s="1">
        <v>6267.52</v>
      </c>
      <c r="D37" s="1">
        <v>6219.93</v>
      </c>
      <c r="E37" s="3">
        <v>6225.25</v>
      </c>
      <c r="F37" s="1">
        <v>3543000</v>
      </c>
    </row>
    <row r="38" spans="1:6">
      <c r="A38" s="2">
        <v>38414</v>
      </c>
      <c r="B38" s="1">
        <v>6219.71</v>
      </c>
      <c r="C38" s="1">
        <v>6219.71</v>
      </c>
      <c r="D38" s="1">
        <v>6164.15</v>
      </c>
      <c r="E38" s="3">
        <v>6202.38</v>
      </c>
      <c r="F38" s="1">
        <v>3528000</v>
      </c>
    </row>
    <row r="39" spans="1:6">
      <c r="A39" s="2">
        <v>38415</v>
      </c>
      <c r="B39" s="1">
        <v>6191.42</v>
      </c>
      <c r="C39" s="1">
        <v>6219.07</v>
      </c>
      <c r="D39" s="1">
        <v>6178.26</v>
      </c>
      <c r="E39" s="3">
        <v>6193.62</v>
      </c>
      <c r="F39" s="1">
        <v>3450400</v>
      </c>
    </row>
    <row r="40" spans="1:6">
      <c r="A40" s="2">
        <v>38418</v>
      </c>
      <c r="B40" s="1">
        <v>6224.44</v>
      </c>
      <c r="C40" s="1">
        <v>6257.54</v>
      </c>
      <c r="D40" s="1">
        <v>6220.52</v>
      </c>
      <c r="E40" s="3">
        <v>6220.52</v>
      </c>
      <c r="F40" s="1">
        <v>3749800</v>
      </c>
    </row>
    <row r="41" spans="1:6">
      <c r="A41" s="2">
        <v>38419</v>
      </c>
      <c r="B41" s="1">
        <v>6250.58</v>
      </c>
      <c r="C41" s="1">
        <v>6255.68</v>
      </c>
      <c r="D41" s="1">
        <v>6156.98</v>
      </c>
      <c r="E41" s="3">
        <v>6173.34</v>
      </c>
      <c r="F41" s="1">
        <v>4069600</v>
      </c>
    </row>
    <row r="42" spans="1:6">
      <c r="A42" s="2">
        <v>38420</v>
      </c>
      <c r="B42" s="1">
        <v>6163.56</v>
      </c>
      <c r="C42" s="1">
        <v>6227.13</v>
      </c>
      <c r="D42" s="1">
        <v>6163.56</v>
      </c>
      <c r="E42" s="3">
        <v>6213.28</v>
      </c>
      <c r="F42" s="1">
        <v>3574400</v>
      </c>
    </row>
    <row r="43" spans="1:6">
      <c r="A43" s="2">
        <v>38421</v>
      </c>
      <c r="B43" s="1">
        <v>6207.86</v>
      </c>
      <c r="C43" s="1">
        <v>6215.47</v>
      </c>
      <c r="D43" s="1">
        <v>6168.76</v>
      </c>
      <c r="E43" s="3">
        <v>6192.53</v>
      </c>
      <c r="F43" s="1">
        <v>4047000</v>
      </c>
    </row>
    <row r="44" spans="1:6">
      <c r="A44" s="2">
        <v>38422</v>
      </c>
      <c r="B44" s="1">
        <v>6225.75</v>
      </c>
      <c r="C44" s="1">
        <v>6238.43</v>
      </c>
      <c r="D44" s="1">
        <v>6194.14</v>
      </c>
      <c r="E44" s="3">
        <v>6204.23</v>
      </c>
      <c r="F44" s="1">
        <v>3449800</v>
      </c>
    </row>
    <row r="45" spans="1:6">
      <c r="A45" s="2">
        <v>38425</v>
      </c>
      <c r="B45" s="1">
        <v>6181.83</v>
      </c>
      <c r="C45" s="1">
        <v>6193.32</v>
      </c>
      <c r="D45" s="1">
        <v>6151.8</v>
      </c>
      <c r="E45" s="3">
        <v>6155.51</v>
      </c>
      <c r="F45" s="1">
        <v>3259400</v>
      </c>
    </row>
    <row r="46" spans="1:6">
      <c r="A46" s="2">
        <v>38426</v>
      </c>
      <c r="B46" s="1">
        <v>6155.49</v>
      </c>
      <c r="C46" s="1">
        <v>6169.52</v>
      </c>
      <c r="D46" s="1">
        <v>6028.17</v>
      </c>
      <c r="E46" s="3">
        <v>6063.48</v>
      </c>
      <c r="F46" s="1">
        <v>3731200</v>
      </c>
    </row>
    <row r="47" spans="1:6">
      <c r="A47" s="2">
        <v>38427</v>
      </c>
      <c r="B47" s="1">
        <v>6052.3</v>
      </c>
      <c r="C47" s="1">
        <v>6093.41</v>
      </c>
      <c r="D47" s="1">
        <v>6048.4</v>
      </c>
      <c r="E47" s="3">
        <v>6072.36</v>
      </c>
      <c r="F47" s="1">
        <v>2705600</v>
      </c>
    </row>
    <row r="48" spans="1:6">
      <c r="A48" s="2">
        <v>38428</v>
      </c>
      <c r="B48" s="1">
        <v>6021.8</v>
      </c>
      <c r="C48" s="1">
        <v>6054.71</v>
      </c>
      <c r="D48" s="1">
        <v>6002.1</v>
      </c>
      <c r="E48" s="3">
        <v>6032.47</v>
      </c>
      <c r="F48" s="1">
        <v>2655600</v>
      </c>
    </row>
    <row r="49" spans="1:6">
      <c r="A49" s="2">
        <v>38429</v>
      </c>
      <c r="B49" s="1">
        <v>6039.23</v>
      </c>
      <c r="C49" s="1">
        <v>6054.75</v>
      </c>
      <c r="D49" s="1">
        <v>6018.63</v>
      </c>
      <c r="E49" s="3">
        <v>6043.95</v>
      </c>
      <c r="F49" s="1">
        <v>2359800</v>
      </c>
    </row>
    <row r="50" spans="1:6">
      <c r="A50" s="2">
        <v>38432</v>
      </c>
      <c r="B50" s="1">
        <v>6056.1</v>
      </c>
      <c r="C50" s="1">
        <v>6077.94</v>
      </c>
      <c r="D50" s="1">
        <v>6051.53</v>
      </c>
      <c r="E50" s="3">
        <v>6058.96</v>
      </c>
      <c r="F50" s="1">
        <v>2634600</v>
      </c>
    </row>
    <row r="51" spans="1:6">
      <c r="A51" s="2">
        <v>38433</v>
      </c>
      <c r="B51" s="1">
        <v>6057.9</v>
      </c>
      <c r="C51" s="1">
        <v>6057.9</v>
      </c>
      <c r="D51" s="1">
        <v>5998.78</v>
      </c>
      <c r="E51" s="3">
        <v>6018.79</v>
      </c>
      <c r="F51" s="1">
        <v>2869400</v>
      </c>
    </row>
    <row r="52" spans="1:6">
      <c r="A52" s="2">
        <v>38434</v>
      </c>
      <c r="B52" s="1">
        <v>6005.36</v>
      </c>
      <c r="C52" s="1">
        <v>6023.76</v>
      </c>
      <c r="D52" s="1">
        <v>5970.2</v>
      </c>
      <c r="E52" s="3">
        <v>6019.49</v>
      </c>
      <c r="F52" s="1">
        <v>2733200</v>
      </c>
    </row>
    <row r="53" spans="1:6">
      <c r="A53" s="2">
        <v>38435</v>
      </c>
      <c r="B53" s="1">
        <v>6029.74</v>
      </c>
      <c r="C53" s="1">
        <v>6054.65</v>
      </c>
      <c r="D53" s="1">
        <v>6001</v>
      </c>
      <c r="E53" s="3">
        <v>6001</v>
      </c>
      <c r="F53" s="1">
        <v>2908000</v>
      </c>
    </row>
    <row r="54" spans="1:6">
      <c r="A54" s="2">
        <v>38436</v>
      </c>
      <c r="B54" s="1">
        <v>6018.79</v>
      </c>
      <c r="C54" s="1">
        <v>6065.91</v>
      </c>
      <c r="D54" s="1">
        <v>6016.48</v>
      </c>
      <c r="E54" s="3">
        <v>6065.91</v>
      </c>
      <c r="F54" s="1">
        <v>2536400</v>
      </c>
    </row>
    <row r="55" spans="1:6">
      <c r="A55" s="2">
        <v>38439</v>
      </c>
      <c r="B55" s="1">
        <v>6091.83</v>
      </c>
      <c r="C55" s="1">
        <v>6093.19</v>
      </c>
      <c r="D55" s="1">
        <v>6048.74</v>
      </c>
      <c r="E55" s="3">
        <v>6048.74</v>
      </c>
      <c r="F55" s="1">
        <v>2326800</v>
      </c>
    </row>
    <row r="56" spans="1:6">
      <c r="A56" s="2">
        <v>38440</v>
      </c>
      <c r="B56" s="1">
        <v>6035.77</v>
      </c>
      <c r="C56" s="1">
        <v>6035.77</v>
      </c>
      <c r="D56" s="1">
        <v>5961.24</v>
      </c>
      <c r="E56" s="3">
        <v>5961.24</v>
      </c>
      <c r="F56" s="1">
        <v>2672800</v>
      </c>
    </row>
    <row r="57" spans="1:6">
      <c r="A57" s="2">
        <v>38441</v>
      </c>
      <c r="B57" s="1">
        <v>5940.18</v>
      </c>
      <c r="C57" s="1">
        <v>5980.5</v>
      </c>
      <c r="D57" s="1">
        <v>5940.18</v>
      </c>
      <c r="E57" s="3">
        <v>5957.98</v>
      </c>
      <c r="F57" s="1">
        <v>2554800</v>
      </c>
    </row>
    <row r="58" spans="1:6">
      <c r="A58" s="2">
        <v>38442</v>
      </c>
      <c r="B58" s="1">
        <v>6005.87</v>
      </c>
      <c r="C58" s="1">
        <v>6017.04</v>
      </c>
      <c r="D58" s="1">
        <v>5995.27</v>
      </c>
      <c r="E58" s="3">
        <v>6005.88</v>
      </c>
      <c r="F58" s="1">
        <v>2884200</v>
      </c>
    </row>
    <row r="59" spans="1:6">
      <c r="A59" s="2">
        <v>38443</v>
      </c>
      <c r="B59" s="1">
        <v>6010.71</v>
      </c>
      <c r="C59" s="1">
        <v>6028.99</v>
      </c>
      <c r="D59" s="1">
        <v>5959.28</v>
      </c>
      <c r="E59" s="3">
        <v>6028.75</v>
      </c>
      <c r="F59" s="1">
        <v>2898200</v>
      </c>
    </row>
    <row r="60" spans="1:6">
      <c r="A60" s="2">
        <v>38446</v>
      </c>
      <c r="B60" s="1">
        <v>6013.7</v>
      </c>
      <c r="C60" s="1">
        <v>6048.37</v>
      </c>
      <c r="D60" s="1">
        <v>6006.3</v>
      </c>
      <c r="E60" s="3">
        <v>6019.93</v>
      </c>
      <c r="F60" s="1">
        <v>2940200</v>
      </c>
    </row>
    <row r="61" spans="1:6">
      <c r="A61" s="2">
        <v>38448</v>
      </c>
      <c r="B61" s="1">
        <v>6025.29</v>
      </c>
      <c r="C61" s="1">
        <v>6046.16</v>
      </c>
      <c r="D61" s="1">
        <v>6006.81</v>
      </c>
      <c r="E61" s="3">
        <v>6013.49</v>
      </c>
      <c r="F61" s="1">
        <v>2671200</v>
      </c>
    </row>
    <row r="62" spans="1:6">
      <c r="A62" s="2">
        <v>38449</v>
      </c>
      <c r="B62" s="1">
        <v>6032.01</v>
      </c>
      <c r="C62" s="1">
        <v>6043.1</v>
      </c>
      <c r="D62" s="1">
        <v>5971.76</v>
      </c>
      <c r="E62" s="3">
        <v>5971.76</v>
      </c>
      <c r="F62" s="1">
        <v>3350600</v>
      </c>
    </row>
    <row r="63" spans="1:6">
      <c r="A63" s="2">
        <v>38450</v>
      </c>
      <c r="B63" s="1">
        <v>6002.35</v>
      </c>
      <c r="C63" s="1">
        <v>6028.55</v>
      </c>
      <c r="D63" s="1">
        <v>5997.29</v>
      </c>
      <c r="E63" s="3">
        <v>6024.07</v>
      </c>
      <c r="F63" s="1">
        <v>2547200</v>
      </c>
    </row>
    <row r="64" spans="1:6">
      <c r="A64" s="2">
        <v>38453</v>
      </c>
      <c r="B64" s="1">
        <v>6021.33</v>
      </c>
      <c r="C64" s="1">
        <v>6021.33</v>
      </c>
      <c r="D64" s="1">
        <v>5969.4</v>
      </c>
      <c r="E64" s="3">
        <v>5979.42</v>
      </c>
      <c r="F64" s="1">
        <v>2204800</v>
      </c>
    </row>
    <row r="65" spans="1:6">
      <c r="A65" s="2">
        <v>38454</v>
      </c>
      <c r="B65" s="1">
        <v>5974.71</v>
      </c>
      <c r="C65" s="1">
        <v>5995.93</v>
      </c>
      <c r="D65" s="1">
        <v>5955.24</v>
      </c>
      <c r="E65" s="3">
        <v>5993.89</v>
      </c>
      <c r="F65" s="1">
        <v>1961000</v>
      </c>
    </row>
    <row r="66" spans="1:6">
      <c r="A66" s="2">
        <v>38455</v>
      </c>
      <c r="B66" s="1">
        <v>6004.49</v>
      </c>
      <c r="C66" s="1">
        <v>6008.6</v>
      </c>
      <c r="D66" s="1">
        <v>5990.2</v>
      </c>
      <c r="E66" s="3">
        <v>5998.08</v>
      </c>
      <c r="F66" s="1">
        <v>2184800</v>
      </c>
    </row>
    <row r="67" spans="1:6">
      <c r="A67" s="2">
        <v>38456</v>
      </c>
      <c r="B67" s="1">
        <v>5966.84</v>
      </c>
      <c r="C67" s="1">
        <v>5994.99</v>
      </c>
      <c r="D67" s="1">
        <v>5964.33</v>
      </c>
      <c r="E67" s="3">
        <v>5976.68</v>
      </c>
      <c r="F67" s="1">
        <v>2465800</v>
      </c>
    </row>
    <row r="68" spans="1:6">
      <c r="A68" s="2">
        <v>38457</v>
      </c>
      <c r="B68" s="1">
        <v>5946.2</v>
      </c>
      <c r="C68" s="1">
        <v>5946.2</v>
      </c>
      <c r="D68" s="1">
        <v>5875.67</v>
      </c>
      <c r="E68" s="3">
        <v>5888.37</v>
      </c>
      <c r="F68" s="1">
        <v>3225600</v>
      </c>
    </row>
    <row r="69" spans="1:6">
      <c r="A69" s="2">
        <v>38460</v>
      </c>
      <c r="B69" s="1">
        <v>5809.76</v>
      </c>
      <c r="C69" s="1">
        <v>5809.76</v>
      </c>
      <c r="D69" s="1">
        <v>5679.35</v>
      </c>
      <c r="E69" s="3">
        <v>5715.16</v>
      </c>
      <c r="F69" s="1">
        <v>3243200</v>
      </c>
    </row>
    <row r="70" spans="1:6">
      <c r="A70" s="2">
        <v>38461</v>
      </c>
      <c r="B70" s="1">
        <v>5736.97</v>
      </c>
      <c r="C70" s="1">
        <v>5773.32</v>
      </c>
      <c r="D70" s="1">
        <v>5726.96</v>
      </c>
      <c r="E70" s="3">
        <v>5748.35</v>
      </c>
      <c r="F70" s="1">
        <v>2540200</v>
      </c>
    </row>
    <row r="71" spans="1:6">
      <c r="A71" s="2">
        <v>38462</v>
      </c>
      <c r="B71" s="1">
        <v>5799.85</v>
      </c>
      <c r="C71" s="1">
        <v>5799.85</v>
      </c>
      <c r="D71" s="1">
        <v>5683</v>
      </c>
      <c r="E71" s="3">
        <v>5693.01</v>
      </c>
      <c r="F71" s="1">
        <v>2779200</v>
      </c>
    </row>
    <row r="72" spans="1:6">
      <c r="A72" s="2">
        <v>38463</v>
      </c>
      <c r="B72" s="1">
        <v>5565.41</v>
      </c>
      <c r="C72" s="1">
        <v>5725.48</v>
      </c>
      <c r="D72" s="1">
        <v>5565.41</v>
      </c>
      <c r="E72" s="3">
        <v>5721.99</v>
      </c>
      <c r="F72" s="1">
        <v>2931800</v>
      </c>
    </row>
    <row r="73" spans="1:6">
      <c r="A73" s="2">
        <v>38464</v>
      </c>
      <c r="B73" s="1">
        <v>5777.49</v>
      </c>
      <c r="C73" s="1">
        <v>5799.73</v>
      </c>
      <c r="D73" s="1">
        <v>5741.49</v>
      </c>
      <c r="E73" s="3">
        <v>5747.09</v>
      </c>
      <c r="F73" s="1">
        <v>2737600</v>
      </c>
    </row>
    <row r="74" spans="1:6">
      <c r="A74" s="2">
        <v>38467</v>
      </c>
      <c r="B74" s="1">
        <v>5753.24</v>
      </c>
      <c r="C74" s="1">
        <v>5771.38</v>
      </c>
      <c r="D74" s="1">
        <v>5727.42</v>
      </c>
      <c r="E74" s="3">
        <v>5758.31</v>
      </c>
      <c r="F74" s="1">
        <v>1916000</v>
      </c>
    </row>
    <row r="75" spans="1:6">
      <c r="A75" s="2">
        <v>38468</v>
      </c>
      <c r="B75" s="1">
        <v>5773.77</v>
      </c>
      <c r="C75" s="1">
        <v>5815.14</v>
      </c>
      <c r="D75" s="1">
        <v>5755.88</v>
      </c>
      <c r="E75" s="3">
        <v>5805.25</v>
      </c>
      <c r="F75" s="1">
        <v>2363200</v>
      </c>
    </row>
    <row r="76" spans="1:6">
      <c r="A76" s="2">
        <v>38469</v>
      </c>
      <c r="B76" s="1">
        <v>5806.69</v>
      </c>
      <c r="C76" s="1">
        <v>5817.92</v>
      </c>
      <c r="D76" s="1">
        <v>5777.41</v>
      </c>
      <c r="E76" s="3">
        <v>5778.27</v>
      </c>
      <c r="F76" s="1">
        <v>2004200</v>
      </c>
    </row>
    <row r="77" spans="1:6">
      <c r="A77" s="2">
        <v>38470</v>
      </c>
      <c r="B77" s="1">
        <v>5775.25</v>
      </c>
      <c r="C77" s="1">
        <v>5842.27</v>
      </c>
      <c r="D77" s="1">
        <v>5755.08</v>
      </c>
      <c r="E77" s="3">
        <v>5842.27</v>
      </c>
      <c r="F77" s="1">
        <v>2198200</v>
      </c>
    </row>
    <row r="78" spans="1:6">
      <c r="A78" s="2">
        <v>38471</v>
      </c>
      <c r="B78" s="1">
        <v>5810.34</v>
      </c>
      <c r="C78" s="1">
        <v>5818.07</v>
      </c>
      <c r="D78" s="1">
        <v>5780.97</v>
      </c>
      <c r="E78" s="3">
        <v>5818.07</v>
      </c>
      <c r="F78" s="1">
        <v>2167400</v>
      </c>
    </row>
    <row r="79" spans="1:6">
      <c r="A79" s="2">
        <v>38475</v>
      </c>
      <c r="B79" s="1">
        <v>5845.14</v>
      </c>
      <c r="C79" s="1">
        <v>5865.9</v>
      </c>
      <c r="D79" s="1">
        <v>5818.22</v>
      </c>
      <c r="E79" s="3">
        <v>5818.22</v>
      </c>
      <c r="F79" s="1">
        <v>2478000</v>
      </c>
    </row>
    <row r="80" spans="1:6">
      <c r="A80" s="2">
        <v>38476</v>
      </c>
      <c r="B80" s="1">
        <v>5827.74</v>
      </c>
      <c r="C80" s="1">
        <v>5831.02</v>
      </c>
      <c r="D80" s="1">
        <v>5793.25</v>
      </c>
      <c r="E80" s="3">
        <v>5803.68</v>
      </c>
      <c r="F80" s="1">
        <v>2248600</v>
      </c>
    </row>
    <row r="81" spans="1:6">
      <c r="A81" s="2">
        <v>38477</v>
      </c>
      <c r="B81" s="1">
        <v>5851.5</v>
      </c>
      <c r="C81" s="1">
        <v>5957.87</v>
      </c>
      <c r="D81" s="1">
        <v>5851.5</v>
      </c>
      <c r="E81" s="3">
        <v>5927.5</v>
      </c>
      <c r="F81" s="1">
        <v>3738600</v>
      </c>
    </row>
    <row r="82" spans="1:6">
      <c r="A82" s="2">
        <v>38478</v>
      </c>
      <c r="B82" s="1">
        <v>5932.04</v>
      </c>
      <c r="C82" s="1">
        <v>5974.86</v>
      </c>
      <c r="D82" s="1">
        <v>5917.02</v>
      </c>
      <c r="E82" s="3">
        <v>5967.96</v>
      </c>
      <c r="F82" s="1">
        <v>3067600</v>
      </c>
    </row>
    <row r="83" spans="1:6">
      <c r="A83" s="2">
        <v>38481</v>
      </c>
      <c r="B83" s="1">
        <v>5957.92</v>
      </c>
      <c r="C83" s="1">
        <v>5973.6</v>
      </c>
      <c r="D83" s="1">
        <v>5950.63</v>
      </c>
      <c r="E83" s="3">
        <v>5966.85</v>
      </c>
      <c r="F83" s="1">
        <v>2567800</v>
      </c>
    </row>
    <row r="84" spans="1:6">
      <c r="A84" s="2">
        <v>38482</v>
      </c>
      <c r="B84" s="1">
        <v>5973.37</v>
      </c>
      <c r="C84" s="1">
        <v>5976.83</v>
      </c>
      <c r="D84" s="1">
        <v>5939.48</v>
      </c>
      <c r="E84" s="3">
        <v>5949.8</v>
      </c>
      <c r="F84" s="1">
        <v>2560800</v>
      </c>
    </row>
    <row r="85" spans="1:6">
      <c r="A85" s="2">
        <v>38483</v>
      </c>
      <c r="B85" s="1">
        <v>5900.72</v>
      </c>
      <c r="C85" s="1">
        <v>5925.02</v>
      </c>
      <c r="D85" s="1">
        <v>5900.72</v>
      </c>
      <c r="E85" s="3">
        <v>5917.13</v>
      </c>
      <c r="F85" s="1">
        <v>2147200</v>
      </c>
    </row>
    <row r="86" spans="1:6">
      <c r="A86" s="2">
        <v>38484</v>
      </c>
      <c r="B86" s="1">
        <v>5917.99</v>
      </c>
      <c r="C86" s="1">
        <v>5934.6</v>
      </c>
      <c r="D86" s="1">
        <v>5906.37</v>
      </c>
      <c r="E86" s="3">
        <v>5934.6</v>
      </c>
      <c r="F86" s="1">
        <v>2219200</v>
      </c>
    </row>
    <row r="87" spans="1:6">
      <c r="A87" s="2">
        <v>38485</v>
      </c>
      <c r="B87" s="1">
        <v>5931.53</v>
      </c>
      <c r="C87" s="1">
        <v>6001.19</v>
      </c>
      <c r="D87" s="1">
        <v>5925.67</v>
      </c>
      <c r="E87" s="3">
        <v>5981.48</v>
      </c>
      <c r="F87" s="1">
        <v>3003200</v>
      </c>
    </row>
    <row r="88" spans="1:6">
      <c r="A88" s="2">
        <v>38488</v>
      </c>
      <c r="B88" s="1">
        <v>5992.31</v>
      </c>
      <c r="C88" s="1">
        <v>5997.77</v>
      </c>
      <c r="D88" s="1">
        <v>5925.88</v>
      </c>
      <c r="E88" s="3">
        <v>5925.88</v>
      </c>
      <c r="F88" s="1">
        <v>2757800</v>
      </c>
    </row>
    <row r="89" spans="1:6">
      <c r="A89" s="2">
        <v>38489</v>
      </c>
      <c r="B89" s="1">
        <v>5939.31</v>
      </c>
      <c r="C89" s="1">
        <v>5943.92</v>
      </c>
      <c r="D89" s="1">
        <v>5879.19</v>
      </c>
      <c r="E89" s="3">
        <v>5894.01</v>
      </c>
      <c r="F89" s="1">
        <v>2339000</v>
      </c>
    </row>
    <row r="90" spans="1:6">
      <c r="A90" s="2">
        <v>38490</v>
      </c>
      <c r="B90" s="1">
        <v>5901.08</v>
      </c>
      <c r="C90" s="1">
        <v>5921.17</v>
      </c>
      <c r="D90" s="1">
        <v>5889.47</v>
      </c>
      <c r="E90" s="3">
        <v>5890.83</v>
      </c>
      <c r="F90" s="1">
        <v>2193000</v>
      </c>
    </row>
    <row r="91" spans="1:6">
      <c r="A91" s="2">
        <v>38491</v>
      </c>
      <c r="B91" s="1">
        <v>5963.9</v>
      </c>
      <c r="C91" s="1">
        <v>5997.76</v>
      </c>
      <c r="D91" s="1">
        <v>5958.34</v>
      </c>
      <c r="E91" s="3">
        <v>5970.71</v>
      </c>
      <c r="F91" s="1">
        <v>2751600</v>
      </c>
    </row>
    <row r="92" spans="1:6">
      <c r="A92" s="2">
        <v>38492</v>
      </c>
      <c r="B92" s="1">
        <v>5987.1</v>
      </c>
      <c r="C92" s="1">
        <v>5996.11</v>
      </c>
      <c r="D92" s="1">
        <v>5954.69</v>
      </c>
      <c r="E92" s="3">
        <v>5954.69</v>
      </c>
      <c r="F92" s="1">
        <v>2434400</v>
      </c>
    </row>
    <row r="93" spans="1:6">
      <c r="A93" s="2">
        <v>38495</v>
      </c>
      <c r="B93" s="1">
        <v>5953.28</v>
      </c>
      <c r="C93" s="1">
        <v>5953.28</v>
      </c>
      <c r="D93" s="1">
        <v>5884.06</v>
      </c>
      <c r="E93" s="3">
        <v>5885.45</v>
      </c>
      <c r="F93" s="1">
        <v>1900400</v>
      </c>
    </row>
    <row r="94" spans="1:6">
      <c r="A94" s="2">
        <v>38496</v>
      </c>
      <c r="B94" s="1">
        <v>5888.85</v>
      </c>
      <c r="C94" s="1">
        <v>5925.88</v>
      </c>
      <c r="D94" s="1">
        <v>5888.85</v>
      </c>
      <c r="E94" s="3">
        <v>5909.1</v>
      </c>
      <c r="F94" s="1">
        <v>2149200</v>
      </c>
    </row>
    <row r="95" spans="1:6">
      <c r="A95" s="2">
        <v>38497</v>
      </c>
      <c r="B95" s="1">
        <v>5921.59</v>
      </c>
      <c r="C95" s="1">
        <v>5956.64</v>
      </c>
      <c r="D95" s="1">
        <v>5879.08</v>
      </c>
      <c r="E95" s="3">
        <v>5888.53</v>
      </c>
      <c r="F95" s="1">
        <v>2630800</v>
      </c>
    </row>
    <row r="96" spans="1:6">
      <c r="A96" s="2">
        <v>38498</v>
      </c>
      <c r="B96" s="1">
        <v>5903.01</v>
      </c>
      <c r="C96" s="1">
        <v>5939.42</v>
      </c>
      <c r="D96" s="1">
        <v>5883.18</v>
      </c>
      <c r="E96" s="3">
        <v>5939.42</v>
      </c>
      <c r="F96" s="1">
        <v>2243400</v>
      </c>
    </row>
    <row r="97" spans="1:6">
      <c r="A97" s="2">
        <v>38499</v>
      </c>
      <c r="B97" s="1">
        <v>5966.41</v>
      </c>
      <c r="C97" s="1">
        <v>5998.78</v>
      </c>
      <c r="D97" s="1">
        <v>5966.41</v>
      </c>
      <c r="E97" s="3">
        <v>5991.55</v>
      </c>
      <c r="F97" s="1">
        <v>3077400</v>
      </c>
    </row>
    <row r="98" spans="1:6">
      <c r="A98" s="2">
        <v>38502</v>
      </c>
      <c r="B98" s="1">
        <v>5996.89</v>
      </c>
      <c r="C98" s="1">
        <v>6009.52</v>
      </c>
      <c r="D98" s="1">
        <v>5971.97</v>
      </c>
      <c r="E98" s="3">
        <v>6009.52</v>
      </c>
      <c r="F98" s="1">
        <v>2670600</v>
      </c>
    </row>
    <row r="99" spans="1:6">
      <c r="A99" s="2">
        <v>38503</v>
      </c>
      <c r="B99" s="1">
        <v>5998.9</v>
      </c>
      <c r="C99" s="1">
        <v>6026.53</v>
      </c>
      <c r="D99" s="1">
        <v>5981.24</v>
      </c>
      <c r="E99" s="3">
        <v>6011.56</v>
      </c>
      <c r="F99" s="1">
        <v>3229600</v>
      </c>
    </row>
    <row r="100" spans="1:6">
      <c r="A100" s="2">
        <v>38504</v>
      </c>
      <c r="B100" s="1">
        <v>6002.55</v>
      </c>
      <c r="C100" s="1">
        <v>6023.34</v>
      </c>
      <c r="D100" s="1">
        <v>5962.88</v>
      </c>
      <c r="E100" s="3">
        <v>5971.62</v>
      </c>
      <c r="F100" s="1">
        <v>3569000</v>
      </c>
    </row>
    <row r="101" spans="1:6">
      <c r="A101" s="2">
        <v>38505</v>
      </c>
      <c r="B101" s="1">
        <v>6008.9</v>
      </c>
      <c r="C101" s="1">
        <v>6065.23</v>
      </c>
      <c r="D101" s="1">
        <v>6008.9</v>
      </c>
      <c r="E101" s="3">
        <v>6039.48</v>
      </c>
      <c r="F101" s="1">
        <v>4116400</v>
      </c>
    </row>
    <row r="102" spans="1:6">
      <c r="A102" s="2">
        <v>38506</v>
      </c>
      <c r="B102" s="1">
        <v>6062.78</v>
      </c>
      <c r="C102" s="1">
        <v>6113.49</v>
      </c>
      <c r="D102" s="1">
        <v>6051.27</v>
      </c>
      <c r="E102" s="3">
        <v>6107.95</v>
      </c>
      <c r="F102" s="1">
        <v>4957200</v>
      </c>
    </row>
    <row r="103" spans="1:6">
      <c r="A103" s="2">
        <v>38509</v>
      </c>
      <c r="B103" s="1">
        <v>6109.3</v>
      </c>
      <c r="C103" s="1">
        <v>6140.74</v>
      </c>
      <c r="D103" s="1">
        <v>6086.41</v>
      </c>
      <c r="E103" s="3">
        <v>6137.57</v>
      </c>
      <c r="F103" s="1">
        <v>4139200</v>
      </c>
    </row>
    <row r="104" spans="1:6">
      <c r="A104" s="2">
        <v>38510</v>
      </c>
      <c r="B104" s="1">
        <v>6144.25</v>
      </c>
      <c r="C104" s="1">
        <v>6146.94</v>
      </c>
      <c r="D104" s="1">
        <v>6096.84</v>
      </c>
      <c r="E104" s="3">
        <v>6105.79</v>
      </c>
      <c r="F104" s="1">
        <v>3953800</v>
      </c>
    </row>
    <row r="105" spans="1:6">
      <c r="A105" s="2">
        <v>38511</v>
      </c>
      <c r="B105" s="1">
        <v>6121.34</v>
      </c>
      <c r="C105" s="1">
        <v>6170.47</v>
      </c>
      <c r="D105" s="1">
        <v>6121.21</v>
      </c>
      <c r="E105" s="3">
        <v>6161.66</v>
      </c>
      <c r="F105" s="1">
        <v>3659200</v>
      </c>
    </row>
    <row r="106" spans="1:6">
      <c r="A106" s="2">
        <v>38512</v>
      </c>
      <c r="B106" s="1">
        <v>6172.37</v>
      </c>
      <c r="C106" s="1">
        <v>6188.59</v>
      </c>
      <c r="D106" s="1">
        <v>6144.27</v>
      </c>
      <c r="E106" s="3">
        <v>6145.92</v>
      </c>
      <c r="F106" s="1">
        <v>4624400</v>
      </c>
    </row>
    <row r="107" spans="1:6">
      <c r="A107" s="2">
        <v>38513</v>
      </c>
      <c r="B107" s="1">
        <v>6188.1</v>
      </c>
      <c r="C107" s="1">
        <v>6198.3</v>
      </c>
      <c r="D107" s="1">
        <v>6158.13</v>
      </c>
      <c r="E107" s="3">
        <v>6192.35</v>
      </c>
      <c r="F107" s="1">
        <v>3877600</v>
      </c>
    </row>
    <row r="108" spans="1:6">
      <c r="A108" s="2">
        <v>38516</v>
      </c>
      <c r="B108" s="1">
        <v>6194.9</v>
      </c>
      <c r="C108" s="1">
        <v>6236.15</v>
      </c>
      <c r="D108" s="1">
        <v>6167.78</v>
      </c>
      <c r="E108" s="3">
        <v>6231.05</v>
      </c>
      <c r="F108" s="1">
        <v>3403800</v>
      </c>
    </row>
    <row r="109" spans="1:6">
      <c r="A109" s="2">
        <v>38517</v>
      </c>
      <c r="B109" s="1">
        <v>6244.56</v>
      </c>
      <c r="C109" s="1">
        <v>6266.25</v>
      </c>
      <c r="D109" s="1">
        <v>6205.76</v>
      </c>
      <c r="E109" s="3">
        <v>6205.76</v>
      </c>
      <c r="F109" s="1">
        <v>3768600</v>
      </c>
    </row>
    <row r="110" spans="1:6">
      <c r="A110" s="2">
        <v>38518</v>
      </c>
      <c r="B110" s="1">
        <v>6219.8</v>
      </c>
      <c r="C110" s="1">
        <v>6252.1</v>
      </c>
      <c r="D110" s="1">
        <v>6215.73</v>
      </c>
      <c r="E110" s="3">
        <v>6252.1</v>
      </c>
      <c r="F110" s="1">
        <v>3383200</v>
      </c>
    </row>
    <row r="111" spans="1:6">
      <c r="A111" s="2">
        <v>38519</v>
      </c>
      <c r="B111" s="1">
        <v>6298.35</v>
      </c>
      <c r="C111" s="1">
        <v>6298.35</v>
      </c>
      <c r="D111" s="1">
        <v>6249</v>
      </c>
      <c r="E111" s="3">
        <v>6282.41</v>
      </c>
      <c r="F111" s="1">
        <v>3643000</v>
      </c>
    </row>
    <row r="112" spans="1:6">
      <c r="A112" s="2">
        <v>38520</v>
      </c>
      <c r="B112" s="1">
        <v>6304.24</v>
      </c>
      <c r="C112" s="1">
        <v>6357.39</v>
      </c>
      <c r="D112" s="1">
        <v>6293.23</v>
      </c>
      <c r="E112" s="3">
        <v>6293.56</v>
      </c>
      <c r="F112" s="1">
        <v>4754400</v>
      </c>
    </row>
    <row r="113" spans="1:6">
      <c r="A113" s="2">
        <v>38523</v>
      </c>
      <c r="B113" s="1">
        <v>6311.67</v>
      </c>
      <c r="C113" s="1">
        <v>6315.29</v>
      </c>
      <c r="D113" s="1">
        <v>6272.97</v>
      </c>
      <c r="E113" s="3">
        <v>6296.89</v>
      </c>
      <c r="F113" s="1">
        <v>3003800</v>
      </c>
    </row>
    <row r="114" spans="1:6">
      <c r="A114" s="2">
        <v>38524</v>
      </c>
      <c r="B114" s="1">
        <v>6304.33</v>
      </c>
      <c r="C114" s="1">
        <v>6304.88</v>
      </c>
      <c r="D114" s="1">
        <v>6265.69</v>
      </c>
      <c r="E114" s="3">
        <v>6278.46</v>
      </c>
      <c r="F114" s="1">
        <v>3397400</v>
      </c>
    </row>
    <row r="115" spans="1:6">
      <c r="A115" s="2">
        <v>38525</v>
      </c>
      <c r="B115" s="1">
        <v>6291.91</v>
      </c>
      <c r="C115" s="1">
        <v>6381.23</v>
      </c>
      <c r="D115" s="1">
        <v>6291.91</v>
      </c>
      <c r="E115" s="3">
        <v>6357.83</v>
      </c>
      <c r="F115" s="1">
        <v>4315600</v>
      </c>
    </row>
    <row r="116" spans="1:6">
      <c r="A116" s="2">
        <v>38526</v>
      </c>
      <c r="B116" s="1">
        <v>6382.6</v>
      </c>
      <c r="C116" s="1">
        <v>6401.81</v>
      </c>
      <c r="D116" s="1">
        <v>6369.21</v>
      </c>
      <c r="E116" s="3">
        <v>6373.86</v>
      </c>
      <c r="F116" s="1">
        <v>4360000</v>
      </c>
    </row>
    <row r="117" spans="1:6">
      <c r="A117" s="2">
        <v>38527</v>
      </c>
      <c r="B117" s="1">
        <v>6350.74</v>
      </c>
      <c r="C117" s="1">
        <v>6363.88</v>
      </c>
      <c r="D117" s="1">
        <v>6324.22</v>
      </c>
      <c r="E117" s="3">
        <v>6340.69</v>
      </c>
      <c r="F117" s="1">
        <v>3248600</v>
      </c>
    </row>
    <row r="118" spans="1:6">
      <c r="A118" s="2">
        <v>38530</v>
      </c>
      <c r="B118" s="1">
        <v>6307.61</v>
      </c>
      <c r="C118" s="1">
        <v>6342.45</v>
      </c>
      <c r="D118" s="1">
        <v>6279.39</v>
      </c>
      <c r="E118" s="3">
        <v>6302.99</v>
      </c>
      <c r="F118" s="1">
        <v>3169400</v>
      </c>
    </row>
    <row r="119" spans="1:6">
      <c r="A119" s="2">
        <v>38531</v>
      </c>
      <c r="B119" s="1">
        <v>6303.66</v>
      </c>
      <c r="C119" s="1">
        <v>6323.1</v>
      </c>
      <c r="D119" s="1">
        <v>6294.18</v>
      </c>
      <c r="E119" s="3">
        <v>6316.84</v>
      </c>
      <c r="F119" s="1">
        <v>2907600</v>
      </c>
    </row>
    <row r="120" spans="1:6">
      <c r="A120" s="2">
        <v>38532</v>
      </c>
      <c r="B120" s="1">
        <v>6370.14</v>
      </c>
      <c r="C120" s="1">
        <v>6375.68</v>
      </c>
      <c r="D120" s="1">
        <v>6231.65</v>
      </c>
      <c r="E120" s="3">
        <v>6231.65</v>
      </c>
      <c r="F120" s="1">
        <v>3902800</v>
      </c>
    </row>
    <row r="121" spans="1:6">
      <c r="A121" s="2">
        <v>38533</v>
      </c>
      <c r="B121" s="1">
        <v>6278.75</v>
      </c>
      <c r="C121" s="1">
        <v>6280.53</v>
      </c>
      <c r="D121" s="1">
        <v>6240.84</v>
      </c>
      <c r="E121" s="3">
        <v>6241.94</v>
      </c>
      <c r="F121" s="1">
        <v>2752600</v>
      </c>
    </row>
    <row r="122" spans="1:6">
      <c r="A122" s="2">
        <v>38534</v>
      </c>
      <c r="B122" s="1">
        <v>6240.08</v>
      </c>
      <c r="C122" s="1">
        <v>6275.48</v>
      </c>
      <c r="D122" s="1">
        <v>6195.17</v>
      </c>
      <c r="E122" s="3">
        <v>6272.14</v>
      </c>
      <c r="F122" s="1">
        <v>2739000</v>
      </c>
    </row>
    <row r="123" spans="1:6">
      <c r="A123" s="2">
        <v>38537</v>
      </c>
      <c r="B123" s="1">
        <v>6269.63</v>
      </c>
      <c r="C123" s="1">
        <v>6288.96</v>
      </c>
      <c r="D123" s="1">
        <v>6257.9</v>
      </c>
      <c r="E123" s="3">
        <v>6271.2</v>
      </c>
      <c r="F123" s="1">
        <v>2599200</v>
      </c>
    </row>
    <row r="124" spans="1:6">
      <c r="A124" s="2">
        <v>38538</v>
      </c>
      <c r="B124" s="1">
        <v>6269.78</v>
      </c>
      <c r="C124" s="1">
        <v>6279.2</v>
      </c>
      <c r="D124" s="1">
        <v>6232.04</v>
      </c>
      <c r="E124" s="3">
        <v>6232.04</v>
      </c>
      <c r="F124" s="1">
        <v>2839600</v>
      </c>
    </row>
    <row r="125" spans="1:6">
      <c r="A125" s="2">
        <v>38539</v>
      </c>
      <c r="B125" s="1">
        <v>6249.29</v>
      </c>
      <c r="C125" s="1">
        <v>6256.9</v>
      </c>
      <c r="D125" s="1">
        <v>6221.03</v>
      </c>
      <c r="E125" s="3">
        <v>6222.05</v>
      </c>
      <c r="F125" s="1">
        <v>3558600</v>
      </c>
    </row>
    <row r="126" spans="1:6">
      <c r="A126" s="2">
        <v>38540</v>
      </c>
      <c r="B126" s="1">
        <v>6219.46</v>
      </c>
      <c r="C126" s="1">
        <v>6221.59</v>
      </c>
      <c r="D126" s="1">
        <v>6180.58</v>
      </c>
      <c r="E126" s="3">
        <v>6212.6</v>
      </c>
      <c r="F126" s="1">
        <v>3135600</v>
      </c>
    </row>
    <row r="127" spans="1:6">
      <c r="A127" s="2">
        <v>38541</v>
      </c>
      <c r="B127" s="1">
        <v>6199.79</v>
      </c>
      <c r="C127" s="1">
        <v>6230.51</v>
      </c>
      <c r="D127" s="1">
        <v>6186.79</v>
      </c>
      <c r="E127" s="3">
        <v>6201.4</v>
      </c>
      <c r="F127" s="1">
        <v>2969200</v>
      </c>
    </row>
    <row r="128" spans="1:6">
      <c r="A128" s="2">
        <v>38544</v>
      </c>
      <c r="B128" s="1">
        <v>6255.4</v>
      </c>
      <c r="C128" s="1">
        <v>6305.61</v>
      </c>
      <c r="D128" s="1">
        <v>6249.41</v>
      </c>
      <c r="E128" s="3">
        <v>6298.86</v>
      </c>
      <c r="F128" s="1">
        <v>3622000</v>
      </c>
    </row>
    <row r="129" spans="1:6">
      <c r="A129" s="2">
        <v>38545</v>
      </c>
      <c r="B129" s="1">
        <v>6337.5</v>
      </c>
      <c r="C129" s="1">
        <v>6365.76</v>
      </c>
      <c r="D129" s="1">
        <v>6337.5</v>
      </c>
      <c r="E129" s="3">
        <v>6358.81</v>
      </c>
      <c r="F129" s="1">
        <v>4042400</v>
      </c>
    </row>
    <row r="130" spans="1:6">
      <c r="A130" s="2">
        <v>38546</v>
      </c>
      <c r="B130" s="1">
        <v>6360.6</v>
      </c>
      <c r="C130" s="1">
        <v>6406.99</v>
      </c>
      <c r="D130" s="1">
        <v>6352.21</v>
      </c>
      <c r="E130" s="3">
        <v>6377.09</v>
      </c>
      <c r="F130" s="1">
        <v>4290600</v>
      </c>
    </row>
    <row r="131" spans="1:6">
      <c r="A131" s="2">
        <v>38547</v>
      </c>
      <c r="B131" s="1">
        <v>6403.08</v>
      </c>
      <c r="C131" s="1">
        <v>6427.32</v>
      </c>
      <c r="D131" s="1">
        <v>6375.75</v>
      </c>
      <c r="E131" s="3">
        <v>6418.35</v>
      </c>
      <c r="F131" s="1">
        <v>4243600</v>
      </c>
    </row>
    <row r="132" spans="1:6">
      <c r="A132" s="2">
        <v>38548</v>
      </c>
      <c r="B132" s="1">
        <v>6428.44</v>
      </c>
      <c r="C132" s="1">
        <v>6454.33</v>
      </c>
      <c r="D132" s="1">
        <v>6410.59</v>
      </c>
      <c r="E132" s="3">
        <v>6410.59</v>
      </c>
      <c r="F132" s="1">
        <v>4524800</v>
      </c>
    </row>
    <row r="133" spans="1:6">
      <c r="A133" s="2">
        <v>38552</v>
      </c>
      <c r="B133" s="1">
        <v>6403.71</v>
      </c>
      <c r="C133" s="1">
        <v>6432.58</v>
      </c>
      <c r="D133" s="1">
        <v>6387.86</v>
      </c>
      <c r="E133" s="3">
        <v>6416.34</v>
      </c>
      <c r="F133" s="1">
        <v>3736400</v>
      </c>
    </row>
    <row r="134" spans="1:6">
      <c r="A134" s="2">
        <v>38553</v>
      </c>
      <c r="B134" s="1">
        <v>6438.22</v>
      </c>
      <c r="C134" s="1">
        <v>6480.97</v>
      </c>
      <c r="D134" s="1">
        <v>6415.78</v>
      </c>
      <c r="E134" s="3">
        <v>6423.81</v>
      </c>
      <c r="F134" s="1">
        <v>5118600</v>
      </c>
    </row>
    <row r="135" spans="1:6">
      <c r="A135" s="2">
        <v>38554</v>
      </c>
      <c r="B135" s="1">
        <v>6344.84</v>
      </c>
      <c r="C135" s="1">
        <v>6478.64</v>
      </c>
      <c r="D135" s="1">
        <v>6344.84</v>
      </c>
      <c r="E135" s="3">
        <v>6394.03</v>
      </c>
      <c r="F135" s="1">
        <v>4379000</v>
      </c>
    </row>
    <row r="136" spans="1:6">
      <c r="A136" s="2">
        <v>38555</v>
      </c>
      <c r="B136" s="1">
        <v>6412.87</v>
      </c>
      <c r="C136" s="1">
        <v>6415.43</v>
      </c>
      <c r="D136" s="1">
        <v>6365.38</v>
      </c>
      <c r="E136" s="3">
        <v>6380.73</v>
      </c>
      <c r="F136" s="1">
        <v>3899000</v>
      </c>
    </row>
    <row r="137" spans="1:6">
      <c r="A137" s="2">
        <v>38558</v>
      </c>
      <c r="B137" s="1">
        <v>6406.45</v>
      </c>
      <c r="C137" s="1">
        <v>6434.45</v>
      </c>
      <c r="D137" s="1">
        <v>6400.11</v>
      </c>
      <c r="E137" s="3">
        <v>6420.45</v>
      </c>
      <c r="F137" s="1">
        <v>3729800</v>
      </c>
    </row>
    <row r="138" spans="1:6">
      <c r="A138" s="2">
        <v>38559</v>
      </c>
      <c r="B138" s="1">
        <v>6416.22</v>
      </c>
      <c r="C138" s="1">
        <v>6439.98</v>
      </c>
      <c r="D138" s="1">
        <v>6366.16</v>
      </c>
      <c r="E138" s="3">
        <v>6366.16</v>
      </c>
      <c r="F138" s="1">
        <v>4096600</v>
      </c>
    </row>
    <row r="139" spans="1:6">
      <c r="A139" s="2">
        <v>38560</v>
      </c>
      <c r="B139" s="1">
        <v>6364.01</v>
      </c>
      <c r="C139" s="1">
        <v>6376.05</v>
      </c>
      <c r="D139" s="1">
        <v>6305.93</v>
      </c>
      <c r="E139" s="3">
        <v>6327.25</v>
      </c>
      <c r="F139" s="1">
        <v>3693600</v>
      </c>
    </row>
    <row r="140" spans="1:6">
      <c r="A140" s="2">
        <v>38561</v>
      </c>
      <c r="B140" s="1">
        <v>6347.89</v>
      </c>
      <c r="C140" s="1">
        <v>6375.64</v>
      </c>
      <c r="D140" s="1">
        <v>6326</v>
      </c>
      <c r="E140" s="3">
        <v>6375.64</v>
      </c>
      <c r="F140" s="1">
        <v>4157600</v>
      </c>
    </row>
    <row r="141" spans="1:6">
      <c r="A141" s="2">
        <v>38562</v>
      </c>
      <c r="B141" s="1">
        <v>6409.56</v>
      </c>
      <c r="C141" s="1">
        <v>6420.64</v>
      </c>
      <c r="D141" s="1">
        <v>6310.63</v>
      </c>
      <c r="E141" s="3">
        <v>6311.98</v>
      </c>
      <c r="F141" s="1">
        <v>4865200</v>
      </c>
    </row>
    <row r="142" spans="1:6">
      <c r="A142" s="2">
        <v>38565</v>
      </c>
      <c r="B142" s="1">
        <v>6320.67</v>
      </c>
      <c r="C142" s="1">
        <v>6327.83</v>
      </c>
      <c r="D142" s="1">
        <v>6290.93</v>
      </c>
      <c r="E142" s="3">
        <v>6307.93</v>
      </c>
      <c r="F142" s="1">
        <v>3090200</v>
      </c>
    </row>
    <row r="143" spans="1:6">
      <c r="A143" s="2">
        <v>38566</v>
      </c>
      <c r="B143" s="1">
        <v>6344.4</v>
      </c>
      <c r="C143" s="1">
        <v>6360.43</v>
      </c>
      <c r="D143" s="1">
        <v>6296.78</v>
      </c>
      <c r="E143" s="3">
        <v>6343.54</v>
      </c>
      <c r="F143" s="1">
        <v>3479000</v>
      </c>
    </row>
    <row r="144" spans="1:6">
      <c r="A144" s="2">
        <v>38567</v>
      </c>
      <c r="B144" s="1">
        <v>6391.68</v>
      </c>
      <c r="C144" s="1">
        <v>6455.57</v>
      </c>
      <c r="D144" s="1">
        <v>6379.51</v>
      </c>
      <c r="E144" s="3">
        <v>6455.57</v>
      </c>
      <c r="F144" s="1">
        <v>4033800</v>
      </c>
    </row>
    <row r="145" spans="1:6">
      <c r="A145" s="2">
        <v>38568</v>
      </c>
      <c r="B145" s="1">
        <v>6481.62</v>
      </c>
      <c r="C145" s="1">
        <v>6481.62</v>
      </c>
      <c r="D145" s="1">
        <v>6439.89</v>
      </c>
      <c r="E145" s="3">
        <v>6446.01</v>
      </c>
      <c r="F145" s="1">
        <v>3893000</v>
      </c>
    </row>
    <row r="146" spans="1:6">
      <c r="A146" s="2">
        <v>38572</v>
      </c>
      <c r="B146" s="1">
        <v>6400.04</v>
      </c>
      <c r="C146" s="1">
        <v>6408.05</v>
      </c>
      <c r="D146" s="1">
        <v>6375.89</v>
      </c>
      <c r="E146" s="3">
        <v>6380.03</v>
      </c>
      <c r="F146" s="1">
        <v>3062400</v>
      </c>
    </row>
    <row r="147" spans="1:6">
      <c r="A147" s="2">
        <v>38573</v>
      </c>
      <c r="B147" s="1">
        <v>6374.6</v>
      </c>
      <c r="C147" s="1">
        <v>6397.37</v>
      </c>
      <c r="D147" s="1">
        <v>6361.19</v>
      </c>
      <c r="E147" s="3">
        <v>6380</v>
      </c>
      <c r="F147" s="1">
        <v>3092800</v>
      </c>
    </row>
    <row r="148" spans="1:6">
      <c r="A148" s="2">
        <v>38574</v>
      </c>
      <c r="B148" s="1">
        <v>6408.86</v>
      </c>
      <c r="C148" s="1">
        <v>6430.13</v>
      </c>
      <c r="D148" s="1">
        <v>6356.84</v>
      </c>
      <c r="E148" s="3">
        <v>6356.84</v>
      </c>
      <c r="F148" s="1">
        <v>3416000</v>
      </c>
    </row>
    <row r="149" spans="1:6">
      <c r="A149" s="2">
        <v>38575</v>
      </c>
      <c r="B149" s="1">
        <v>6362.62</v>
      </c>
      <c r="C149" s="1">
        <v>6380.39</v>
      </c>
      <c r="D149" s="1">
        <v>6326.37</v>
      </c>
      <c r="E149" s="3">
        <v>6353.71</v>
      </c>
      <c r="F149" s="1">
        <v>3110800</v>
      </c>
    </row>
    <row r="150" spans="1:6">
      <c r="A150" s="2">
        <v>38576</v>
      </c>
      <c r="B150" s="1">
        <v>6389.27</v>
      </c>
      <c r="C150" s="1">
        <v>6398.72</v>
      </c>
      <c r="D150" s="1">
        <v>6350.9</v>
      </c>
      <c r="E150" s="3">
        <v>6350.9</v>
      </c>
      <c r="F150" s="1">
        <v>3607000</v>
      </c>
    </row>
    <row r="151" spans="1:6">
      <c r="A151" s="2">
        <v>38579</v>
      </c>
      <c r="B151" s="1">
        <v>6344.88</v>
      </c>
      <c r="C151" s="1">
        <v>6344.88</v>
      </c>
      <c r="D151" s="1">
        <v>6238.02</v>
      </c>
      <c r="E151" s="3">
        <v>6245.13</v>
      </c>
      <c r="F151" s="1">
        <v>3014200</v>
      </c>
    </row>
    <row r="152" spans="1:6">
      <c r="A152" s="2">
        <v>38580</v>
      </c>
      <c r="B152" s="1">
        <v>6262.87</v>
      </c>
      <c r="C152" s="1">
        <v>6266.33</v>
      </c>
      <c r="D152" s="1">
        <v>6207.58</v>
      </c>
      <c r="E152" s="3">
        <v>6242.4</v>
      </c>
      <c r="F152" s="1">
        <v>2770600</v>
      </c>
    </row>
    <row r="153" spans="1:6">
      <c r="A153" s="2">
        <v>38581</v>
      </c>
      <c r="B153" s="1">
        <v>6216.08</v>
      </c>
      <c r="C153" s="1">
        <v>6256.11</v>
      </c>
      <c r="D153" s="1">
        <v>6213.59</v>
      </c>
      <c r="E153" s="3">
        <v>6241.92</v>
      </c>
      <c r="F153" s="1">
        <v>2659400</v>
      </c>
    </row>
    <row r="154" spans="1:6">
      <c r="A154" s="2">
        <v>38582</v>
      </c>
      <c r="B154" s="1">
        <v>6252.32</v>
      </c>
      <c r="C154" s="1">
        <v>6260.28</v>
      </c>
      <c r="D154" s="1">
        <v>6204.42</v>
      </c>
      <c r="E154" s="3">
        <v>6205.09</v>
      </c>
      <c r="F154" s="1">
        <v>3140200</v>
      </c>
    </row>
    <row r="155" spans="1:6">
      <c r="A155" s="2">
        <v>38583</v>
      </c>
      <c r="B155" s="1">
        <v>6190.33</v>
      </c>
      <c r="C155" s="1">
        <v>6190.33</v>
      </c>
      <c r="D155" s="1">
        <v>6138.62</v>
      </c>
      <c r="E155" s="3">
        <v>6158.94</v>
      </c>
      <c r="F155" s="1">
        <v>2560400</v>
      </c>
    </row>
    <row r="156" spans="1:6">
      <c r="A156" s="2">
        <v>38586</v>
      </c>
      <c r="B156" s="1">
        <v>6194.89</v>
      </c>
      <c r="C156" s="1">
        <v>6207.95</v>
      </c>
      <c r="D156" s="1">
        <v>6181.51</v>
      </c>
      <c r="E156" s="3">
        <v>6206.65</v>
      </c>
      <c r="F156" s="1">
        <v>2288400</v>
      </c>
    </row>
    <row r="157" spans="1:6">
      <c r="A157" s="2">
        <v>38587</v>
      </c>
      <c r="B157" s="1">
        <v>6211.15</v>
      </c>
      <c r="C157" s="1">
        <v>6234.31</v>
      </c>
      <c r="D157" s="1">
        <v>6195.18</v>
      </c>
      <c r="E157" s="3">
        <v>6195.18</v>
      </c>
      <c r="F157" s="1">
        <v>2654600</v>
      </c>
    </row>
    <row r="158" spans="1:6">
      <c r="A158" s="2">
        <v>38588</v>
      </c>
      <c r="B158" s="1">
        <v>6174.25</v>
      </c>
      <c r="C158" s="1">
        <v>6174.79</v>
      </c>
      <c r="D158" s="1">
        <v>6126.97</v>
      </c>
      <c r="E158" s="3">
        <v>6127.24</v>
      </c>
      <c r="F158" s="1">
        <v>2879000</v>
      </c>
    </row>
    <row r="159" spans="1:6">
      <c r="A159" s="2">
        <v>38589</v>
      </c>
      <c r="B159" s="1">
        <v>6103.46</v>
      </c>
      <c r="C159" s="1">
        <v>6153.62</v>
      </c>
      <c r="D159" s="1">
        <v>6097.23</v>
      </c>
      <c r="E159" s="3">
        <v>6109.66</v>
      </c>
      <c r="F159" s="1">
        <v>3113400</v>
      </c>
    </row>
    <row r="160" spans="1:6">
      <c r="A160" s="2">
        <v>38590</v>
      </c>
      <c r="B160" s="1">
        <v>6130.83</v>
      </c>
      <c r="C160" s="1">
        <v>6148.95</v>
      </c>
      <c r="D160" s="1">
        <v>6107</v>
      </c>
      <c r="E160" s="3">
        <v>6136.55</v>
      </c>
      <c r="F160" s="1">
        <v>2661800</v>
      </c>
    </row>
    <row r="161" spans="1:6">
      <c r="A161" s="2">
        <v>38593</v>
      </c>
      <c r="B161" s="1">
        <v>6117.27</v>
      </c>
      <c r="C161" s="1">
        <v>6130.79</v>
      </c>
      <c r="D161" s="1">
        <v>6031.2</v>
      </c>
      <c r="E161" s="3">
        <v>6049.44</v>
      </c>
      <c r="F161" s="1">
        <v>2578200</v>
      </c>
    </row>
    <row r="162" spans="1:6">
      <c r="A162" s="2">
        <v>38594</v>
      </c>
      <c r="B162" s="1">
        <v>6087.86</v>
      </c>
      <c r="C162" s="1">
        <v>6087.86</v>
      </c>
      <c r="D162" s="1">
        <v>6021.97</v>
      </c>
      <c r="E162" s="3">
        <v>6032.12</v>
      </c>
      <c r="F162" s="1">
        <v>2676600</v>
      </c>
    </row>
    <row r="163" spans="1:6">
      <c r="A163" s="2">
        <v>38595</v>
      </c>
      <c r="B163" s="1">
        <v>6041.86</v>
      </c>
      <c r="C163" s="1">
        <v>6078.17</v>
      </c>
      <c r="D163" s="1">
        <v>5976.4</v>
      </c>
      <c r="E163" s="3">
        <v>6033.47</v>
      </c>
      <c r="F163" s="1">
        <v>2955000</v>
      </c>
    </row>
    <row r="164" spans="1:6">
      <c r="A164" s="2">
        <v>38597</v>
      </c>
      <c r="B164" s="1">
        <v>6081.71</v>
      </c>
      <c r="C164" s="1">
        <v>6116.05</v>
      </c>
      <c r="D164" s="1">
        <v>6075.35</v>
      </c>
      <c r="E164" s="3">
        <v>6116.05</v>
      </c>
      <c r="F164" s="1">
        <v>2964000</v>
      </c>
    </row>
    <row r="165" spans="1:6">
      <c r="A165" s="2">
        <v>38600</v>
      </c>
      <c r="B165" s="1">
        <v>6131.95</v>
      </c>
      <c r="C165" s="1">
        <v>6131.95</v>
      </c>
      <c r="D165" s="1">
        <v>6094</v>
      </c>
      <c r="E165" s="3">
        <v>6098.78</v>
      </c>
      <c r="F165" s="1">
        <v>2384200</v>
      </c>
    </row>
    <row r="166" spans="1:6">
      <c r="A166" s="2">
        <v>38601</v>
      </c>
      <c r="B166" s="1">
        <v>6141.28</v>
      </c>
      <c r="C166" s="1">
        <v>6145.3</v>
      </c>
      <c r="D166" s="1">
        <v>6123.84</v>
      </c>
      <c r="E166" s="3">
        <v>6140.14</v>
      </c>
      <c r="F166" s="1">
        <v>2365800</v>
      </c>
    </row>
    <row r="167" spans="1:6">
      <c r="A167" s="2">
        <v>38602</v>
      </c>
      <c r="B167" s="1">
        <v>6168.51</v>
      </c>
      <c r="C167" s="1">
        <v>6168.51</v>
      </c>
      <c r="D167" s="1">
        <v>6130.56</v>
      </c>
      <c r="E167" s="3">
        <v>6141.14</v>
      </c>
      <c r="F167" s="1">
        <v>2522800</v>
      </c>
    </row>
    <row r="168" spans="1:6">
      <c r="A168" s="2">
        <v>38603</v>
      </c>
      <c r="B168" s="1">
        <v>6157.47</v>
      </c>
      <c r="C168" s="1">
        <v>6170</v>
      </c>
      <c r="D168" s="1">
        <v>6140.34</v>
      </c>
      <c r="E168" s="3">
        <v>6149.88</v>
      </c>
      <c r="F168" s="1">
        <v>2575200</v>
      </c>
    </row>
    <row r="169" spans="1:6">
      <c r="A169" s="2">
        <v>38604</v>
      </c>
      <c r="B169" s="1">
        <v>6161.8</v>
      </c>
      <c r="C169" s="1">
        <v>6167.9</v>
      </c>
      <c r="D169" s="1">
        <v>6108.4</v>
      </c>
      <c r="E169" s="3">
        <v>6119.06</v>
      </c>
      <c r="F169" s="1">
        <v>2400000</v>
      </c>
    </row>
    <row r="170" spans="1:6">
      <c r="A170" s="2">
        <v>38607</v>
      </c>
      <c r="B170" s="1">
        <v>6155.38</v>
      </c>
      <c r="C170" s="1">
        <v>6166.11</v>
      </c>
      <c r="D170" s="1">
        <v>6130.99</v>
      </c>
      <c r="E170" s="3">
        <v>6164.98</v>
      </c>
      <c r="F170" s="1">
        <v>2486200</v>
      </c>
    </row>
    <row r="171" spans="1:6">
      <c r="A171" s="2">
        <v>38608</v>
      </c>
      <c r="B171" s="1">
        <v>6170.37</v>
      </c>
      <c r="C171" s="1">
        <v>6186.12</v>
      </c>
      <c r="D171" s="1">
        <v>6156.12</v>
      </c>
      <c r="E171" s="3">
        <v>6169.08</v>
      </c>
      <c r="F171" s="1">
        <v>2617600</v>
      </c>
    </row>
    <row r="172" spans="1:6">
      <c r="A172" s="2">
        <v>38609</v>
      </c>
      <c r="B172" s="1">
        <v>6159.97</v>
      </c>
      <c r="C172" s="1">
        <v>6172.89</v>
      </c>
      <c r="D172" s="1">
        <v>6132.99</v>
      </c>
      <c r="E172" s="3">
        <v>6148.7</v>
      </c>
      <c r="F172" s="1">
        <v>2165600</v>
      </c>
    </row>
    <row r="173" spans="1:6">
      <c r="A173" s="2">
        <v>38610</v>
      </c>
      <c r="B173" s="1">
        <v>6132.45</v>
      </c>
      <c r="C173" s="1">
        <v>6139.99</v>
      </c>
      <c r="D173" s="1">
        <v>6079.57</v>
      </c>
      <c r="E173" s="3">
        <v>6082.56</v>
      </c>
      <c r="F173" s="1">
        <v>2663600</v>
      </c>
    </row>
    <row r="174" spans="1:6">
      <c r="A174" s="2">
        <v>38611</v>
      </c>
      <c r="B174" s="1">
        <v>6080.19</v>
      </c>
      <c r="C174" s="1">
        <v>6086.88</v>
      </c>
      <c r="D174" s="1">
        <v>6015.56</v>
      </c>
      <c r="E174" s="3">
        <v>6031.24</v>
      </c>
      <c r="F174" s="1">
        <v>2717800</v>
      </c>
    </row>
    <row r="175" spans="1:6">
      <c r="A175" s="2">
        <v>38614</v>
      </c>
      <c r="B175" s="1">
        <v>6044.16</v>
      </c>
      <c r="C175" s="1">
        <v>6050.4</v>
      </c>
      <c r="D175" s="1">
        <v>6023.08</v>
      </c>
      <c r="E175" s="3">
        <v>6035.59</v>
      </c>
      <c r="F175" s="1">
        <v>2058000</v>
      </c>
    </row>
    <row r="176" spans="1:6">
      <c r="A176" s="2">
        <v>38615</v>
      </c>
      <c r="B176" s="1">
        <v>6015.98</v>
      </c>
      <c r="C176" s="1">
        <v>6115.54</v>
      </c>
      <c r="D176" s="1">
        <v>5994.46</v>
      </c>
      <c r="E176" s="3">
        <v>6105.35</v>
      </c>
      <c r="F176" s="1">
        <v>3146200</v>
      </c>
    </row>
    <row r="177" spans="1:6">
      <c r="A177" s="2">
        <v>38616</v>
      </c>
      <c r="B177" s="1">
        <v>6099.13</v>
      </c>
      <c r="C177" s="1">
        <v>6121.62</v>
      </c>
      <c r="D177" s="1">
        <v>6066.37</v>
      </c>
      <c r="E177" s="3">
        <v>6067.34</v>
      </c>
      <c r="F177" s="1">
        <v>2645800</v>
      </c>
    </row>
    <row r="178" spans="1:6">
      <c r="A178" s="2">
        <v>38617</v>
      </c>
      <c r="B178" s="1">
        <v>6017.25</v>
      </c>
      <c r="C178" s="1">
        <v>6039.85</v>
      </c>
      <c r="D178" s="1">
        <v>5966.16</v>
      </c>
      <c r="E178" s="3">
        <v>5972.06</v>
      </c>
      <c r="F178" s="1">
        <v>2942000</v>
      </c>
    </row>
    <row r="179" spans="1:6">
      <c r="A179" s="2">
        <v>38618</v>
      </c>
      <c r="B179" s="1">
        <v>5957.79</v>
      </c>
      <c r="C179" s="1">
        <v>5973.72</v>
      </c>
      <c r="D179" s="1">
        <v>5899.59</v>
      </c>
      <c r="E179" s="3">
        <v>5925.54</v>
      </c>
      <c r="F179" s="1">
        <v>2593000</v>
      </c>
    </row>
    <row r="180" spans="1:6">
      <c r="A180" s="2">
        <v>38621</v>
      </c>
      <c r="B180" s="1">
        <v>5967.69</v>
      </c>
      <c r="C180" s="1">
        <v>5975.98</v>
      </c>
      <c r="D180" s="1">
        <v>5894.99</v>
      </c>
      <c r="E180" s="3">
        <v>5930.2</v>
      </c>
      <c r="F180" s="1">
        <v>2349200</v>
      </c>
    </row>
    <row r="181" spans="1:6">
      <c r="A181" s="2">
        <v>38622</v>
      </c>
      <c r="B181" s="1">
        <v>5929.87</v>
      </c>
      <c r="C181" s="1">
        <v>5966.97</v>
      </c>
      <c r="D181" s="1">
        <v>5905.44</v>
      </c>
      <c r="E181" s="3">
        <v>5945.05</v>
      </c>
      <c r="F181" s="1">
        <v>2370000</v>
      </c>
    </row>
    <row r="182" spans="1:6">
      <c r="A182" s="2">
        <v>38623</v>
      </c>
      <c r="B182" s="1">
        <v>5943.12</v>
      </c>
      <c r="C182" s="1">
        <v>5961.21</v>
      </c>
      <c r="D182" s="1">
        <v>5912.88</v>
      </c>
      <c r="E182" s="3">
        <v>5931.38</v>
      </c>
      <c r="F182" s="1">
        <v>2538400</v>
      </c>
    </row>
    <row r="183" spans="1:6">
      <c r="A183" s="2">
        <v>38624</v>
      </c>
      <c r="B183" s="1">
        <v>5932.79</v>
      </c>
      <c r="C183" s="1">
        <v>6009.99</v>
      </c>
      <c r="D183" s="1">
        <v>5931.02</v>
      </c>
      <c r="E183" s="3">
        <v>6009.99</v>
      </c>
      <c r="F183" s="1">
        <v>3147000</v>
      </c>
    </row>
    <row r="184" spans="1:6">
      <c r="A184" s="2">
        <v>38625</v>
      </c>
      <c r="B184" s="1">
        <v>6053.59</v>
      </c>
      <c r="C184" s="1">
        <v>6118.61</v>
      </c>
      <c r="D184" s="1">
        <v>6047.2</v>
      </c>
      <c r="E184" s="3">
        <v>6118.61</v>
      </c>
      <c r="F184" s="1">
        <v>3646800</v>
      </c>
    </row>
    <row r="185" spans="1:6">
      <c r="A185" s="2">
        <v>38628</v>
      </c>
      <c r="B185" s="1">
        <v>6128.97</v>
      </c>
      <c r="C185" s="1">
        <v>6139.22</v>
      </c>
      <c r="D185" s="1">
        <v>6090.78</v>
      </c>
      <c r="E185" s="3">
        <v>6123.92</v>
      </c>
      <c r="F185" s="1">
        <v>2977400</v>
      </c>
    </row>
    <row r="186" spans="1:6">
      <c r="A186" s="2">
        <v>38629</v>
      </c>
      <c r="B186" s="1">
        <v>6141.74</v>
      </c>
      <c r="C186" s="1">
        <v>6158.68</v>
      </c>
      <c r="D186" s="1">
        <v>6114.02</v>
      </c>
      <c r="E186" s="3">
        <v>6142.12</v>
      </c>
      <c r="F186" s="1">
        <v>3233400</v>
      </c>
    </row>
    <row r="187" spans="1:6">
      <c r="A187" s="2">
        <v>38630</v>
      </c>
      <c r="B187" s="1">
        <v>6136.66</v>
      </c>
      <c r="C187" s="1">
        <v>6171.87</v>
      </c>
      <c r="D187" s="1">
        <v>6125.11</v>
      </c>
      <c r="E187" s="3">
        <v>6135.01</v>
      </c>
      <c r="F187" s="1">
        <v>3337200</v>
      </c>
    </row>
    <row r="188" spans="1:6">
      <c r="A188" s="2">
        <v>38631</v>
      </c>
      <c r="B188" s="1">
        <v>6094.18</v>
      </c>
      <c r="C188" s="1">
        <v>6105.05</v>
      </c>
      <c r="D188" s="1">
        <v>6075.67</v>
      </c>
      <c r="E188" s="3">
        <v>6095.81</v>
      </c>
      <c r="F188" s="1">
        <v>2866000</v>
      </c>
    </row>
    <row r="189" spans="1:6">
      <c r="A189" s="2">
        <v>38632</v>
      </c>
      <c r="B189" s="1">
        <v>6090.99</v>
      </c>
      <c r="C189" s="1">
        <v>6112.83</v>
      </c>
      <c r="D189" s="1">
        <v>6076.15</v>
      </c>
      <c r="E189" s="3">
        <v>6081.84</v>
      </c>
      <c r="F189" s="1">
        <v>2623000</v>
      </c>
    </row>
    <row r="190" spans="1:6">
      <c r="A190" s="2">
        <v>38636</v>
      </c>
      <c r="B190" s="1">
        <v>6097.88</v>
      </c>
      <c r="C190" s="1">
        <v>6112.68</v>
      </c>
      <c r="D190" s="1">
        <v>6065.57</v>
      </c>
      <c r="E190" s="3">
        <v>6066.59</v>
      </c>
      <c r="F190" s="1">
        <v>2294000</v>
      </c>
    </row>
    <row r="191" spans="1:6">
      <c r="A191" s="2">
        <v>38637</v>
      </c>
      <c r="B191" s="1">
        <v>6042.15</v>
      </c>
      <c r="C191" s="1">
        <v>6045.73</v>
      </c>
      <c r="D191" s="1">
        <v>5987.4</v>
      </c>
      <c r="E191" s="3">
        <v>5987.4</v>
      </c>
      <c r="F191" s="1">
        <v>3132200</v>
      </c>
    </row>
    <row r="192" spans="1:6">
      <c r="A192" s="2">
        <v>38638</v>
      </c>
      <c r="B192" s="1">
        <v>5970.1</v>
      </c>
      <c r="C192" s="1">
        <v>5974.03</v>
      </c>
      <c r="D192" s="1">
        <v>5928.86</v>
      </c>
      <c r="E192" s="3">
        <v>5960.11</v>
      </c>
      <c r="F192" s="1">
        <v>2780600</v>
      </c>
    </row>
    <row r="193" spans="1:6">
      <c r="A193" s="2">
        <v>38639</v>
      </c>
      <c r="B193" s="1">
        <v>5987.05</v>
      </c>
      <c r="C193" s="1">
        <v>6006.96</v>
      </c>
      <c r="D193" s="1">
        <v>5967.71</v>
      </c>
      <c r="E193" s="3">
        <v>5969.07</v>
      </c>
      <c r="F193" s="1">
        <v>2777800</v>
      </c>
    </row>
    <row r="194" spans="1:6">
      <c r="A194" s="2">
        <v>38642</v>
      </c>
      <c r="B194" s="1">
        <v>5990.23</v>
      </c>
      <c r="C194" s="1">
        <v>5991.35</v>
      </c>
      <c r="D194" s="1">
        <v>5826.27</v>
      </c>
      <c r="E194" s="3">
        <v>5826.27</v>
      </c>
      <c r="F194" s="1">
        <v>3029200</v>
      </c>
    </row>
    <row r="195" spans="1:6">
      <c r="A195" s="2">
        <v>38643</v>
      </c>
      <c r="B195" s="1">
        <v>5853.28</v>
      </c>
      <c r="C195" s="1">
        <v>5865.24</v>
      </c>
      <c r="D195" s="1">
        <v>5805.7</v>
      </c>
      <c r="E195" s="3">
        <v>5830.79</v>
      </c>
      <c r="F195" s="1">
        <v>2582000</v>
      </c>
    </row>
    <row r="196" spans="1:6">
      <c r="A196" s="2">
        <v>38644</v>
      </c>
      <c r="B196" s="1">
        <v>5788.83</v>
      </c>
      <c r="C196" s="1">
        <v>5788.83</v>
      </c>
      <c r="D196" s="1">
        <v>5692.28</v>
      </c>
      <c r="E196" s="3">
        <v>5694.16</v>
      </c>
      <c r="F196" s="1">
        <v>3237600</v>
      </c>
    </row>
    <row r="197" spans="1:6">
      <c r="A197" s="2">
        <v>38645</v>
      </c>
      <c r="B197" s="1">
        <v>5719.03</v>
      </c>
      <c r="C197" s="1">
        <v>5763.72</v>
      </c>
      <c r="D197" s="1">
        <v>5647.92</v>
      </c>
      <c r="E197" s="3">
        <v>5748</v>
      </c>
      <c r="F197" s="1">
        <v>3730600</v>
      </c>
    </row>
    <row r="198" spans="1:6">
      <c r="A198" s="2">
        <v>38646</v>
      </c>
      <c r="B198" s="1">
        <v>5678.62</v>
      </c>
      <c r="C198" s="1">
        <v>5761.16</v>
      </c>
      <c r="D198" s="1">
        <v>5678.62</v>
      </c>
      <c r="E198" s="3">
        <v>5738.76</v>
      </c>
      <c r="F198" s="1">
        <v>2845400</v>
      </c>
    </row>
    <row r="199" spans="1:6">
      <c r="A199" s="2">
        <v>38649</v>
      </c>
      <c r="B199" s="1">
        <v>5761.33</v>
      </c>
      <c r="C199" s="1">
        <v>5766.35</v>
      </c>
      <c r="D199" s="1">
        <v>5713.63</v>
      </c>
      <c r="E199" s="3">
        <v>5717.28</v>
      </c>
      <c r="F199" s="1">
        <v>2615200</v>
      </c>
    </row>
    <row r="200" spans="1:6">
      <c r="A200" s="2">
        <v>38650</v>
      </c>
      <c r="B200" s="1">
        <v>5796.81</v>
      </c>
      <c r="C200" s="1">
        <v>5803.67</v>
      </c>
      <c r="D200" s="1">
        <v>5721.31</v>
      </c>
      <c r="E200" s="3">
        <v>5721.31</v>
      </c>
      <c r="F200" s="1">
        <v>2710600</v>
      </c>
    </row>
    <row r="201" spans="1:6">
      <c r="A201" s="2">
        <v>38651</v>
      </c>
      <c r="B201" s="1">
        <v>5731.87</v>
      </c>
      <c r="C201" s="1">
        <v>5739.94</v>
      </c>
      <c r="D201" s="1">
        <v>5672.89</v>
      </c>
      <c r="E201" s="3">
        <v>5700.72</v>
      </c>
      <c r="F201" s="1">
        <v>2877600</v>
      </c>
    </row>
    <row r="202" spans="1:6">
      <c r="A202" s="2">
        <v>38652</v>
      </c>
      <c r="B202" s="1">
        <v>5663.24</v>
      </c>
      <c r="C202" s="1">
        <v>5717.05</v>
      </c>
      <c r="D202" s="1">
        <v>5632.23</v>
      </c>
      <c r="E202" s="3">
        <v>5661.18</v>
      </c>
      <c r="F202" s="1">
        <v>2890800</v>
      </c>
    </row>
    <row r="203" spans="1:6">
      <c r="A203" s="2">
        <v>38653</v>
      </c>
      <c r="B203" s="1">
        <v>5646.8</v>
      </c>
      <c r="C203" s="1">
        <v>5690.98</v>
      </c>
      <c r="D203" s="1">
        <v>5618.9</v>
      </c>
      <c r="E203" s="3">
        <v>5632.97</v>
      </c>
      <c r="F203" s="1">
        <v>2940800</v>
      </c>
    </row>
    <row r="204" spans="1:6">
      <c r="A204" s="2">
        <v>38656</v>
      </c>
      <c r="B204" s="1">
        <v>5692.82</v>
      </c>
      <c r="C204" s="1">
        <v>5774.61</v>
      </c>
      <c r="D204" s="1">
        <v>5681.2</v>
      </c>
      <c r="E204" s="3">
        <v>5764.3</v>
      </c>
      <c r="F204" s="1">
        <v>3130400</v>
      </c>
    </row>
    <row r="205" spans="1:6">
      <c r="A205" s="2">
        <v>38657</v>
      </c>
      <c r="B205" s="1">
        <v>5803.25</v>
      </c>
      <c r="C205" s="1">
        <v>5829.82</v>
      </c>
      <c r="D205" s="1">
        <v>5786.64</v>
      </c>
      <c r="E205" s="3">
        <v>5798.41</v>
      </c>
      <c r="F205" s="1">
        <v>3006600</v>
      </c>
    </row>
    <row r="206" spans="1:6">
      <c r="A206" s="2">
        <v>38658</v>
      </c>
      <c r="B206" s="1">
        <v>5832.34</v>
      </c>
      <c r="C206" s="1">
        <v>5870.37</v>
      </c>
      <c r="D206" s="1">
        <v>5816.9</v>
      </c>
      <c r="E206" s="3">
        <v>5870.37</v>
      </c>
      <c r="F206" s="1">
        <v>2813200</v>
      </c>
    </row>
    <row r="207" spans="1:6">
      <c r="A207" s="2">
        <v>38659</v>
      </c>
      <c r="B207" s="1">
        <v>5907.22</v>
      </c>
      <c r="C207" s="1">
        <v>5908.69</v>
      </c>
      <c r="D207" s="1">
        <v>5855.13</v>
      </c>
      <c r="E207" s="3">
        <v>5858.01</v>
      </c>
      <c r="F207" s="1">
        <v>2776400</v>
      </c>
    </row>
    <row r="208" spans="1:6">
      <c r="A208" s="2">
        <v>38660</v>
      </c>
      <c r="B208" s="1">
        <v>5907.27</v>
      </c>
      <c r="C208" s="1">
        <v>5930.24</v>
      </c>
      <c r="D208" s="1">
        <v>5888.4</v>
      </c>
      <c r="E208" s="3">
        <v>5911.74</v>
      </c>
      <c r="F208" s="1">
        <v>3129600</v>
      </c>
    </row>
    <row r="209" spans="1:6">
      <c r="A209" s="2">
        <v>38663</v>
      </c>
      <c r="B209" s="1">
        <v>5905.36</v>
      </c>
      <c r="C209" s="1">
        <v>5905.36</v>
      </c>
      <c r="D209" s="1">
        <v>5842.37</v>
      </c>
      <c r="E209" s="3">
        <v>5860.39</v>
      </c>
      <c r="F209" s="1">
        <v>2443600</v>
      </c>
    </row>
    <row r="210" spans="1:6">
      <c r="A210" s="2">
        <v>38664</v>
      </c>
      <c r="B210" s="1">
        <v>5865.91</v>
      </c>
      <c r="C210" s="1">
        <v>5867.07</v>
      </c>
      <c r="D210" s="1">
        <v>5836.24</v>
      </c>
      <c r="E210" s="3">
        <v>5849.63</v>
      </c>
      <c r="F210" s="1">
        <v>2513600</v>
      </c>
    </row>
    <row r="211" spans="1:6">
      <c r="A211" s="2">
        <v>38665</v>
      </c>
      <c r="B211" s="1">
        <v>5843.97</v>
      </c>
      <c r="C211" s="1">
        <v>5971.06</v>
      </c>
      <c r="D211" s="1">
        <v>5843.39</v>
      </c>
      <c r="E211" s="3">
        <v>5971.06</v>
      </c>
      <c r="F211" s="1">
        <v>3401200</v>
      </c>
    </row>
    <row r="212" spans="1:6">
      <c r="A212" s="2">
        <v>38666</v>
      </c>
      <c r="B212" s="1">
        <v>5987.28</v>
      </c>
      <c r="C212" s="1">
        <v>6021.38</v>
      </c>
      <c r="D212" s="1">
        <v>5971.89</v>
      </c>
      <c r="E212" s="3">
        <v>5988.37</v>
      </c>
      <c r="F212" s="1">
        <v>3637000</v>
      </c>
    </row>
    <row r="213" spans="1:6">
      <c r="A213" s="2">
        <v>38667</v>
      </c>
      <c r="B213" s="1">
        <v>6050.87</v>
      </c>
      <c r="C213" s="1">
        <v>6075.26</v>
      </c>
      <c r="D213" s="1">
        <v>6019.06</v>
      </c>
      <c r="E213" s="3">
        <v>6075.26</v>
      </c>
      <c r="F213" s="1">
        <v>3559800</v>
      </c>
    </row>
    <row r="214" spans="1:6">
      <c r="A214" s="2">
        <v>38670</v>
      </c>
      <c r="B214" s="1">
        <v>6066.24</v>
      </c>
      <c r="C214" s="1">
        <v>6090.87</v>
      </c>
      <c r="D214" s="1">
        <v>6061.22</v>
      </c>
      <c r="E214" s="3">
        <v>6083.62</v>
      </c>
      <c r="F214" s="1">
        <v>2689400</v>
      </c>
    </row>
    <row r="215" spans="1:6">
      <c r="A215" s="2">
        <v>38671</v>
      </c>
      <c r="B215" s="1">
        <v>6072.48</v>
      </c>
      <c r="C215" s="1">
        <v>6073.44</v>
      </c>
      <c r="D215" s="1">
        <v>6003.48</v>
      </c>
      <c r="E215" s="3">
        <v>6030.74</v>
      </c>
      <c r="F215" s="1">
        <v>2717400</v>
      </c>
    </row>
    <row r="216" spans="1:6">
      <c r="A216" s="2">
        <v>38672</v>
      </c>
      <c r="B216" s="1">
        <v>6021.61</v>
      </c>
      <c r="C216" s="1">
        <v>6079.3</v>
      </c>
      <c r="D216" s="1">
        <v>6002.18</v>
      </c>
      <c r="E216" s="3">
        <v>6046.2</v>
      </c>
      <c r="F216" s="1">
        <v>2978600</v>
      </c>
    </row>
    <row r="217" spans="1:6">
      <c r="A217" s="2">
        <v>38673</v>
      </c>
      <c r="B217" s="1">
        <v>6063.09</v>
      </c>
      <c r="C217" s="1">
        <v>6063.09</v>
      </c>
      <c r="D217" s="1">
        <v>5994.91</v>
      </c>
      <c r="E217" s="3">
        <v>6020.94</v>
      </c>
      <c r="F217" s="1">
        <v>2750800</v>
      </c>
    </row>
    <row r="218" spans="1:6">
      <c r="A218" s="2">
        <v>38674</v>
      </c>
      <c r="B218" s="1">
        <v>6084.07</v>
      </c>
      <c r="C218" s="1">
        <v>6121.6</v>
      </c>
      <c r="D218" s="1">
        <v>6077.98</v>
      </c>
      <c r="E218" s="3">
        <v>6106.74</v>
      </c>
      <c r="F218" s="1">
        <v>3979000</v>
      </c>
    </row>
    <row r="219" spans="1:6">
      <c r="A219" s="2">
        <v>38677</v>
      </c>
      <c r="B219" s="1">
        <v>6130.8</v>
      </c>
      <c r="C219" s="1">
        <v>6138.4</v>
      </c>
      <c r="D219" s="1">
        <v>6093.44</v>
      </c>
      <c r="E219" s="3">
        <v>6103.42</v>
      </c>
      <c r="F219" s="1">
        <v>2959800</v>
      </c>
    </row>
    <row r="220" spans="1:6">
      <c r="A220" s="2">
        <v>38678</v>
      </c>
      <c r="B220" s="1">
        <v>6091.77</v>
      </c>
      <c r="C220" s="1">
        <v>6094.68</v>
      </c>
      <c r="D220" s="1">
        <v>6050.24</v>
      </c>
      <c r="E220" s="3">
        <v>6059.19</v>
      </c>
      <c r="F220" s="1">
        <v>2584800</v>
      </c>
    </row>
    <row r="221" spans="1:6">
      <c r="A221" s="2">
        <v>38679</v>
      </c>
      <c r="B221" s="1">
        <v>6095.18</v>
      </c>
      <c r="C221" s="1">
        <v>6123.52</v>
      </c>
      <c r="D221" s="1">
        <v>6074.33</v>
      </c>
      <c r="E221" s="3">
        <v>6123.52</v>
      </c>
      <c r="F221" s="1">
        <v>2941000</v>
      </c>
    </row>
    <row r="222" spans="1:6">
      <c r="A222" s="2">
        <v>38680</v>
      </c>
      <c r="B222" s="1">
        <v>6122.97</v>
      </c>
      <c r="C222" s="1">
        <v>6143.87</v>
      </c>
      <c r="D222" s="1">
        <v>6104.11</v>
      </c>
      <c r="E222" s="3">
        <v>6111.89</v>
      </c>
      <c r="F222" s="1">
        <v>3196200</v>
      </c>
    </row>
    <row r="223" spans="1:6">
      <c r="A223" s="2">
        <v>38681</v>
      </c>
      <c r="B223" s="1">
        <v>6133.7</v>
      </c>
      <c r="C223" s="1">
        <v>6145.01</v>
      </c>
      <c r="D223" s="1">
        <v>6122.17</v>
      </c>
      <c r="E223" s="3">
        <v>6128.2</v>
      </c>
      <c r="F223" s="1">
        <v>3074400</v>
      </c>
    </row>
    <row r="224" spans="1:6">
      <c r="A224" s="2">
        <v>38684</v>
      </c>
      <c r="B224" s="1">
        <v>6167.08</v>
      </c>
      <c r="C224" s="1">
        <v>6212.35</v>
      </c>
      <c r="D224" s="1">
        <v>6156.29</v>
      </c>
      <c r="E224" s="3">
        <v>6203.84</v>
      </c>
      <c r="F224" s="1">
        <v>3805400</v>
      </c>
    </row>
    <row r="225" spans="1:6">
      <c r="A225" s="2">
        <v>38685</v>
      </c>
      <c r="B225" s="1">
        <v>6192.94</v>
      </c>
      <c r="C225" s="1">
        <v>6207.05</v>
      </c>
      <c r="D225" s="1">
        <v>6139.51</v>
      </c>
      <c r="E225" s="3">
        <v>6139.51</v>
      </c>
      <c r="F225" s="1">
        <v>3593000</v>
      </c>
    </row>
    <row r="226" spans="1:6">
      <c r="A226" s="2">
        <v>38686</v>
      </c>
      <c r="B226" s="1">
        <v>6172.96</v>
      </c>
      <c r="C226" s="1">
        <v>6206.45</v>
      </c>
      <c r="D226" s="1">
        <v>6171.38</v>
      </c>
      <c r="E226" s="3">
        <v>6203.47</v>
      </c>
      <c r="F226" s="1">
        <v>3752200</v>
      </c>
    </row>
    <row r="227" spans="1:6">
      <c r="A227" s="2">
        <v>38687</v>
      </c>
      <c r="B227" s="1">
        <v>6196.36</v>
      </c>
      <c r="C227" s="1">
        <v>6202.91</v>
      </c>
      <c r="D227" s="1">
        <v>6162.86</v>
      </c>
      <c r="E227" s="3">
        <v>6179.82</v>
      </c>
      <c r="F227" s="1">
        <v>3207600</v>
      </c>
    </row>
    <row r="228" spans="1:6">
      <c r="A228" s="2">
        <v>38688</v>
      </c>
      <c r="B228" s="1">
        <v>6254.35</v>
      </c>
      <c r="C228" s="1">
        <v>6258.34</v>
      </c>
      <c r="D228" s="1">
        <v>6209.77</v>
      </c>
      <c r="E228" s="3">
        <v>6228.95</v>
      </c>
      <c r="F228" s="1">
        <v>4178400</v>
      </c>
    </row>
    <row r="229" spans="1:6">
      <c r="A229" s="2">
        <v>38691</v>
      </c>
      <c r="B229" s="1">
        <v>6280.81</v>
      </c>
      <c r="C229" s="1">
        <v>6348.31</v>
      </c>
      <c r="D229" s="1">
        <v>6244.49</v>
      </c>
      <c r="E229" s="3">
        <v>6348.31</v>
      </c>
      <c r="F229" s="1">
        <v>4458800</v>
      </c>
    </row>
    <row r="230" spans="1:6">
      <c r="A230" s="2">
        <v>38692</v>
      </c>
      <c r="B230" s="1">
        <v>6319.13</v>
      </c>
      <c r="C230" s="1">
        <v>6364.17</v>
      </c>
      <c r="D230" s="1">
        <v>6318.95</v>
      </c>
      <c r="E230" s="3">
        <v>6350.52</v>
      </c>
      <c r="F230" s="1">
        <v>4540200</v>
      </c>
    </row>
    <row r="231" spans="1:6">
      <c r="A231" s="2">
        <v>38693</v>
      </c>
      <c r="B231" s="1">
        <v>6362.51</v>
      </c>
      <c r="C231" s="1">
        <v>6370.82</v>
      </c>
      <c r="D231" s="1">
        <v>6290.6</v>
      </c>
      <c r="E231" s="3">
        <v>6329.52</v>
      </c>
      <c r="F231" s="1">
        <v>4084600</v>
      </c>
    </row>
    <row r="232" spans="1:6">
      <c r="A232" s="2">
        <v>38694</v>
      </c>
      <c r="B232" s="1">
        <v>6302.08</v>
      </c>
      <c r="C232" s="1">
        <v>6316.58</v>
      </c>
      <c r="D232" s="1">
        <v>6223.35</v>
      </c>
      <c r="E232" s="3">
        <v>6249.19</v>
      </c>
      <c r="F232" s="1">
        <v>3718400</v>
      </c>
    </row>
    <row r="233" spans="1:6">
      <c r="A233" s="2">
        <v>38695</v>
      </c>
      <c r="B233" s="1">
        <v>6269.94</v>
      </c>
      <c r="C233" s="1">
        <v>6274.04</v>
      </c>
      <c r="D233" s="1">
        <v>6233.23</v>
      </c>
      <c r="E233" s="3">
        <v>6264.36</v>
      </c>
      <c r="F233" s="1">
        <v>3259400</v>
      </c>
    </row>
    <row r="234" spans="1:6">
      <c r="A234" s="2">
        <v>38698</v>
      </c>
      <c r="B234" s="1">
        <v>6272.61</v>
      </c>
      <c r="C234" s="1">
        <v>6272.61</v>
      </c>
      <c r="D234" s="1">
        <v>6206.83</v>
      </c>
      <c r="E234" s="3">
        <v>6266.29</v>
      </c>
      <c r="F234" s="1">
        <v>3135200</v>
      </c>
    </row>
    <row r="235" spans="1:6">
      <c r="A235" s="2">
        <v>38699</v>
      </c>
      <c r="B235" s="1">
        <v>6270.24</v>
      </c>
      <c r="C235" s="1">
        <v>6282.23</v>
      </c>
      <c r="D235" s="1">
        <v>6242.41</v>
      </c>
      <c r="E235" s="3">
        <v>6261.18</v>
      </c>
      <c r="F235" s="1">
        <v>3442400</v>
      </c>
    </row>
    <row r="236" spans="1:6">
      <c r="A236" s="2">
        <v>38700</v>
      </c>
      <c r="B236" s="1">
        <v>6272.48</v>
      </c>
      <c r="C236" s="1">
        <v>6280.52</v>
      </c>
      <c r="D236" s="1">
        <v>6227.35</v>
      </c>
      <c r="E236" s="3">
        <v>6235.35</v>
      </c>
      <c r="F236" s="1">
        <v>3412600</v>
      </c>
    </row>
    <row r="237" spans="1:6">
      <c r="A237" s="2">
        <v>38701</v>
      </c>
      <c r="B237" s="1">
        <v>6240.37</v>
      </c>
      <c r="C237" s="1">
        <v>6259.21</v>
      </c>
      <c r="D237" s="1">
        <v>6227.25</v>
      </c>
      <c r="E237" s="3">
        <v>6258.47</v>
      </c>
      <c r="F237" s="1">
        <v>2920800</v>
      </c>
    </row>
    <row r="238" spans="1:6">
      <c r="A238" s="2">
        <v>38702</v>
      </c>
      <c r="B238" s="1">
        <v>6293.41</v>
      </c>
      <c r="C238" s="1">
        <v>6375.33</v>
      </c>
      <c r="D238" s="1">
        <v>6293.41</v>
      </c>
      <c r="E238" s="3">
        <v>6350.69</v>
      </c>
      <c r="F238" s="1">
        <v>4467200</v>
      </c>
    </row>
    <row r="239" spans="1:6">
      <c r="A239" s="2">
        <v>38705</v>
      </c>
      <c r="B239" s="1">
        <v>6386.36</v>
      </c>
      <c r="C239" s="1">
        <v>6439.2</v>
      </c>
      <c r="D239" s="1">
        <v>6374.49</v>
      </c>
      <c r="E239" s="3">
        <v>6431.42</v>
      </c>
      <c r="F239" s="1">
        <v>4477000</v>
      </c>
    </row>
    <row r="240" spans="1:6">
      <c r="A240" s="2">
        <v>38706</v>
      </c>
      <c r="B240" s="1">
        <v>6428.25</v>
      </c>
      <c r="C240" s="1">
        <v>6443.89</v>
      </c>
      <c r="D240" s="1">
        <v>6413.46</v>
      </c>
      <c r="E240" s="3">
        <v>6427.84</v>
      </c>
      <c r="F240" s="1">
        <v>3875800</v>
      </c>
    </row>
    <row r="241" spans="1:6">
      <c r="A241" s="2">
        <v>38707</v>
      </c>
      <c r="B241" s="1">
        <v>6442.32</v>
      </c>
      <c r="C241" s="1">
        <v>6481.56</v>
      </c>
      <c r="D241" s="1">
        <v>6427.86</v>
      </c>
      <c r="E241" s="3">
        <v>6471.89</v>
      </c>
      <c r="F241" s="1">
        <v>4378800</v>
      </c>
    </row>
    <row r="242" spans="1:6">
      <c r="A242" s="2">
        <v>38708</v>
      </c>
      <c r="B242" s="1">
        <v>6501.37</v>
      </c>
      <c r="C242" s="1">
        <v>6504.09</v>
      </c>
      <c r="D242" s="1">
        <v>6417.2</v>
      </c>
      <c r="E242" s="3">
        <v>6417.2</v>
      </c>
      <c r="F242" s="1">
        <v>3791200</v>
      </c>
    </row>
    <row r="243" spans="1:6">
      <c r="A243" s="2">
        <v>38709</v>
      </c>
      <c r="B243" s="1">
        <v>6450.65</v>
      </c>
      <c r="C243" s="1">
        <v>6516.11</v>
      </c>
      <c r="D243" s="1">
        <v>6426.23</v>
      </c>
      <c r="E243" s="3">
        <v>6512.63</v>
      </c>
      <c r="F243" s="1">
        <v>4237800</v>
      </c>
    </row>
    <row r="244" spans="1:6">
      <c r="A244" s="2">
        <v>38712</v>
      </c>
      <c r="B244" s="1">
        <v>6565.67</v>
      </c>
      <c r="C244" s="1">
        <v>6573.97</v>
      </c>
      <c r="D244" s="1">
        <v>6530.76</v>
      </c>
      <c r="E244" s="3">
        <v>6534.77</v>
      </c>
      <c r="F244" s="1">
        <v>4487800</v>
      </c>
    </row>
    <row r="245" spans="1:6">
      <c r="A245" s="2">
        <v>38713</v>
      </c>
      <c r="B245" s="1">
        <v>6539.29</v>
      </c>
      <c r="C245" s="1">
        <v>6570.42</v>
      </c>
      <c r="D245" s="1">
        <v>6505.46</v>
      </c>
      <c r="E245" s="3">
        <v>6531.59</v>
      </c>
      <c r="F245" s="1">
        <v>4753400</v>
      </c>
    </row>
    <row r="246" spans="1:6">
      <c r="A246" s="2">
        <v>38714</v>
      </c>
      <c r="B246" s="1">
        <v>6492.8</v>
      </c>
      <c r="C246" s="1">
        <v>6530.02</v>
      </c>
      <c r="D246" s="1">
        <v>6479.34</v>
      </c>
      <c r="E246" s="3">
        <v>6524.4</v>
      </c>
      <c r="F246" s="1">
        <v>3882000</v>
      </c>
    </row>
    <row r="247" spans="1:6">
      <c r="A247" s="2">
        <v>38715</v>
      </c>
      <c r="B247" s="1">
        <v>6549.72</v>
      </c>
      <c r="C247" s="1">
        <v>6600.12</v>
      </c>
      <c r="D247" s="1">
        <v>6546.75</v>
      </c>
      <c r="E247" s="3">
        <v>6575.53</v>
      </c>
      <c r="F247" s="1">
        <v>5351000</v>
      </c>
    </row>
    <row r="248" spans="1:6">
      <c r="A248" s="2">
        <v>38716</v>
      </c>
      <c r="B248" s="1">
        <v>6589.84</v>
      </c>
      <c r="C248" s="1">
        <v>6600.17</v>
      </c>
      <c r="D248" s="1">
        <v>6548.34</v>
      </c>
      <c r="E248" s="3">
        <v>6548.34</v>
      </c>
      <c r="F248" s="1">
        <v>5074600</v>
      </c>
    </row>
    <row r="249" spans="1:6">
      <c r="A249" s="2">
        <v>38719</v>
      </c>
      <c r="B249" s="1">
        <v>6457.61</v>
      </c>
      <c r="C249" s="1">
        <v>6492.92</v>
      </c>
      <c r="D249" s="1">
        <v>6424.03</v>
      </c>
      <c r="E249" s="3">
        <v>6462.06</v>
      </c>
      <c r="F249" s="1">
        <v>4678400</v>
      </c>
    </row>
    <row r="250" spans="1:6">
      <c r="A250" s="2">
        <v>38720</v>
      </c>
      <c r="B250" s="1">
        <v>6476.2</v>
      </c>
      <c r="C250" s="1">
        <v>6591.77</v>
      </c>
      <c r="D250" s="1">
        <v>6457.09</v>
      </c>
      <c r="E250" s="3">
        <v>6591.77</v>
      </c>
      <c r="F250" s="1">
        <v>5181400</v>
      </c>
    </row>
    <row r="251" spans="1:6">
      <c r="A251" s="2">
        <v>38721</v>
      </c>
      <c r="B251" s="1">
        <v>6658.32</v>
      </c>
      <c r="C251" s="1">
        <v>6670.96</v>
      </c>
      <c r="D251" s="1">
        <v>6579.66</v>
      </c>
      <c r="E251" s="3">
        <v>6616.44</v>
      </c>
      <c r="F251" s="1">
        <v>5884200</v>
      </c>
    </row>
    <row r="252" spans="1:6">
      <c r="A252" s="2">
        <v>38722</v>
      </c>
      <c r="B252" s="1">
        <v>6669.8</v>
      </c>
      <c r="C252" s="1">
        <v>6717.12</v>
      </c>
      <c r="D252" s="1">
        <v>6666.84</v>
      </c>
      <c r="E252" s="3">
        <v>6709.87</v>
      </c>
      <c r="F252" s="1">
        <v>5822600</v>
      </c>
    </row>
    <row r="253" spans="1:6">
      <c r="A253" s="2">
        <v>38723</v>
      </c>
      <c r="B253" s="1">
        <v>6757.41</v>
      </c>
      <c r="C253" s="1">
        <v>6761.01</v>
      </c>
      <c r="D253" s="1">
        <v>6676.65</v>
      </c>
      <c r="E253" s="3">
        <v>6694.82</v>
      </c>
      <c r="F253" s="1">
        <v>5881400</v>
      </c>
    </row>
    <row r="254" spans="1:6">
      <c r="A254" s="2">
        <v>38726</v>
      </c>
      <c r="B254" s="1">
        <v>6752.09</v>
      </c>
      <c r="C254" s="1">
        <v>6763.86</v>
      </c>
      <c r="D254" s="1">
        <v>6708.59</v>
      </c>
      <c r="E254" s="3">
        <v>6742.39</v>
      </c>
      <c r="F254" s="1">
        <v>5345200</v>
      </c>
    </row>
    <row r="255" spans="1:6">
      <c r="A255" s="2">
        <v>38727</v>
      </c>
      <c r="B255" s="1">
        <v>6751.56</v>
      </c>
      <c r="C255" s="1">
        <v>6751.56</v>
      </c>
      <c r="D255" s="1">
        <v>6678.84</v>
      </c>
      <c r="E255" s="3">
        <v>6707.4</v>
      </c>
      <c r="F255" s="1">
        <v>4453600</v>
      </c>
    </row>
    <row r="256" spans="1:6">
      <c r="A256" s="2">
        <v>38728</v>
      </c>
      <c r="B256" s="1">
        <v>6702.47</v>
      </c>
      <c r="C256" s="1">
        <v>6741.92</v>
      </c>
      <c r="D256" s="1">
        <v>6650.61</v>
      </c>
      <c r="E256" s="3">
        <v>6735.89</v>
      </c>
      <c r="F256" s="1">
        <v>5109000</v>
      </c>
    </row>
    <row r="257" spans="1:6">
      <c r="A257" s="2">
        <v>38729</v>
      </c>
      <c r="B257" s="1">
        <v>6782.15</v>
      </c>
      <c r="C257" s="1">
        <v>6797.2</v>
      </c>
      <c r="D257" s="1">
        <v>6725.57</v>
      </c>
      <c r="E257" s="3">
        <v>6725.61</v>
      </c>
      <c r="F257" s="1">
        <v>5927800</v>
      </c>
    </row>
    <row r="258" spans="1:6">
      <c r="A258" s="2">
        <v>38730</v>
      </c>
      <c r="B258" s="1">
        <v>6729.58</v>
      </c>
      <c r="C258" s="1">
        <v>6729.58</v>
      </c>
      <c r="D258" s="1">
        <v>6669.64</v>
      </c>
      <c r="E258" s="3">
        <v>6682.35</v>
      </c>
      <c r="F258" s="1">
        <v>3789200</v>
      </c>
    </row>
    <row r="259" spans="1:6">
      <c r="A259" s="2">
        <v>38733</v>
      </c>
      <c r="B259" s="1">
        <v>6680.88</v>
      </c>
      <c r="C259" s="1">
        <v>6733.52</v>
      </c>
      <c r="D259" s="1">
        <v>6664.8</v>
      </c>
      <c r="E259" s="3">
        <v>6724.18</v>
      </c>
      <c r="F259" s="1">
        <v>3073600</v>
      </c>
    </row>
    <row r="260" spans="1:6">
      <c r="A260" s="2">
        <v>38734</v>
      </c>
      <c r="B260" s="1">
        <v>6752.24</v>
      </c>
      <c r="C260" s="1">
        <v>6775.73</v>
      </c>
      <c r="D260" s="1">
        <v>6711.04</v>
      </c>
      <c r="E260" s="3">
        <v>6711.04</v>
      </c>
      <c r="F260" s="1">
        <v>3884800</v>
      </c>
    </row>
    <row r="261" spans="1:6">
      <c r="A261" s="2">
        <v>38735</v>
      </c>
      <c r="B261" s="1">
        <v>6620.77</v>
      </c>
      <c r="C261" s="1">
        <v>6629.44</v>
      </c>
      <c r="D261" s="1">
        <v>6467.73</v>
      </c>
      <c r="E261" s="3">
        <v>6498.92</v>
      </c>
      <c r="F261" s="1">
        <v>4589800</v>
      </c>
    </row>
    <row r="262" spans="1:6">
      <c r="A262" s="2">
        <v>38736</v>
      </c>
      <c r="B262" s="1">
        <v>6514.71</v>
      </c>
      <c r="C262" s="1">
        <v>6545.89</v>
      </c>
      <c r="D262" s="1">
        <v>6442.78</v>
      </c>
      <c r="E262" s="3">
        <v>6512.29</v>
      </c>
      <c r="F262" s="1">
        <v>3896800</v>
      </c>
    </row>
    <row r="263" spans="1:6">
      <c r="A263" s="2">
        <v>38737</v>
      </c>
      <c r="B263" s="1">
        <v>6571.64</v>
      </c>
      <c r="C263" s="1">
        <v>6571.64</v>
      </c>
      <c r="D263" s="1">
        <v>6475.3</v>
      </c>
      <c r="E263" s="3">
        <v>6486.63</v>
      </c>
      <c r="F263" s="1">
        <v>2899800</v>
      </c>
    </row>
    <row r="264" spans="1:6">
      <c r="A264" s="2">
        <v>38740</v>
      </c>
      <c r="B264" s="1">
        <v>6385.88</v>
      </c>
      <c r="C264" s="1">
        <v>6417.72</v>
      </c>
      <c r="D264" s="1">
        <v>6373.63</v>
      </c>
      <c r="E264" s="3">
        <v>6381.97</v>
      </c>
      <c r="F264" s="1">
        <v>2766800</v>
      </c>
    </row>
    <row r="265" spans="1:6">
      <c r="A265" s="2">
        <v>38741</v>
      </c>
      <c r="B265" s="1">
        <v>6418.58</v>
      </c>
      <c r="C265" s="1">
        <v>6478.5</v>
      </c>
      <c r="D265" s="1">
        <v>6418.58</v>
      </c>
      <c r="E265" s="3">
        <v>6451.94</v>
      </c>
      <c r="F265" s="1">
        <v>2627600</v>
      </c>
    </row>
    <row r="266" spans="1:6">
      <c r="A266" s="2">
        <v>38742</v>
      </c>
      <c r="B266" s="1">
        <v>6500.63</v>
      </c>
      <c r="C266" s="1">
        <v>6536.89</v>
      </c>
      <c r="D266" s="1">
        <v>6477.34</v>
      </c>
      <c r="E266" s="3">
        <v>6532.18</v>
      </c>
      <c r="F266" s="1">
        <v>2747000</v>
      </c>
    </row>
    <row r="267" spans="1:6">
      <c r="A267" s="2">
        <v>38751</v>
      </c>
      <c r="B267" s="1">
        <v>6592.19</v>
      </c>
      <c r="C267" s="1">
        <v>6626.43</v>
      </c>
      <c r="D267" s="1">
        <v>6547.17</v>
      </c>
      <c r="E267" s="3">
        <v>6594.6</v>
      </c>
      <c r="F267" s="1">
        <v>3590600</v>
      </c>
    </row>
    <row r="268" spans="1:6">
      <c r="A268" s="2">
        <v>38754</v>
      </c>
      <c r="B268" s="1">
        <v>6568.35</v>
      </c>
      <c r="C268" s="1">
        <v>6719.96</v>
      </c>
      <c r="D268" s="1">
        <v>6530.8</v>
      </c>
      <c r="E268" s="3">
        <v>6719.96</v>
      </c>
      <c r="F268" s="1">
        <v>3912000</v>
      </c>
    </row>
    <row r="269" spans="1:6">
      <c r="A269" s="2">
        <v>38755</v>
      </c>
      <c r="B269" s="1">
        <v>6692.42</v>
      </c>
      <c r="C269" s="1">
        <v>6747.43</v>
      </c>
      <c r="D269" s="1">
        <v>6681.53</v>
      </c>
      <c r="E269" s="3">
        <v>6720.08</v>
      </c>
      <c r="F269" s="1">
        <v>4253800</v>
      </c>
    </row>
    <row r="270" spans="1:6">
      <c r="A270" s="2">
        <v>38756</v>
      </c>
      <c r="B270" s="1">
        <v>6712.87</v>
      </c>
      <c r="C270" s="1">
        <v>6715.18</v>
      </c>
      <c r="D270" s="1">
        <v>6623.23</v>
      </c>
      <c r="E270" s="3">
        <v>6624.11</v>
      </c>
      <c r="F270" s="1">
        <v>3086600</v>
      </c>
    </row>
    <row r="271" spans="1:6">
      <c r="A271" s="2">
        <v>38757</v>
      </c>
      <c r="B271" s="1">
        <v>6696.65</v>
      </c>
      <c r="C271" s="1">
        <v>6700.86</v>
      </c>
      <c r="D271" s="1">
        <v>6620.32</v>
      </c>
      <c r="E271" s="3">
        <v>6630.13</v>
      </c>
      <c r="F271" s="1">
        <v>3543800</v>
      </c>
    </row>
    <row r="272" spans="1:6">
      <c r="A272" s="2">
        <v>38758</v>
      </c>
      <c r="B272" s="1">
        <v>6652.33</v>
      </c>
      <c r="C272" s="1">
        <v>6652.33</v>
      </c>
      <c r="D272" s="1">
        <v>6574.01</v>
      </c>
      <c r="E272" s="3">
        <v>6594.92</v>
      </c>
      <c r="F272" s="1">
        <v>3459400</v>
      </c>
    </row>
    <row r="273" spans="1:6">
      <c r="A273" s="2">
        <v>38761</v>
      </c>
      <c r="B273" s="1">
        <v>6591.99</v>
      </c>
      <c r="C273" s="1">
        <v>6623.55</v>
      </c>
      <c r="D273" s="1">
        <v>6557.76</v>
      </c>
      <c r="E273" s="3">
        <v>6562.29</v>
      </c>
      <c r="F273" s="1">
        <v>2955000</v>
      </c>
    </row>
    <row r="274" spans="1:6">
      <c r="A274" s="2">
        <v>38762</v>
      </c>
      <c r="B274" s="1">
        <v>6553.28</v>
      </c>
      <c r="C274" s="1">
        <v>6613.86</v>
      </c>
      <c r="D274" s="1">
        <v>6540.71</v>
      </c>
      <c r="E274" s="3">
        <v>6612.97</v>
      </c>
      <c r="F274" s="1">
        <v>2798200</v>
      </c>
    </row>
    <row r="275" spans="1:6">
      <c r="A275" s="2">
        <v>38763</v>
      </c>
      <c r="B275" s="1">
        <v>6628.98</v>
      </c>
      <c r="C275" s="1">
        <v>6659.52</v>
      </c>
      <c r="D275" s="1">
        <v>6592.94</v>
      </c>
      <c r="E275" s="3">
        <v>6598.49</v>
      </c>
      <c r="F275" s="1">
        <v>3137400</v>
      </c>
    </row>
    <row r="276" spans="1:6">
      <c r="A276" s="2">
        <v>38764</v>
      </c>
      <c r="B276" s="1">
        <v>6661.3</v>
      </c>
      <c r="C276" s="1">
        <v>6701.74</v>
      </c>
      <c r="D276" s="1">
        <v>6647.03</v>
      </c>
      <c r="E276" s="3">
        <v>6683.93</v>
      </c>
      <c r="F276" s="1">
        <v>3415400</v>
      </c>
    </row>
    <row r="277" spans="1:6">
      <c r="A277" s="2">
        <v>38765</v>
      </c>
      <c r="B277" s="1">
        <v>6723.66</v>
      </c>
      <c r="C277" s="1">
        <v>6726.73</v>
      </c>
      <c r="D277" s="1">
        <v>6665.63</v>
      </c>
      <c r="E277" s="3">
        <v>6673.75</v>
      </c>
      <c r="F277" s="1">
        <v>3267400</v>
      </c>
    </row>
    <row r="278" spans="1:6">
      <c r="A278" s="2">
        <v>38768</v>
      </c>
      <c r="B278" s="1">
        <v>6652.55</v>
      </c>
      <c r="C278" s="1">
        <v>6697.31</v>
      </c>
      <c r="D278" s="1">
        <v>6631.81</v>
      </c>
      <c r="E278" s="3">
        <v>6686.55</v>
      </c>
      <c r="F278" s="1">
        <v>2765000</v>
      </c>
    </row>
    <row r="279" spans="1:6">
      <c r="A279" s="2">
        <v>38769</v>
      </c>
      <c r="B279" s="1">
        <v>6708.21</v>
      </c>
      <c r="C279" s="1">
        <v>6717.53</v>
      </c>
      <c r="D279" s="1">
        <v>6631.51</v>
      </c>
      <c r="E279" s="3">
        <v>6631.51</v>
      </c>
      <c r="F279" s="1">
        <v>2716000</v>
      </c>
    </row>
    <row r="280" spans="1:6">
      <c r="A280" s="2">
        <v>38770</v>
      </c>
      <c r="B280" s="1">
        <v>6634.83</v>
      </c>
      <c r="C280" s="1">
        <v>6650.71</v>
      </c>
      <c r="D280" s="1">
        <v>6503.7</v>
      </c>
      <c r="E280" s="3">
        <v>6530.7</v>
      </c>
      <c r="F280" s="1">
        <v>3273000</v>
      </c>
    </row>
    <row r="281" spans="1:6">
      <c r="A281" s="2">
        <v>38771</v>
      </c>
      <c r="B281" s="1">
        <v>6523.85</v>
      </c>
      <c r="C281" s="1">
        <v>6528.5</v>
      </c>
      <c r="D281" s="1">
        <v>6466.21</v>
      </c>
      <c r="E281" s="3">
        <v>6474.69</v>
      </c>
      <c r="F281" s="1">
        <v>2994400</v>
      </c>
    </row>
    <row r="282" spans="1:6">
      <c r="A282" s="2">
        <v>38772</v>
      </c>
      <c r="B282" s="1">
        <v>6474.05</v>
      </c>
      <c r="C282" s="1">
        <v>6538.22</v>
      </c>
      <c r="D282" s="1">
        <v>6473.8</v>
      </c>
      <c r="E282" s="3">
        <v>6538.22</v>
      </c>
      <c r="F282" s="1">
        <v>2776800</v>
      </c>
    </row>
    <row r="283" spans="1:6">
      <c r="A283" s="2">
        <v>38775</v>
      </c>
      <c r="B283" s="1">
        <v>6496.55</v>
      </c>
      <c r="C283" s="1">
        <v>6567.91</v>
      </c>
      <c r="D283" s="1">
        <v>6481.99</v>
      </c>
      <c r="E283" s="3">
        <v>6561.63</v>
      </c>
      <c r="F283" s="1">
        <v>2658000</v>
      </c>
    </row>
    <row r="284" spans="1:6">
      <c r="A284" s="2">
        <v>38777</v>
      </c>
      <c r="B284" s="1">
        <v>6518</v>
      </c>
      <c r="C284" s="1">
        <v>6636.92</v>
      </c>
      <c r="D284" s="1">
        <v>6518</v>
      </c>
      <c r="E284" s="3">
        <v>6613.39</v>
      </c>
      <c r="F284" s="1">
        <v>3071800</v>
      </c>
    </row>
    <row r="285" spans="1:6">
      <c r="A285" s="2">
        <v>38778</v>
      </c>
      <c r="B285" s="1">
        <v>6678.46</v>
      </c>
      <c r="C285" s="1">
        <v>6685.45</v>
      </c>
      <c r="D285" s="1">
        <v>6637.9</v>
      </c>
      <c r="E285" s="3">
        <v>6642.96</v>
      </c>
      <c r="F285" s="1">
        <v>3075400</v>
      </c>
    </row>
    <row r="286" spans="1:6">
      <c r="A286" s="2">
        <v>38779</v>
      </c>
      <c r="B286" s="1">
        <v>6643.79</v>
      </c>
      <c r="C286" s="1">
        <v>6659.44</v>
      </c>
      <c r="D286" s="1">
        <v>6543.43</v>
      </c>
      <c r="E286" s="3">
        <v>6553.66</v>
      </c>
      <c r="F286" s="1">
        <v>3014800</v>
      </c>
    </row>
    <row r="287" spans="1:6">
      <c r="A287" s="2">
        <v>38782</v>
      </c>
      <c r="B287" s="1">
        <v>6547.73</v>
      </c>
      <c r="C287" s="1">
        <v>6582.21</v>
      </c>
      <c r="D287" s="1">
        <v>6531.5</v>
      </c>
      <c r="E287" s="3">
        <v>6575.78</v>
      </c>
      <c r="F287" s="1">
        <v>2280400</v>
      </c>
    </row>
    <row r="288" spans="1:6">
      <c r="A288" s="2">
        <v>38783</v>
      </c>
      <c r="B288" s="1">
        <v>6553.97</v>
      </c>
      <c r="C288" s="1">
        <v>6557.15</v>
      </c>
      <c r="D288" s="1">
        <v>6494.15</v>
      </c>
      <c r="E288" s="3">
        <v>6494.15</v>
      </c>
      <c r="F288" s="1">
        <v>2500200</v>
      </c>
    </row>
    <row r="289" spans="1:6">
      <c r="A289" s="2">
        <v>38784</v>
      </c>
      <c r="B289" s="1">
        <v>6487.07</v>
      </c>
      <c r="C289" s="1">
        <v>6521.27</v>
      </c>
      <c r="D289" s="1">
        <v>6436.14</v>
      </c>
      <c r="E289" s="3">
        <v>6459.57</v>
      </c>
      <c r="F289" s="1">
        <v>2669000</v>
      </c>
    </row>
    <row r="290" spans="1:6">
      <c r="A290" s="2">
        <v>38785</v>
      </c>
      <c r="B290" s="1">
        <v>6476.96</v>
      </c>
      <c r="C290" s="1">
        <v>6505.56</v>
      </c>
      <c r="D290" s="1">
        <v>6465.23</v>
      </c>
      <c r="E290" s="3">
        <v>6486.47</v>
      </c>
      <c r="F290" s="1">
        <v>2165800</v>
      </c>
    </row>
    <row r="291" spans="1:6">
      <c r="A291" s="2">
        <v>38786</v>
      </c>
      <c r="B291" s="1">
        <v>6492.04</v>
      </c>
      <c r="C291" s="1">
        <v>6528.56</v>
      </c>
      <c r="D291" s="1">
        <v>6473.18</v>
      </c>
      <c r="E291" s="3">
        <v>6490.68</v>
      </c>
      <c r="F291" s="1">
        <v>2328200</v>
      </c>
    </row>
    <row r="292" spans="1:6">
      <c r="A292" s="2">
        <v>38789</v>
      </c>
      <c r="B292" s="1">
        <v>6520.36</v>
      </c>
      <c r="C292" s="1">
        <v>6551.13</v>
      </c>
      <c r="D292" s="1">
        <v>6502.51</v>
      </c>
      <c r="E292" s="3">
        <v>6544.63</v>
      </c>
      <c r="F292" s="1">
        <v>2382400</v>
      </c>
    </row>
    <row r="293" spans="1:6">
      <c r="A293" s="2">
        <v>38790</v>
      </c>
      <c r="B293" s="1">
        <v>6532.25</v>
      </c>
      <c r="C293" s="1">
        <v>6545.12</v>
      </c>
      <c r="D293" s="1">
        <v>6444.14</v>
      </c>
      <c r="E293" s="3">
        <v>6460.01</v>
      </c>
      <c r="F293" s="1">
        <v>2653600</v>
      </c>
    </row>
    <row r="294" spans="1:6">
      <c r="A294" s="2">
        <v>38791</v>
      </c>
      <c r="B294" s="1">
        <v>6516.14</v>
      </c>
      <c r="C294" s="1">
        <v>6534.61</v>
      </c>
      <c r="D294" s="1">
        <v>6478.71</v>
      </c>
      <c r="E294" s="3">
        <v>6518.7</v>
      </c>
      <c r="F294" s="1">
        <v>2740800</v>
      </c>
    </row>
    <row r="295" spans="1:6">
      <c r="A295" s="2">
        <v>38792</v>
      </c>
      <c r="B295" s="1">
        <v>6528.14</v>
      </c>
      <c r="C295" s="1">
        <v>6594.18</v>
      </c>
      <c r="D295" s="1">
        <v>6504.98</v>
      </c>
      <c r="E295" s="3">
        <v>6504.98</v>
      </c>
      <c r="F295" s="1">
        <v>3390600</v>
      </c>
    </row>
    <row r="296" spans="1:6">
      <c r="A296" s="2">
        <v>38793</v>
      </c>
      <c r="B296" s="1">
        <v>6507.55</v>
      </c>
      <c r="C296" s="1">
        <v>6530.43</v>
      </c>
      <c r="D296" s="1">
        <v>6471.71</v>
      </c>
      <c r="E296" s="3">
        <v>6528.57</v>
      </c>
      <c r="F296" s="1">
        <v>2697200</v>
      </c>
    </row>
    <row r="297" spans="1:6">
      <c r="A297" s="2">
        <v>38796</v>
      </c>
      <c r="B297" s="1">
        <v>6554.18</v>
      </c>
      <c r="C297" s="1">
        <v>6569.53</v>
      </c>
      <c r="D297" s="1">
        <v>6510.58</v>
      </c>
      <c r="E297" s="3">
        <v>6516.52</v>
      </c>
      <c r="F297" s="1">
        <v>2713000</v>
      </c>
    </row>
    <row r="298" spans="1:6">
      <c r="A298" s="2">
        <v>38797</v>
      </c>
      <c r="B298" s="1">
        <v>6525.3</v>
      </c>
      <c r="C298" s="1">
        <v>6536.01</v>
      </c>
      <c r="D298" s="1">
        <v>6458.03</v>
      </c>
      <c r="E298" s="3">
        <v>6458.03</v>
      </c>
      <c r="F298" s="1">
        <v>2418800</v>
      </c>
    </row>
    <row r="299" spans="1:6">
      <c r="A299" s="2">
        <v>38798</v>
      </c>
      <c r="B299" s="1">
        <v>6419.46</v>
      </c>
      <c r="C299" s="1">
        <v>6441.27</v>
      </c>
      <c r="D299" s="1">
        <v>6387.36</v>
      </c>
      <c r="E299" s="3">
        <v>6391.26</v>
      </c>
      <c r="F299" s="1">
        <v>2394400</v>
      </c>
    </row>
    <row r="300" spans="1:6">
      <c r="A300" s="2">
        <v>38799</v>
      </c>
      <c r="B300" s="1">
        <v>6412.66</v>
      </c>
      <c r="C300" s="1">
        <v>6418.48</v>
      </c>
      <c r="D300" s="1">
        <v>6344.73</v>
      </c>
      <c r="E300" s="3">
        <v>6364.6</v>
      </c>
      <c r="F300" s="1">
        <v>2365200</v>
      </c>
    </row>
    <row r="301" spans="1:6">
      <c r="A301" s="2">
        <v>38800</v>
      </c>
      <c r="B301" s="1">
        <v>6366.96</v>
      </c>
      <c r="C301" s="1">
        <v>6401.62</v>
      </c>
      <c r="D301" s="1">
        <v>6351.89</v>
      </c>
      <c r="E301" s="3">
        <v>6376.62</v>
      </c>
      <c r="F301" s="1">
        <v>2262000</v>
      </c>
    </row>
    <row r="302" spans="1:6">
      <c r="A302" s="2">
        <v>38803</v>
      </c>
      <c r="B302" s="1">
        <v>6408.2</v>
      </c>
      <c r="C302" s="1">
        <v>6430.23</v>
      </c>
      <c r="D302" s="1">
        <v>6399.08</v>
      </c>
      <c r="E302" s="3">
        <v>6421.85</v>
      </c>
      <c r="F302" s="1">
        <v>2107000</v>
      </c>
    </row>
    <row r="303" spans="1:6">
      <c r="A303" s="2">
        <v>38804</v>
      </c>
      <c r="B303" s="1">
        <v>6433.23</v>
      </c>
      <c r="C303" s="1">
        <v>6469.67</v>
      </c>
      <c r="D303" s="1">
        <v>6424.94</v>
      </c>
      <c r="E303" s="3">
        <v>6453.85</v>
      </c>
      <c r="F303" s="1">
        <v>2080400</v>
      </c>
    </row>
    <row r="304" spans="1:6">
      <c r="A304" s="2">
        <v>38805</v>
      </c>
      <c r="B304" s="1">
        <v>6447.7</v>
      </c>
      <c r="C304" s="1">
        <v>6498.03</v>
      </c>
      <c r="D304" s="1">
        <v>6444.4</v>
      </c>
      <c r="E304" s="3">
        <v>6498.03</v>
      </c>
      <c r="F304" s="1">
        <v>2410800</v>
      </c>
    </row>
    <row r="305" spans="1:6">
      <c r="A305" s="2">
        <v>38806</v>
      </c>
      <c r="B305" s="1">
        <v>6540.81</v>
      </c>
      <c r="C305" s="1">
        <v>6559.21</v>
      </c>
      <c r="D305" s="1">
        <v>6504.75</v>
      </c>
      <c r="E305" s="3">
        <v>6546.06</v>
      </c>
      <c r="F305" s="1">
        <v>3339400</v>
      </c>
    </row>
    <row r="306" spans="1:6">
      <c r="A306" s="2">
        <v>38807</v>
      </c>
      <c r="B306" s="1">
        <v>6564.86</v>
      </c>
      <c r="C306" s="1">
        <v>6632.63</v>
      </c>
      <c r="D306" s="1">
        <v>6564.86</v>
      </c>
      <c r="E306" s="3">
        <v>6613.97</v>
      </c>
      <c r="F306" s="1">
        <v>3188400</v>
      </c>
    </row>
    <row r="307" spans="1:6">
      <c r="A307" s="2">
        <v>38810</v>
      </c>
      <c r="B307" s="1">
        <v>6627.32</v>
      </c>
      <c r="C307" s="1">
        <v>6672.11</v>
      </c>
      <c r="D307" s="1">
        <v>6615.98</v>
      </c>
      <c r="E307" s="3">
        <v>6660.76</v>
      </c>
      <c r="F307" s="1">
        <v>3261800</v>
      </c>
    </row>
    <row r="308" spans="1:6">
      <c r="A308" s="2">
        <v>38811</v>
      </c>
      <c r="B308" s="1">
        <v>6679.82</v>
      </c>
      <c r="C308" s="1">
        <v>6684.1</v>
      </c>
      <c r="D308" s="1">
        <v>6651.96</v>
      </c>
      <c r="E308" s="3">
        <v>6665.6</v>
      </c>
      <c r="F308" s="1">
        <v>3068200</v>
      </c>
    </row>
    <row r="309" spans="1:6">
      <c r="A309" s="2">
        <v>38813</v>
      </c>
      <c r="B309" s="1">
        <v>6724.97</v>
      </c>
      <c r="C309" s="1">
        <v>6760.82</v>
      </c>
      <c r="D309" s="1">
        <v>6710.68</v>
      </c>
      <c r="E309" s="3">
        <v>6760.82</v>
      </c>
      <c r="F309" s="1">
        <v>3445600</v>
      </c>
    </row>
    <row r="310" spans="1:6">
      <c r="A310" s="2">
        <v>38814</v>
      </c>
      <c r="B310" s="1">
        <v>6758.82</v>
      </c>
      <c r="C310" s="1">
        <v>6802.94</v>
      </c>
      <c r="D310" s="1">
        <v>6722.39</v>
      </c>
      <c r="E310" s="3">
        <v>6781.94</v>
      </c>
      <c r="F310" s="1">
        <v>3417600</v>
      </c>
    </row>
    <row r="311" spans="1:6">
      <c r="A311" s="2">
        <v>38817</v>
      </c>
      <c r="B311" s="1">
        <v>6759.38</v>
      </c>
      <c r="C311" s="1">
        <v>6815.73</v>
      </c>
      <c r="D311" s="1">
        <v>6758.07</v>
      </c>
      <c r="E311" s="3">
        <v>6780.64</v>
      </c>
      <c r="F311" s="1">
        <v>3157200</v>
      </c>
    </row>
    <row r="312" spans="1:6">
      <c r="A312" s="2">
        <v>38818</v>
      </c>
      <c r="B312" s="1">
        <v>6772.96</v>
      </c>
      <c r="C312" s="1">
        <v>6775.65</v>
      </c>
      <c r="D312" s="1">
        <v>6723.23</v>
      </c>
      <c r="E312" s="3">
        <v>6757.17</v>
      </c>
      <c r="F312" s="1">
        <v>3114200</v>
      </c>
    </row>
    <row r="313" spans="1:6">
      <c r="A313" s="2">
        <v>38819</v>
      </c>
      <c r="B313" s="1">
        <v>6710.62</v>
      </c>
      <c r="C313" s="1">
        <v>6813.66</v>
      </c>
      <c r="D313" s="1">
        <v>6709.83</v>
      </c>
      <c r="E313" s="3">
        <v>6808.5</v>
      </c>
      <c r="F313" s="1">
        <v>3854600</v>
      </c>
    </row>
    <row r="314" spans="1:6">
      <c r="A314" s="2">
        <v>38820</v>
      </c>
      <c r="B314" s="1">
        <v>6850.19</v>
      </c>
      <c r="C314" s="1">
        <v>6868.74</v>
      </c>
      <c r="D314" s="1">
        <v>6828.95</v>
      </c>
      <c r="E314" s="3">
        <v>6855.74</v>
      </c>
      <c r="F314" s="1">
        <v>4511400</v>
      </c>
    </row>
    <row r="315" spans="1:6">
      <c r="A315" s="2">
        <v>38821</v>
      </c>
      <c r="B315" s="1">
        <v>6888.18</v>
      </c>
      <c r="C315" s="1">
        <v>6952.54</v>
      </c>
      <c r="D315" s="1">
        <v>6876.47</v>
      </c>
      <c r="E315" s="3">
        <v>6952.54</v>
      </c>
      <c r="F315" s="1">
        <v>4405200</v>
      </c>
    </row>
    <row r="316" spans="1:6">
      <c r="A316" s="2">
        <v>38824</v>
      </c>
      <c r="B316" s="1">
        <v>6982.47</v>
      </c>
      <c r="C316" s="1">
        <v>7015.91</v>
      </c>
      <c r="D316" s="1">
        <v>6950.58</v>
      </c>
      <c r="E316" s="3">
        <v>7000.09</v>
      </c>
      <c r="F316" s="1">
        <v>4893800</v>
      </c>
    </row>
    <row r="317" spans="1:6">
      <c r="A317" s="2">
        <v>38825</v>
      </c>
      <c r="B317" s="1">
        <v>7007.45</v>
      </c>
      <c r="C317" s="1">
        <v>7007.45</v>
      </c>
      <c r="D317" s="1">
        <v>6918.46</v>
      </c>
      <c r="E317" s="3">
        <v>6989.46</v>
      </c>
      <c r="F317" s="1">
        <v>3949000</v>
      </c>
    </row>
    <row r="318" spans="1:6">
      <c r="A318" s="2">
        <v>38826</v>
      </c>
      <c r="B318" s="1">
        <v>7073.32</v>
      </c>
      <c r="C318" s="1">
        <v>7093.43</v>
      </c>
      <c r="D318" s="1">
        <v>7038.78</v>
      </c>
      <c r="E318" s="3">
        <v>7038.78</v>
      </c>
      <c r="F318" s="1">
        <v>4788200</v>
      </c>
    </row>
    <row r="319" spans="1:6">
      <c r="A319" s="2">
        <v>38827</v>
      </c>
      <c r="B319" s="1">
        <v>7061.38</v>
      </c>
      <c r="C319" s="1">
        <v>7107.68</v>
      </c>
      <c r="D319" s="1">
        <v>7030.89</v>
      </c>
      <c r="E319" s="3">
        <v>7102.74</v>
      </c>
      <c r="F319" s="1">
        <v>4328400</v>
      </c>
    </row>
    <row r="320" spans="1:6">
      <c r="A320" s="2">
        <v>38828</v>
      </c>
      <c r="B320" s="1">
        <v>7130.68</v>
      </c>
      <c r="C320" s="1">
        <v>7160.74</v>
      </c>
      <c r="D320" s="1">
        <v>7092.93</v>
      </c>
      <c r="E320" s="3">
        <v>7093.05</v>
      </c>
      <c r="F320" s="1">
        <v>5321000</v>
      </c>
    </row>
    <row r="321" spans="1:6">
      <c r="A321" s="2">
        <v>38831</v>
      </c>
      <c r="B321" s="1">
        <v>7066.19</v>
      </c>
      <c r="C321" s="1">
        <v>7141.29</v>
      </c>
      <c r="D321" s="1">
        <v>7057.19</v>
      </c>
      <c r="E321" s="3">
        <v>7096.04</v>
      </c>
      <c r="F321" s="1">
        <v>3933400</v>
      </c>
    </row>
    <row r="322" spans="1:6">
      <c r="A322" s="2">
        <v>38832</v>
      </c>
      <c r="B322" s="1">
        <v>7125.9</v>
      </c>
      <c r="C322" s="1">
        <v>7166.47</v>
      </c>
      <c r="D322" s="1">
        <v>7052.9</v>
      </c>
      <c r="E322" s="3">
        <v>7059.94</v>
      </c>
      <c r="F322" s="1">
        <v>4727400</v>
      </c>
    </row>
    <row r="323" spans="1:6">
      <c r="A323" s="2">
        <v>38833</v>
      </c>
      <c r="B323" s="1">
        <v>7080.62</v>
      </c>
      <c r="C323" s="1">
        <v>7173.56</v>
      </c>
      <c r="D323" s="1">
        <v>7047.96</v>
      </c>
      <c r="E323" s="3">
        <v>7168.98</v>
      </c>
      <c r="F323" s="1">
        <v>4372800</v>
      </c>
    </row>
    <row r="324" spans="1:6">
      <c r="A324" s="2">
        <v>38834</v>
      </c>
      <c r="B324" s="1">
        <v>7203.75</v>
      </c>
      <c r="C324" s="1">
        <v>7229.35</v>
      </c>
      <c r="D324" s="1">
        <v>7136.21</v>
      </c>
      <c r="E324" s="3">
        <v>7136.21</v>
      </c>
      <c r="F324" s="1">
        <v>6353400</v>
      </c>
    </row>
    <row r="325" spans="1:6">
      <c r="A325" s="2">
        <v>38835</v>
      </c>
      <c r="B325" s="1">
        <v>7172.31</v>
      </c>
      <c r="C325" s="1">
        <v>7184.37</v>
      </c>
      <c r="D325" s="1">
        <v>7103.87</v>
      </c>
      <c r="E325" s="3">
        <v>7171.77</v>
      </c>
      <c r="F325" s="1">
        <v>4622400</v>
      </c>
    </row>
    <row r="326" spans="1:6">
      <c r="A326" s="2">
        <v>38839</v>
      </c>
      <c r="B326" s="1">
        <v>7174.93</v>
      </c>
      <c r="C326" s="1">
        <v>7217.37</v>
      </c>
      <c r="D326" s="1">
        <v>7141.91</v>
      </c>
      <c r="E326" s="3">
        <v>7199.6</v>
      </c>
      <c r="F326" s="1">
        <v>4970800</v>
      </c>
    </row>
    <row r="327" spans="1:6">
      <c r="A327" s="2">
        <v>38840</v>
      </c>
      <c r="B327" s="1">
        <v>7242.04</v>
      </c>
      <c r="C327" s="1">
        <v>7265.17</v>
      </c>
      <c r="D327" s="1">
        <v>7233.84</v>
      </c>
      <c r="E327" s="3">
        <v>7242.37</v>
      </c>
      <c r="F327" s="1">
        <v>5332200</v>
      </c>
    </row>
    <row r="328" spans="1:6">
      <c r="A328" s="2">
        <v>38841</v>
      </c>
      <c r="B328" s="1">
        <v>7280.82</v>
      </c>
      <c r="C328" s="1">
        <v>7351.87</v>
      </c>
      <c r="D328" s="1">
        <v>7278.49</v>
      </c>
      <c r="E328" s="3">
        <v>7345.04</v>
      </c>
      <c r="F328" s="1">
        <v>6041000</v>
      </c>
    </row>
    <row r="329" spans="1:6">
      <c r="A329" s="2">
        <v>38842</v>
      </c>
      <c r="B329" s="1">
        <v>7409.65</v>
      </c>
      <c r="C329" s="1">
        <v>7455.83</v>
      </c>
      <c r="D329" s="1">
        <v>7355.42</v>
      </c>
      <c r="E329" s="3">
        <v>7370.44</v>
      </c>
      <c r="F329" s="1">
        <v>6998600</v>
      </c>
    </row>
    <row r="330" spans="1:6">
      <c r="A330" s="2">
        <v>38845</v>
      </c>
      <c r="B330" s="1">
        <v>7438.41</v>
      </c>
      <c r="C330" s="1">
        <v>7474.05</v>
      </c>
      <c r="D330" s="1">
        <v>7401.99</v>
      </c>
      <c r="E330" s="3">
        <v>7474.05</v>
      </c>
      <c r="F330" s="1">
        <v>5677000</v>
      </c>
    </row>
    <row r="331" spans="1:6">
      <c r="A331" s="2">
        <v>38846</v>
      </c>
      <c r="B331" s="1">
        <v>7470.01</v>
      </c>
      <c r="C331" s="1">
        <v>7476.07</v>
      </c>
      <c r="D331" s="1">
        <v>7364.19</v>
      </c>
      <c r="E331" s="3">
        <v>7388.94</v>
      </c>
      <c r="F331" s="1">
        <v>6234000</v>
      </c>
    </row>
    <row r="332" spans="1:6">
      <c r="A332" s="2">
        <v>38847</v>
      </c>
      <c r="B332" s="1">
        <v>7398.27</v>
      </c>
      <c r="C332" s="1">
        <v>7426.37</v>
      </c>
      <c r="D332" s="1">
        <v>7272.39</v>
      </c>
      <c r="E332" s="3">
        <v>7324.71</v>
      </c>
      <c r="F332" s="1">
        <v>6624600</v>
      </c>
    </row>
    <row r="333" spans="1:6">
      <c r="A333" s="2">
        <v>38848</v>
      </c>
      <c r="B333" s="1">
        <v>7271.75</v>
      </c>
      <c r="C333" s="1">
        <v>7361.45</v>
      </c>
      <c r="D333" s="1">
        <v>7254.97</v>
      </c>
      <c r="E333" s="3">
        <v>7361.45</v>
      </c>
      <c r="F333" s="1">
        <v>4911200</v>
      </c>
    </row>
    <row r="334" spans="1:6">
      <c r="A334" s="2">
        <v>38849</v>
      </c>
      <c r="B334" s="1">
        <v>7269.92</v>
      </c>
      <c r="C334" s="1">
        <v>7326.48</v>
      </c>
      <c r="D334" s="1">
        <v>7267.79</v>
      </c>
      <c r="E334" s="3">
        <v>7278.96</v>
      </c>
      <c r="F334" s="1">
        <v>4687600</v>
      </c>
    </row>
    <row r="335" spans="1:6">
      <c r="A335" s="2">
        <v>38852</v>
      </c>
      <c r="B335" s="1">
        <v>7225.8</v>
      </c>
      <c r="C335" s="1">
        <v>7240.92</v>
      </c>
      <c r="D335" s="1">
        <v>7167.03</v>
      </c>
      <c r="E335" s="3">
        <v>7176.35</v>
      </c>
      <c r="F335" s="1">
        <v>4617000</v>
      </c>
    </row>
    <row r="336" spans="1:6">
      <c r="A336" s="2">
        <v>38853</v>
      </c>
      <c r="B336" s="1">
        <v>7202.35</v>
      </c>
      <c r="C336" s="1">
        <v>7202.9</v>
      </c>
      <c r="D336" s="1">
        <v>7069.9</v>
      </c>
      <c r="E336" s="3">
        <v>7069.9</v>
      </c>
      <c r="F336" s="1">
        <v>4663000</v>
      </c>
    </row>
    <row r="337" spans="1:6">
      <c r="A337" s="2">
        <v>38854</v>
      </c>
      <c r="B337" s="1">
        <v>7116.75</v>
      </c>
      <c r="C337" s="1">
        <v>7144.28</v>
      </c>
      <c r="D337" s="1">
        <v>7057.99</v>
      </c>
      <c r="E337" s="3">
        <v>7116.83</v>
      </c>
      <c r="F337" s="1">
        <v>3889200</v>
      </c>
    </row>
    <row r="338" spans="1:6">
      <c r="A338" s="2">
        <v>38855</v>
      </c>
      <c r="B338" s="1">
        <v>6989.48</v>
      </c>
      <c r="C338" s="1">
        <v>7045.87</v>
      </c>
      <c r="D338" s="1">
        <v>6987.65</v>
      </c>
      <c r="E338" s="3">
        <v>7034.03</v>
      </c>
      <c r="F338" s="1">
        <v>3889200</v>
      </c>
    </row>
    <row r="339" spans="1:6">
      <c r="A339" s="2">
        <v>38856</v>
      </c>
      <c r="B339" s="1">
        <v>7040.42</v>
      </c>
      <c r="C339" s="1">
        <v>7097.27</v>
      </c>
      <c r="D339" s="1">
        <v>7010.69</v>
      </c>
      <c r="E339" s="3">
        <v>7074.15</v>
      </c>
      <c r="F339" s="1">
        <v>3370800</v>
      </c>
    </row>
    <row r="340" spans="1:6">
      <c r="A340" s="2">
        <v>38859</v>
      </c>
      <c r="B340" s="1">
        <v>7111.42</v>
      </c>
      <c r="C340" s="1">
        <v>7112.42</v>
      </c>
      <c r="D340" s="1">
        <v>6938.26</v>
      </c>
      <c r="E340" s="3">
        <v>6938.26</v>
      </c>
      <c r="F340" s="1">
        <v>3904600</v>
      </c>
    </row>
    <row r="341" spans="1:6">
      <c r="A341" s="2">
        <v>38860</v>
      </c>
      <c r="B341" s="1">
        <v>6874.09</v>
      </c>
      <c r="C341" s="1">
        <v>6909.58</v>
      </c>
      <c r="D341" s="1">
        <v>6833.98</v>
      </c>
      <c r="E341" s="3">
        <v>6843.98</v>
      </c>
      <c r="F341" s="1">
        <v>3420800</v>
      </c>
    </row>
    <row r="342" spans="1:6">
      <c r="A342" s="2">
        <v>38861</v>
      </c>
      <c r="B342" s="1">
        <v>6904.28</v>
      </c>
      <c r="C342" s="1">
        <v>6932.28</v>
      </c>
      <c r="D342" s="1">
        <v>6791.11</v>
      </c>
      <c r="E342" s="3">
        <v>6877.01</v>
      </c>
      <c r="F342" s="1">
        <v>3786400</v>
      </c>
    </row>
    <row r="343" spans="1:6">
      <c r="A343" s="2">
        <v>38862</v>
      </c>
      <c r="B343" s="1">
        <v>6892.27</v>
      </c>
      <c r="C343" s="1">
        <v>6914.45</v>
      </c>
      <c r="D343" s="1">
        <v>6842.92</v>
      </c>
      <c r="E343" s="3">
        <v>6861.65</v>
      </c>
      <c r="F343" s="1">
        <v>3559400</v>
      </c>
    </row>
    <row r="344" spans="1:6">
      <c r="A344" s="2">
        <v>38863</v>
      </c>
      <c r="B344" s="1">
        <v>6951.76</v>
      </c>
      <c r="C344" s="1">
        <v>6976.33</v>
      </c>
      <c r="D344" s="1">
        <v>6856.55</v>
      </c>
      <c r="E344" s="3">
        <v>6879.51</v>
      </c>
      <c r="F344" s="1">
        <v>4331000</v>
      </c>
    </row>
    <row r="345" spans="1:6">
      <c r="A345" s="2">
        <v>38866</v>
      </c>
      <c r="B345" s="1">
        <v>6913.1</v>
      </c>
      <c r="C345" s="1">
        <v>6919.96</v>
      </c>
      <c r="D345" s="1">
        <v>6864.76</v>
      </c>
      <c r="E345" s="3">
        <v>6878.88</v>
      </c>
      <c r="F345" s="1">
        <v>2647400</v>
      </c>
    </row>
    <row r="346" spans="1:6">
      <c r="A346" s="2">
        <v>38867</v>
      </c>
      <c r="B346" s="1">
        <v>6910.3</v>
      </c>
      <c r="C346" s="1">
        <v>6912.95</v>
      </c>
      <c r="D346" s="1">
        <v>6829.4</v>
      </c>
      <c r="E346" s="3">
        <v>6846.95</v>
      </c>
      <c r="F346" s="1">
        <v>3387400</v>
      </c>
    </row>
    <row r="347" spans="1:6">
      <c r="A347" s="2">
        <v>38869</v>
      </c>
      <c r="B347" s="1">
        <v>6874.66</v>
      </c>
      <c r="C347" s="1">
        <v>6922.34</v>
      </c>
      <c r="D347" s="1">
        <v>6868.42</v>
      </c>
      <c r="E347" s="3">
        <v>6872.84</v>
      </c>
      <c r="F347" s="1">
        <v>2712400</v>
      </c>
    </row>
    <row r="348" spans="1:6">
      <c r="A348" s="2">
        <v>38870</v>
      </c>
      <c r="B348" s="1">
        <v>6951.42</v>
      </c>
      <c r="C348" s="1">
        <v>6967.09</v>
      </c>
      <c r="D348" s="1">
        <v>6885.39</v>
      </c>
      <c r="E348" s="3">
        <v>6959.64</v>
      </c>
      <c r="F348" s="1">
        <v>2893400</v>
      </c>
    </row>
    <row r="349" spans="1:6">
      <c r="A349" s="2">
        <v>38873</v>
      </c>
      <c r="B349" s="1">
        <v>6956.77</v>
      </c>
      <c r="C349" s="1">
        <v>6967.38</v>
      </c>
      <c r="D349" s="1">
        <v>6700.47</v>
      </c>
      <c r="E349" s="3">
        <v>6715.27</v>
      </c>
      <c r="F349" s="1">
        <v>3368200</v>
      </c>
    </row>
    <row r="350" spans="1:6">
      <c r="A350" s="2">
        <v>38874</v>
      </c>
      <c r="B350" s="1">
        <v>6684.58</v>
      </c>
      <c r="C350" s="1">
        <v>6738.78</v>
      </c>
      <c r="D350" s="1">
        <v>6621.17</v>
      </c>
      <c r="E350" s="3">
        <v>6730.27</v>
      </c>
      <c r="F350" s="1">
        <v>3033000</v>
      </c>
    </row>
    <row r="351" spans="1:6">
      <c r="A351" s="2">
        <v>38875</v>
      </c>
      <c r="B351" s="1">
        <v>6691.5</v>
      </c>
      <c r="C351" s="1">
        <v>6699.54</v>
      </c>
      <c r="D351" s="1">
        <v>6612.74</v>
      </c>
      <c r="E351" s="3">
        <v>6612.74</v>
      </c>
      <c r="F351" s="1">
        <v>2512200</v>
      </c>
    </row>
    <row r="352" spans="1:6">
      <c r="A352" s="2">
        <v>38876</v>
      </c>
      <c r="B352" s="1">
        <v>6562.1</v>
      </c>
      <c r="C352" s="1">
        <v>6564.1</v>
      </c>
      <c r="D352" s="1">
        <v>6331.81</v>
      </c>
      <c r="E352" s="3">
        <v>6331.81</v>
      </c>
      <c r="F352" s="1">
        <v>3904600</v>
      </c>
    </row>
    <row r="353" spans="1:6">
      <c r="A353" s="2">
        <v>38877</v>
      </c>
      <c r="B353" s="1">
        <v>6389.98</v>
      </c>
      <c r="C353" s="1">
        <v>6451.17</v>
      </c>
      <c r="D353" s="1">
        <v>6268.92</v>
      </c>
      <c r="E353" s="3">
        <v>6444.63</v>
      </c>
      <c r="F353" s="1">
        <v>3532400</v>
      </c>
    </row>
    <row r="354" spans="1:6">
      <c r="A354" s="2">
        <v>38880</v>
      </c>
      <c r="B354" s="1">
        <v>6384.32</v>
      </c>
      <c r="C354" s="1">
        <v>6443.21</v>
      </c>
      <c r="D354" s="1">
        <v>6339.24</v>
      </c>
      <c r="E354" s="3">
        <v>6442.9</v>
      </c>
      <c r="F354" s="1">
        <v>2227200</v>
      </c>
    </row>
    <row r="355" spans="1:6">
      <c r="A355" s="2">
        <v>38881</v>
      </c>
      <c r="B355" s="1">
        <v>6349.09</v>
      </c>
      <c r="C355" s="1">
        <v>6401.55</v>
      </c>
      <c r="D355" s="1">
        <v>6328.38</v>
      </c>
      <c r="E355" s="3">
        <v>6337.21</v>
      </c>
      <c r="F355" s="1">
        <v>2461200</v>
      </c>
    </row>
    <row r="356" spans="1:6">
      <c r="A356" s="2">
        <v>38882</v>
      </c>
      <c r="B356" s="1">
        <v>6343.66</v>
      </c>
      <c r="C356" s="1">
        <v>6494.92</v>
      </c>
      <c r="D356" s="1">
        <v>6340.28</v>
      </c>
      <c r="E356" s="3">
        <v>6469.01</v>
      </c>
      <c r="F356" s="1">
        <v>3233600</v>
      </c>
    </row>
    <row r="357" spans="1:6">
      <c r="A357" s="2">
        <v>38883</v>
      </c>
      <c r="B357" s="1">
        <v>6531.81</v>
      </c>
      <c r="C357" s="1">
        <v>6535.13</v>
      </c>
      <c r="D357" s="1">
        <v>6418.77</v>
      </c>
      <c r="E357" s="3">
        <v>6426.39</v>
      </c>
      <c r="F357" s="1">
        <v>3046800</v>
      </c>
    </row>
    <row r="358" spans="1:6">
      <c r="A358" s="2">
        <v>38884</v>
      </c>
      <c r="B358" s="1">
        <v>6589.7</v>
      </c>
      <c r="C358" s="1">
        <v>6629.33</v>
      </c>
      <c r="D358" s="1">
        <v>6550.13</v>
      </c>
      <c r="E358" s="3">
        <v>6575.77</v>
      </c>
      <c r="F358" s="1">
        <v>3917800</v>
      </c>
    </row>
    <row r="359" spans="1:6">
      <c r="A359" s="2">
        <v>38887</v>
      </c>
      <c r="B359" s="1">
        <v>6576.55</v>
      </c>
      <c r="C359" s="1">
        <v>6603.98</v>
      </c>
      <c r="D359" s="1">
        <v>6541.33</v>
      </c>
      <c r="E359" s="3">
        <v>6583.04</v>
      </c>
      <c r="F359" s="1">
        <v>3014800</v>
      </c>
    </row>
    <row r="360" spans="1:6">
      <c r="A360" s="2">
        <v>38888</v>
      </c>
      <c r="B360" s="1">
        <v>6536.11</v>
      </c>
      <c r="C360" s="1">
        <v>6552.17</v>
      </c>
      <c r="D360" s="1">
        <v>6324.69</v>
      </c>
      <c r="E360" s="3">
        <v>6363.55</v>
      </c>
      <c r="F360" s="1">
        <v>3614000</v>
      </c>
    </row>
    <row r="361" spans="1:6">
      <c r="A361" s="2">
        <v>38889</v>
      </c>
      <c r="B361" s="1">
        <v>6354.43</v>
      </c>
      <c r="C361" s="1">
        <v>6399.22</v>
      </c>
      <c r="D361" s="1">
        <v>6290.63</v>
      </c>
      <c r="E361" s="3">
        <v>6299.59</v>
      </c>
      <c r="F361" s="1">
        <v>2992200</v>
      </c>
    </row>
    <row r="362" spans="1:6">
      <c r="A362" s="2">
        <v>38890</v>
      </c>
      <c r="B362" s="1">
        <v>6427.71</v>
      </c>
      <c r="C362" s="1">
        <v>6487.91</v>
      </c>
      <c r="D362" s="1">
        <v>6397.13</v>
      </c>
      <c r="E362" s="3">
        <v>6485.15</v>
      </c>
      <c r="F362" s="1">
        <v>2961800</v>
      </c>
    </row>
    <row r="363" spans="1:6">
      <c r="A363" s="2">
        <v>38891</v>
      </c>
      <c r="B363" s="1">
        <v>6432.46</v>
      </c>
      <c r="C363" s="1">
        <v>6462.91</v>
      </c>
      <c r="D363" s="1">
        <v>6362.23</v>
      </c>
      <c r="E363" s="3">
        <v>6452.31</v>
      </c>
      <c r="F363" s="1">
        <v>2878200</v>
      </c>
    </row>
    <row r="364" spans="1:6">
      <c r="A364" s="2">
        <v>38894</v>
      </c>
      <c r="B364" s="1">
        <v>6464.4</v>
      </c>
      <c r="C364" s="1">
        <v>6548.94</v>
      </c>
      <c r="D364" s="1">
        <v>6448.51</v>
      </c>
      <c r="E364" s="3">
        <v>6523.68</v>
      </c>
      <c r="F364" s="1">
        <v>2616600</v>
      </c>
    </row>
    <row r="365" spans="1:6">
      <c r="A365" s="2">
        <v>38895</v>
      </c>
      <c r="B365" s="1">
        <v>6520.77</v>
      </c>
      <c r="C365" s="1">
        <v>6622.81</v>
      </c>
      <c r="D365" s="1">
        <v>6513.03</v>
      </c>
      <c r="E365" s="3">
        <v>6572.39</v>
      </c>
      <c r="F365" s="1">
        <v>3366800</v>
      </c>
    </row>
    <row r="366" spans="1:6">
      <c r="A366" s="2">
        <v>38896</v>
      </c>
      <c r="B366" s="1">
        <v>6500.38</v>
      </c>
      <c r="C366" s="1">
        <v>6540.93</v>
      </c>
      <c r="D366" s="1">
        <v>6481.65</v>
      </c>
      <c r="E366" s="3">
        <v>6540.93</v>
      </c>
      <c r="F366" s="1">
        <v>2825600</v>
      </c>
    </row>
    <row r="367" spans="1:6">
      <c r="A367" s="2">
        <v>38897</v>
      </c>
      <c r="B367" s="1">
        <v>6578.58</v>
      </c>
      <c r="C367" s="1">
        <v>6623.39</v>
      </c>
      <c r="D367" s="1">
        <v>6574.4</v>
      </c>
      <c r="E367" s="3">
        <v>6607.39</v>
      </c>
      <c r="F367" s="1">
        <v>3457800</v>
      </c>
    </row>
    <row r="368" spans="1:6">
      <c r="A368" s="2">
        <v>38898</v>
      </c>
      <c r="B368" s="1">
        <v>6731.07</v>
      </c>
      <c r="C368" s="1">
        <v>6731.07</v>
      </c>
      <c r="D368" s="1">
        <v>6682.38</v>
      </c>
      <c r="E368" s="3">
        <v>6704.41</v>
      </c>
      <c r="F368" s="1">
        <v>3862400</v>
      </c>
    </row>
    <row r="369" spans="1:6">
      <c r="A369" s="2">
        <v>38901</v>
      </c>
      <c r="B369" s="1">
        <v>6727.23</v>
      </c>
      <c r="C369" s="1">
        <v>6735.34</v>
      </c>
      <c r="D369" s="1">
        <v>6705.25</v>
      </c>
      <c r="E369" s="3">
        <v>6718.5</v>
      </c>
      <c r="F369" s="1">
        <v>2609800</v>
      </c>
    </row>
    <row r="370" spans="1:6">
      <c r="A370" s="2">
        <v>38902</v>
      </c>
      <c r="B370" s="1">
        <v>6748.47</v>
      </c>
      <c r="C370" s="1">
        <v>6789.55</v>
      </c>
      <c r="D370" s="1">
        <v>6722.39</v>
      </c>
      <c r="E370" s="3">
        <v>6734.51</v>
      </c>
      <c r="F370" s="1">
        <v>3220000</v>
      </c>
    </row>
    <row r="371" spans="1:6">
      <c r="A371" s="2">
        <v>38903</v>
      </c>
      <c r="B371" s="1">
        <v>6709.21</v>
      </c>
      <c r="C371" s="1">
        <v>6741.52</v>
      </c>
      <c r="D371" s="1">
        <v>6651.55</v>
      </c>
      <c r="E371" s="3">
        <v>6659.96</v>
      </c>
      <c r="F371" s="1">
        <v>3062600</v>
      </c>
    </row>
    <row r="372" spans="1:6">
      <c r="A372" s="2">
        <v>38904</v>
      </c>
      <c r="B372" s="1">
        <v>6630.04</v>
      </c>
      <c r="C372" s="1">
        <v>6659.07</v>
      </c>
      <c r="D372" s="1">
        <v>6608.49</v>
      </c>
      <c r="E372" s="3">
        <v>6659.07</v>
      </c>
      <c r="F372" s="1">
        <v>2611600</v>
      </c>
    </row>
    <row r="373" spans="1:6">
      <c r="A373" s="2">
        <v>38905</v>
      </c>
      <c r="B373" s="1">
        <v>6651.02</v>
      </c>
      <c r="C373" s="1">
        <v>6671.74</v>
      </c>
      <c r="D373" s="1">
        <v>6628.46</v>
      </c>
      <c r="E373" s="3">
        <v>6660.61</v>
      </c>
      <c r="F373" s="1">
        <v>2908400</v>
      </c>
    </row>
    <row r="374" spans="1:6">
      <c r="A374" s="2">
        <v>38908</v>
      </c>
      <c r="B374" s="1">
        <v>6609.86</v>
      </c>
      <c r="C374" s="1">
        <v>6694.75</v>
      </c>
      <c r="D374" s="1">
        <v>6588.55</v>
      </c>
      <c r="E374" s="3">
        <v>6682.46</v>
      </c>
      <c r="F374" s="1">
        <v>2465400</v>
      </c>
    </row>
    <row r="375" spans="1:6">
      <c r="A375" s="2">
        <v>38909</v>
      </c>
      <c r="B375" s="1">
        <v>6672.32</v>
      </c>
      <c r="C375" s="1">
        <v>6702.64</v>
      </c>
      <c r="D375" s="1">
        <v>6639.13</v>
      </c>
      <c r="E375" s="3">
        <v>6639.13</v>
      </c>
      <c r="F375" s="1">
        <v>2405800</v>
      </c>
    </row>
    <row r="376" spans="1:6">
      <c r="A376" s="2">
        <v>38910</v>
      </c>
      <c r="B376" s="1">
        <v>6681.9</v>
      </c>
      <c r="C376" s="1">
        <v>6725.42</v>
      </c>
      <c r="D376" s="1">
        <v>6612.34</v>
      </c>
      <c r="E376" s="3">
        <v>6634.09</v>
      </c>
      <c r="F376" s="1">
        <v>3078200</v>
      </c>
    </row>
    <row r="377" spans="1:6">
      <c r="A377" s="2">
        <v>38911</v>
      </c>
      <c r="B377" s="1">
        <v>6591.56</v>
      </c>
      <c r="C377" s="1">
        <v>6624.04</v>
      </c>
      <c r="D377" s="1">
        <v>6562.54</v>
      </c>
      <c r="E377" s="3">
        <v>6567.6</v>
      </c>
      <c r="F377" s="1">
        <v>2418000</v>
      </c>
    </row>
    <row r="378" spans="1:6">
      <c r="A378" s="2">
        <v>38912</v>
      </c>
      <c r="B378" s="1">
        <v>6472.29</v>
      </c>
      <c r="C378" s="1">
        <v>6489.65</v>
      </c>
      <c r="D378" s="1">
        <v>6413.92</v>
      </c>
      <c r="E378" s="3">
        <v>6428.03</v>
      </c>
      <c r="F378" s="1">
        <v>2973000</v>
      </c>
    </row>
    <row r="379" spans="1:6">
      <c r="A379" s="2">
        <v>38915</v>
      </c>
      <c r="B379" s="1">
        <v>6402.77</v>
      </c>
      <c r="C379" s="1">
        <v>6416.41</v>
      </c>
      <c r="D379" s="1">
        <v>6232.49</v>
      </c>
      <c r="E379" s="3">
        <v>6257.8</v>
      </c>
      <c r="F379" s="1">
        <v>2806600</v>
      </c>
    </row>
    <row r="380" spans="1:6">
      <c r="A380" s="2">
        <v>38916</v>
      </c>
      <c r="B380" s="1">
        <v>6257.45</v>
      </c>
      <c r="C380" s="1">
        <v>6293.12</v>
      </c>
      <c r="D380" s="1">
        <v>6244.15</v>
      </c>
      <c r="E380" s="3">
        <v>6285.31</v>
      </c>
      <c r="F380" s="1">
        <v>2340800</v>
      </c>
    </row>
    <row r="381" spans="1:6">
      <c r="A381" s="2">
        <v>38917</v>
      </c>
      <c r="B381" s="1">
        <v>6317.58</v>
      </c>
      <c r="C381" s="1">
        <v>6359.82</v>
      </c>
      <c r="D381" s="1">
        <v>6277.24</v>
      </c>
      <c r="E381" s="3">
        <v>6277.24</v>
      </c>
      <c r="F381" s="1">
        <v>2397000</v>
      </c>
    </row>
    <row r="382" spans="1:6">
      <c r="A382" s="2">
        <v>38918</v>
      </c>
      <c r="B382" s="1">
        <v>6423.61</v>
      </c>
      <c r="C382" s="1">
        <v>6446.29</v>
      </c>
      <c r="D382" s="1">
        <v>6393.89</v>
      </c>
      <c r="E382" s="3">
        <v>6443.74</v>
      </c>
      <c r="F382" s="1">
        <v>2962800</v>
      </c>
    </row>
    <row r="383" spans="1:6">
      <c r="A383" s="2">
        <v>38919</v>
      </c>
      <c r="B383" s="1">
        <v>6396.7</v>
      </c>
      <c r="C383" s="1">
        <v>6423.52</v>
      </c>
      <c r="D383" s="1">
        <v>6373.59</v>
      </c>
      <c r="E383" s="3">
        <v>6420.01</v>
      </c>
      <c r="F383" s="1">
        <v>2504000</v>
      </c>
    </row>
    <row r="384" spans="1:6">
      <c r="A384" s="2">
        <v>38922</v>
      </c>
      <c r="B384" s="1">
        <v>6316.83</v>
      </c>
      <c r="C384" s="1">
        <v>6363.68</v>
      </c>
      <c r="D384" s="1">
        <v>6308.72</v>
      </c>
      <c r="E384" s="3">
        <v>6359.63</v>
      </c>
      <c r="F384" s="1">
        <v>2160400</v>
      </c>
    </row>
    <row r="385" spans="1:6">
      <c r="A385" s="2">
        <v>38923</v>
      </c>
      <c r="B385" s="1">
        <v>6433.32</v>
      </c>
      <c r="C385" s="1">
        <v>6435.83</v>
      </c>
      <c r="D385" s="1">
        <v>6390.99</v>
      </c>
      <c r="E385" s="3">
        <v>6390.99</v>
      </c>
      <c r="F385" s="1">
        <v>2636800</v>
      </c>
    </row>
    <row r="386" spans="1:6">
      <c r="A386" s="2">
        <v>38924</v>
      </c>
      <c r="B386" s="1">
        <v>6389.49</v>
      </c>
      <c r="C386" s="1">
        <v>6406.66</v>
      </c>
      <c r="D386" s="1">
        <v>6360.11</v>
      </c>
      <c r="E386" s="3">
        <v>6376.39</v>
      </c>
      <c r="F386" s="1">
        <v>2422600</v>
      </c>
    </row>
    <row r="387" spans="1:6">
      <c r="A387" s="2">
        <v>38925</v>
      </c>
      <c r="B387" s="1">
        <v>6379.4</v>
      </c>
      <c r="C387" s="1">
        <v>6461.92</v>
      </c>
      <c r="D387" s="1">
        <v>6373.11</v>
      </c>
      <c r="E387" s="3">
        <v>6459.25</v>
      </c>
      <c r="F387" s="1">
        <v>2664800</v>
      </c>
    </row>
    <row r="388" spans="1:6">
      <c r="A388" s="2">
        <v>38926</v>
      </c>
      <c r="B388" s="1">
        <v>6450.04</v>
      </c>
      <c r="C388" s="1">
        <v>6490.36</v>
      </c>
      <c r="D388" s="1">
        <v>6448.37</v>
      </c>
      <c r="E388" s="3">
        <v>6480.07</v>
      </c>
      <c r="F388" s="1">
        <v>2875600</v>
      </c>
    </row>
    <row r="389" spans="1:6">
      <c r="A389" s="2">
        <v>38929</v>
      </c>
      <c r="B389" s="1">
        <v>6528.23</v>
      </c>
      <c r="C389" s="1">
        <v>6531.11</v>
      </c>
      <c r="D389" s="1">
        <v>6428.26</v>
      </c>
      <c r="E389" s="3">
        <v>6454.58</v>
      </c>
      <c r="F389" s="1">
        <v>2743000</v>
      </c>
    </row>
    <row r="390" spans="1:6">
      <c r="A390" s="2">
        <v>38930</v>
      </c>
      <c r="B390" s="1">
        <v>6464.59</v>
      </c>
      <c r="C390" s="1">
        <v>6478.34</v>
      </c>
      <c r="D390" s="1">
        <v>6435.93</v>
      </c>
      <c r="E390" s="3">
        <v>6441.46</v>
      </c>
      <c r="F390" s="1">
        <v>2440000</v>
      </c>
    </row>
    <row r="391" spans="1:6">
      <c r="A391" s="2">
        <v>38931</v>
      </c>
      <c r="B391" s="1">
        <v>6426.23</v>
      </c>
      <c r="C391" s="1">
        <v>6488.68</v>
      </c>
      <c r="D391" s="1">
        <v>6421.78</v>
      </c>
      <c r="E391" s="3">
        <v>6471.42</v>
      </c>
      <c r="F391" s="1">
        <v>2553000</v>
      </c>
    </row>
    <row r="392" spans="1:6">
      <c r="A392" s="2">
        <v>38932</v>
      </c>
      <c r="B392" s="1">
        <v>6496.01</v>
      </c>
      <c r="C392" s="1">
        <v>6514.9</v>
      </c>
      <c r="D392" s="1">
        <v>6460.03</v>
      </c>
      <c r="E392" s="3">
        <v>6462.32</v>
      </c>
      <c r="F392" s="1">
        <v>2971800</v>
      </c>
    </row>
    <row r="393" spans="1:6">
      <c r="A393" s="2">
        <v>38933</v>
      </c>
      <c r="B393" s="1">
        <v>6483.07</v>
      </c>
      <c r="C393" s="1">
        <v>6491.67</v>
      </c>
      <c r="D393" s="1">
        <v>6421.55</v>
      </c>
      <c r="E393" s="3">
        <v>6442.61</v>
      </c>
      <c r="F393" s="1">
        <v>2714200</v>
      </c>
    </row>
    <row r="394" spans="1:6">
      <c r="A394" s="2">
        <v>38936</v>
      </c>
      <c r="B394" s="1">
        <v>6425.99</v>
      </c>
      <c r="C394" s="1">
        <v>6450.06</v>
      </c>
      <c r="D394" s="1">
        <v>6405.09</v>
      </c>
      <c r="E394" s="3">
        <v>6416.61</v>
      </c>
      <c r="F394" s="1">
        <v>2215200</v>
      </c>
    </row>
    <row r="395" spans="1:6">
      <c r="A395" s="2">
        <v>38937</v>
      </c>
      <c r="B395" s="1">
        <v>6442.68</v>
      </c>
      <c r="C395" s="1">
        <v>6502.14</v>
      </c>
      <c r="D395" s="1">
        <v>6441.16</v>
      </c>
      <c r="E395" s="3">
        <v>6502.14</v>
      </c>
      <c r="F395" s="1">
        <v>2314800</v>
      </c>
    </row>
    <row r="396" spans="1:6">
      <c r="A396" s="2">
        <v>38938</v>
      </c>
      <c r="B396" s="1">
        <v>6493.89</v>
      </c>
      <c r="C396" s="1">
        <v>6574.49</v>
      </c>
      <c r="D396" s="1">
        <v>6488.59</v>
      </c>
      <c r="E396" s="3">
        <v>6573.22</v>
      </c>
      <c r="F396" s="1">
        <v>2914200</v>
      </c>
    </row>
    <row r="397" spans="1:6">
      <c r="A397" s="2">
        <v>38939</v>
      </c>
      <c r="B397" s="1">
        <v>6555.28</v>
      </c>
      <c r="C397" s="1">
        <v>6606.28</v>
      </c>
      <c r="D397" s="1">
        <v>6555.28</v>
      </c>
      <c r="E397" s="3">
        <v>6578.61</v>
      </c>
      <c r="F397" s="1">
        <v>3393200</v>
      </c>
    </row>
    <row r="398" spans="1:6">
      <c r="A398" s="2">
        <v>38940</v>
      </c>
      <c r="B398" s="1">
        <v>6612.48</v>
      </c>
      <c r="C398" s="1">
        <v>6617.23</v>
      </c>
      <c r="D398" s="1">
        <v>6559.27</v>
      </c>
      <c r="E398" s="3">
        <v>6571.1</v>
      </c>
      <c r="F398" s="1">
        <v>3074800</v>
      </c>
    </row>
    <row r="399" spans="1:6">
      <c r="A399" s="2">
        <v>38943</v>
      </c>
      <c r="B399" s="1">
        <v>6588.47</v>
      </c>
      <c r="C399" s="1">
        <v>6634.73</v>
      </c>
      <c r="D399" s="1">
        <v>6587.36</v>
      </c>
      <c r="E399" s="3">
        <v>6611.9</v>
      </c>
      <c r="F399" s="1">
        <v>2632200</v>
      </c>
    </row>
    <row r="400" spans="1:6">
      <c r="A400" s="2">
        <v>38944</v>
      </c>
      <c r="B400" s="1">
        <v>6628.5</v>
      </c>
      <c r="C400" s="1">
        <v>6628.5</v>
      </c>
      <c r="D400" s="1">
        <v>6595.35</v>
      </c>
      <c r="E400" s="3">
        <v>6615.13</v>
      </c>
      <c r="F400" s="1">
        <v>2668600</v>
      </c>
    </row>
    <row r="401" spans="1:6">
      <c r="A401" s="2">
        <v>38945</v>
      </c>
      <c r="B401" s="1">
        <v>6686.23</v>
      </c>
      <c r="C401" s="1">
        <v>6699.83</v>
      </c>
      <c r="D401" s="1">
        <v>6663.07</v>
      </c>
      <c r="E401" s="3">
        <v>6696.63</v>
      </c>
      <c r="F401" s="1">
        <v>3827600</v>
      </c>
    </row>
    <row r="402" spans="1:6">
      <c r="A402" s="2">
        <v>38946</v>
      </c>
      <c r="B402" s="1">
        <v>6752.99</v>
      </c>
      <c r="C402" s="1">
        <v>6761.79</v>
      </c>
      <c r="D402" s="1">
        <v>6722.58</v>
      </c>
      <c r="E402" s="3">
        <v>6733.46</v>
      </c>
      <c r="F402" s="1">
        <v>3923000</v>
      </c>
    </row>
    <row r="403" spans="1:6">
      <c r="A403" s="2">
        <v>38947</v>
      </c>
      <c r="B403" s="1">
        <v>6761.4</v>
      </c>
      <c r="C403" s="1">
        <v>6761.4</v>
      </c>
      <c r="D403" s="1">
        <v>6719.75</v>
      </c>
      <c r="E403" s="3">
        <v>6721.08</v>
      </c>
      <c r="F403" s="1">
        <v>2895800</v>
      </c>
    </row>
    <row r="404" spans="1:6">
      <c r="A404" s="2">
        <v>38950</v>
      </c>
      <c r="B404" s="1">
        <v>6715.72</v>
      </c>
      <c r="C404" s="1">
        <v>6715.72</v>
      </c>
      <c r="D404" s="1">
        <v>6498.18</v>
      </c>
      <c r="E404" s="3">
        <v>6505.92</v>
      </c>
      <c r="F404" s="1">
        <v>3356200</v>
      </c>
    </row>
    <row r="405" spans="1:6">
      <c r="A405" s="2">
        <v>38951</v>
      </c>
      <c r="B405" s="1">
        <v>6524.72</v>
      </c>
      <c r="C405" s="1">
        <v>6590.2</v>
      </c>
      <c r="D405" s="1">
        <v>6517.28</v>
      </c>
      <c r="E405" s="3">
        <v>6590.2</v>
      </c>
      <c r="F405" s="1">
        <v>2441800</v>
      </c>
    </row>
    <row r="406" spans="1:6">
      <c r="A406" s="2">
        <v>38952</v>
      </c>
      <c r="B406" s="1">
        <v>6584.66</v>
      </c>
      <c r="C406" s="1">
        <v>6587.46</v>
      </c>
      <c r="D406" s="1">
        <v>6454.71</v>
      </c>
      <c r="E406" s="3">
        <v>6556.33</v>
      </c>
      <c r="F406" s="1">
        <v>2765800</v>
      </c>
    </row>
    <row r="407" spans="1:6">
      <c r="A407" s="2">
        <v>38953</v>
      </c>
      <c r="B407" s="1">
        <v>6540.03</v>
      </c>
      <c r="C407" s="1">
        <v>6570.62</v>
      </c>
      <c r="D407" s="1">
        <v>6525.36</v>
      </c>
      <c r="E407" s="3">
        <v>6550.64</v>
      </c>
      <c r="F407" s="1">
        <v>2255800</v>
      </c>
    </row>
    <row r="408" spans="1:6">
      <c r="A408" s="2">
        <v>38954</v>
      </c>
      <c r="B408" s="1">
        <v>6594.82</v>
      </c>
      <c r="C408" s="1">
        <v>6600.94</v>
      </c>
      <c r="D408" s="1">
        <v>6526.22</v>
      </c>
      <c r="E408" s="3">
        <v>6526.22</v>
      </c>
      <c r="F408" s="1">
        <v>2193400</v>
      </c>
    </row>
    <row r="409" spans="1:6">
      <c r="A409" s="2">
        <v>38957</v>
      </c>
      <c r="B409" s="1">
        <v>6515.08</v>
      </c>
      <c r="C409" s="1">
        <v>6515.08</v>
      </c>
      <c r="D409" s="1">
        <v>6422.38</v>
      </c>
      <c r="E409" s="3">
        <v>6444.76</v>
      </c>
      <c r="F409" s="1">
        <v>2308600</v>
      </c>
    </row>
    <row r="410" spans="1:6">
      <c r="A410" s="2">
        <v>38958</v>
      </c>
      <c r="B410" s="1">
        <v>6485.98</v>
      </c>
      <c r="C410" s="1">
        <v>6500.89</v>
      </c>
      <c r="D410" s="1">
        <v>6460.67</v>
      </c>
      <c r="E410" s="3">
        <v>6479.91</v>
      </c>
      <c r="F410" s="1">
        <v>2170800</v>
      </c>
    </row>
    <row r="411" spans="1:6">
      <c r="A411" s="2">
        <v>38959</v>
      </c>
      <c r="B411" s="1">
        <v>6523.68</v>
      </c>
      <c r="C411" s="1">
        <v>6602.81</v>
      </c>
      <c r="D411" s="1">
        <v>6523.68</v>
      </c>
      <c r="E411" s="3">
        <v>6587.12</v>
      </c>
      <c r="F411" s="1">
        <v>2964000</v>
      </c>
    </row>
    <row r="412" spans="1:6">
      <c r="A412" s="2">
        <v>38960</v>
      </c>
      <c r="B412" s="1">
        <v>6647.67</v>
      </c>
      <c r="C412" s="1">
        <v>6667.62</v>
      </c>
      <c r="D412" s="1">
        <v>6611.77</v>
      </c>
      <c r="E412" s="3">
        <v>6611.77</v>
      </c>
      <c r="F412" s="1">
        <v>2909800</v>
      </c>
    </row>
    <row r="413" spans="1:6">
      <c r="A413" s="2">
        <v>38961</v>
      </c>
      <c r="B413" s="1">
        <v>6631.83</v>
      </c>
      <c r="C413" s="1">
        <v>6658.13</v>
      </c>
      <c r="D413" s="1">
        <v>6625.23</v>
      </c>
      <c r="E413" s="3">
        <v>6651.46</v>
      </c>
      <c r="F413" s="1">
        <v>2553800</v>
      </c>
    </row>
    <row r="414" spans="1:6">
      <c r="A414" s="2">
        <v>38964</v>
      </c>
      <c r="B414" s="1">
        <v>6706.51</v>
      </c>
      <c r="C414" s="1">
        <v>6761.65</v>
      </c>
      <c r="D414" s="1">
        <v>6706.51</v>
      </c>
      <c r="E414" s="3">
        <v>6750.78</v>
      </c>
      <c r="F414" s="1">
        <v>3043600</v>
      </c>
    </row>
    <row r="415" spans="1:6">
      <c r="A415" s="2">
        <v>38965</v>
      </c>
      <c r="B415" s="1">
        <v>6764.95</v>
      </c>
      <c r="C415" s="1">
        <v>6766.81</v>
      </c>
      <c r="D415" s="1">
        <v>6725.58</v>
      </c>
      <c r="E415" s="3">
        <v>6734.73</v>
      </c>
      <c r="F415" s="1">
        <v>2724000</v>
      </c>
    </row>
    <row r="416" spans="1:6">
      <c r="A416" s="2">
        <v>38966</v>
      </c>
      <c r="B416" s="1">
        <v>6712.8</v>
      </c>
      <c r="C416" s="1">
        <v>6747.98</v>
      </c>
      <c r="D416" s="1">
        <v>6661.56</v>
      </c>
      <c r="E416" s="3">
        <v>6688.4</v>
      </c>
      <c r="F416" s="1">
        <v>2688400</v>
      </c>
    </row>
    <row r="417" spans="1:6">
      <c r="A417" s="2">
        <v>38967</v>
      </c>
      <c r="B417" s="1">
        <v>6638.79</v>
      </c>
      <c r="C417" s="1">
        <v>6689.2</v>
      </c>
      <c r="D417" s="1">
        <v>6630.25</v>
      </c>
      <c r="E417" s="3">
        <v>6685.23</v>
      </c>
      <c r="F417" s="1">
        <v>2200600</v>
      </c>
    </row>
    <row r="418" spans="1:6">
      <c r="A418" s="2">
        <v>38968</v>
      </c>
      <c r="B418" s="1">
        <v>6664.11</v>
      </c>
      <c r="C418" s="1">
        <v>6718.83</v>
      </c>
      <c r="D418" s="1">
        <v>6654.77</v>
      </c>
      <c r="E418" s="3">
        <v>6693.11</v>
      </c>
      <c r="F418" s="1">
        <v>2326000</v>
      </c>
    </row>
    <row r="419" spans="1:6">
      <c r="A419" s="2">
        <v>38971</v>
      </c>
      <c r="B419" s="1">
        <v>6714.36</v>
      </c>
      <c r="C419" s="1">
        <v>6802.84</v>
      </c>
      <c r="D419" s="1">
        <v>6674.55</v>
      </c>
      <c r="E419" s="3">
        <v>6693.88</v>
      </c>
      <c r="F419" s="1">
        <v>2738200</v>
      </c>
    </row>
    <row r="420" spans="1:6">
      <c r="A420" s="2">
        <v>38972</v>
      </c>
      <c r="B420" s="1">
        <v>6698.38</v>
      </c>
      <c r="C420" s="1">
        <v>6698.38</v>
      </c>
      <c r="D420" s="1">
        <v>6620.71</v>
      </c>
      <c r="E420" s="3">
        <v>6625.73</v>
      </c>
      <c r="F420" s="1">
        <v>2422000</v>
      </c>
    </row>
    <row r="421" spans="1:6">
      <c r="A421" s="2">
        <v>38973</v>
      </c>
      <c r="B421" s="1">
        <v>6687.71</v>
      </c>
      <c r="C421" s="1">
        <v>6690.29</v>
      </c>
      <c r="D421" s="1">
        <v>6631.97</v>
      </c>
      <c r="E421" s="3">
        <v>6664.87</v>
      </c>
      <c r="F421" s="1">
        <v>2316600</v>
      </c>
    </row>
    <row r="422" spans="1:6">
      <c r="A422" s="2">
        <v>38974</v>
      </c>
      <c r="B422" s="1">
        <v>6687.57</v>
      </c>
      <c r="C422" s="1">
        <v>6691.51</v>
      </c>
      <c r="D422" s="1">
        <v>6550.03</v>
      </c>
      <c r="E422" s="3">
        <v>6598.87</v>
      </c>
      <c r="F422" s="1">
        <v>2937200</v>
      </c>
    </row>
    <row r="423" spans="1:6">
      <c r="A423" s="2">
        <v>38975</v>
      </c>
      <c r="B423" s="1">
        <v>6585.03</v>
      </c>
      <c r="C423" s="1">
        <v>6681.09</v>
      </c>
      <c r="D423" s="1">
        <v>6575.87</v>
      </c>
      <c r="E423" s="3">
        <v>6681.09</v>
      </c>
      <c r="F423" s="1">
        <v>2236400</v>
      </c>
    </row>
    <row r="424" spans="1:6">
      <c r="A424" s="2">
        <v>38978</v>
      </c>
      <c r="B424" s="1">
        <v>6784.77</v>
      </c>
      <c r="C424" s="1">
        <v>6886.3</v>
      </c>
      <c r="D424" s="1">
        <v>6775.12</v>
      </c>
      <c r="E424" s="3">
        <v>6882.48</v>
      </c>
      <c r="F424" s="1">
        <v>3550400</v>
      </c>
    </row>
    <row r="425" spans="1:6">
      <c r="A425" s="2">
        <v>38979</v>
      </c>
      <c r="B425" s="1">
        <v>6897.59</v>
      </c>
      <c r="C425" s="1">
        <v>6915.08</v>
      </c>
      <c r="D425" s="1">
        <v>6858.85</v>
      </c>
      <c r="E425" s="3">
        <v>6881.87</v>
      </c>
      <c r="F425" s="1">
        <v>3209400</v>
      </c>
    </row>
    <row r="426" spans="1:6">
      <c r="A426" s="2">
        <v>38980</v>
      </c>
      <c r="B426" s="1">
        <v>6850.4</v>
      </c>
      <c r="C426" s="1">
        <v>6890.63</v>
      </c>
      <c r="D426" s="1">
        <v>6839.69</v>
      </c>
      <c r="E426" s="3">
        <v>6877.77</v>
      </c>
      <c r="F426" s="1">
        <v>2720000</v>
      </c>
    </row>
    <row r="427" spans="1:6">
      <c r="A427" s="2">
        <v>38981</v>
      </c>
      <c r="B427" s="1">
        <v>6924.37</v>
      </c>
      <c r="C427" s="1">
        <v>6938.93</v>
      </c>
      <c r="D427" s="1">
        <v>6862.28</v>
      </c>
      <c r="E427" s="3">
        <v>6889.89</v>
      </c>
      <c r="F427" s="1">
        <v>3393400</v>
      </c>
    </row>
    <row r="428" spans="1:6">
      <c r="A428" s="2">
        <v>38982</v>
      </c>
      <c r="B428" s="1">
        <v>6872.26</v>
      </c>
      <c r="C428" s="1">
        <v>6890.9</v>
      </c>
      <c r="D428" s="1">
        <v>6854.02</v>
      </c>
      <c r="E428" s="3">
        <v>6885.6</v>
      </c>
      <c r="F428" s="1">
        <v>2570800</v>
      </c>
    </row>
    <row r="429" spans="1:6">
      <c r="A429" s="2">
        <v>38985</v>
      </c>
      <c r="B429" s="1">
        <v>6879.68</v>
      </c>
      <c r="C429" s="1">
        <v>6921.36</v>
      </c>
      <c r="D429" s="1">
        <v>6844.33</v>
      </c>
      <c r="E429" s="3">
        <v>6911.21</v>
      </c>
      <c r="F429" s="1">
        <v>2829800</v>
      </c>
    </row>
    <row r="430" spans="1:6">
      <c r="A430" s="2">
        <v>38986</v>
      </c>
      <c r="B430" s="1">
        <v>6945.04</v>
      </c>
      <c r="C430" s="1">
        <v>6958.79</v>
      </c>
      <c r="D430" s="1">
        <v>6899.37</v>
      </c>
      <c r="E430" s="3">
        <v>6901.75</v>
      </c>
      <c r="F430" s="1">
        <v>2707200</v>
      </c>
    </row>
    <row r="431" spans="1:6">
      <c r="A431" s="2">
        <v>38987</v>
      </c>
      <c r="B431" s="1">
        <v>6957.08</v>
      </c>
      <c r="C431" s="1">
        <v>6961.71</v>
      </c>
      <c r="D431" s="1">
        <v>6922.99</v>
      </c>
      <c r="E431" s="3">
        <v>6946.27</v>
      </c>
      <c r="F431" s="1">
        <v>3394200</v>
      </c>
    </row>
    <row r="432" spans="1:6">
      <c r="A432" s="2">
        <v>38988</v>
      </c>
      <c r="B432" s="1">
        <v>6955.6</v>
      </c>
      <c r="C432" s="1">
        <v>6961.92</v>
      </c>
      <c r="D432" s="1">
        <v>6858.03</v>
      </c>
      <c r="E432" s="3">
        <v>6885.12</v>
      </c>
      <c r="F432" s="1">
        <v>3316200</v>
      </c>
    </row>
    <row r="433" spans="1:6">
      <c r="A433" s="2">
        <v>38989</v>
      </c>
      <c r="B433" s="1">
        <v>6887.39</v>
      </c>
      <c r="C433" s="1">
        <v>6903.72</v>
      </c>
      <c r="D433" s="1">
        <v>6860.52</v>
      </c>
      <c r="E433" s="3">
        <v>6883.05</v>
      </c>
      <c r="F433" s="1">
        <v>2687800</v>
      </c>
    </row>
    <row r="434" spans="1:6">
      <c r="A434" s="2">
        <v>38992</v>
      </c>
      <c r="B434" s="1">
        <v>6907.43</v>
      </c>
      <c r="C434" s="1">
        <v>6961.78</v>
      </c>
      <c r="D434" s="1">
        <v>6907.43</v>
      </c>
      <c r="E434" s="3">
        <v>6960.95</v>
      </c>
      <c r="F434" s="1">
        <v>3468400</v>
      </c>
    </row>
    <row r="435" spans="1:6">
      <c r="A435" s="2">
        <v>38993</v>
      </c>
      <c r="B435" s="1">
        <v>6942.07</v>
      </c>
      <c r="C435" s="1">
        <v>6976.62</v>
      </c>
      <c r="D435" s="1">
        <v>6935.8</v>
      </c>
      <c r="E435" s="3">
        <v>6956.88</v>
      </c>
      <c r="F435" s="1">
        <v>3152200</v>
      </c>
    </row>
    <row r="436" spans="1:6">
      <c r="A436" s="2">
        <v>38994</v>
      </c>
      <c r="B436" s="1">
        <v>6967.77</v>
      </c>
      <c r="C436" s="1">
        <v>6980.67</v>
      </c>
      <c r="D436" s="1">
        <v>6874.98</v>
      </c>
      <c r="E436" s="3">
        <v>6874.98</v>
      </c>
      <c r="F436" s="1">
        <v>3203200</v>
      </c>
    </row>
    <row r="437" spans="1:6">
      <c r="A437" s="2">
        <v>38995</v>
      </c>
      <c r="B437" s="1">
        <v>6955.74</v>
      </c>
      <c r="C437" s="1">
        <v>7004.42</v>
      </c>
      <c r="D437" s="1">
        <v>6926.73</v>
      </c>
      <c r="E437" s="3">
        <v>6997.24</v>
      </c>
      <c r="F437" s="1">
        <v>4027200</v>
      </c>
    </row>
    <row r="438" spans="1:6">
      <c r="A438" s="2">
        <v>39001</v>
      </c>
      <c r="B438" s="1">
        <v>6984.45</v>
      </c>
      <c r="C438" s="1">
        <v>7022.49</v>
      </c>
      <c r="D438" s="1">
        <v>6984.45</v>
      </c>
      <c r="E438" s="3">
        <v>7006.67</v>
      </c>
      <c r="F438" s="1">
        <v>3780000</v>
      </c>
    </row>
    <row r="439" spans="1:6">
      <c r="A439" s="2">
        <v>39002</v>
      </c>
      <c r="B439" s="1">
        <v>7032.76</v>
      </c>
      <c r="C439" s="1">
        <v>7039.93</v>
      </c>
      <c r="D439" s="1">
        <v>6983.46</v>
      </c>
      <c r="E439" s="3">
        <v>6984.58</v>
      </c>
      <c r="F439" s="1">
        <v>3700800</v>
      </c>
    </row>
    <row r="440" spans="1:6">
      <c r="A440" s="2">
        <v>39003</v>
      </c>
      <c r="B440" s="1">
        <v>7060.19</v>
      </c>
      <c r="C440" s="1">
        <v>7096.51</v>
      </c>
      <c r="D440" s="1">
        <v>7046.65</v>
      </c>
      <c r="E440" s="3">
        <v>7068.8</v>
      </c>
      <c r="F440" s="1">
        <v>4188000</v>
      </c>
    </row>
    <row r="441" spans="1:6">
      <c r="A441" s="2">
        <v>39006</v>
      </c>
      <c r="B441" s="1">
        <v>7102.97</v>
      </c>
      <c r="C441" s="1">
        <v>7159.85</v>
      </c>
      <c r="D441" s="1">
        <v>7099.11</v>
      </c>
      <c r="E441" s="3">
        <v>7151.42</v>
      </c>
      <c r="F441" s="1">
        <v>4736800</v>
      </c>
    </row>
    <row r="442" spans="1:6">
      <c r="A442" s="2">
        <v>39007</v>
      </c>
      <c r="B442" s="1">
        <v>7133.85</v>
      </c>
      <c r="C442" s="1">
        <v>7133.85</v>
      </c>
      <c r="D442" s="1">
        <v>7070.3</v>
      </c>
      <c r="E442" s="3">
        <v>7075.13</v>
      </c>
      <c r="F442" s="1">
        <v>3628600</v>
      </c>
    </row>
    <row r="443" spans="1:6">
      <c r="A443" s="2">
        <v>39008</v>
      </c>
      <c r="B443" s="1">
        <v>7021.96</v>
      </c>
      <c r="C443" s="1">
        <v>7035.45</v>
      </c>
      <c r="D443" s="1">
        <v>6980.07</v>
      </c>
      <c r="E443" s="3">
        <v>7017.6</v>
      </c>
      <c r="F443" s="1">
        <v>3244000</v>
      </c>
    </row>
    <row r="444" spans="1:6">
      <c r="A444" s="2">
        <v>39009</v>
      </c>
      <c r="B444" s="1">
        <v>7000.68</v>
      </c>
      <c r="C444" s="1">
        <v>7045.99</v>
      </c>
      <c r="D444" s="1">
        <v>6986.85</v>
      </c>
      <c r="E444" s="3">
        <v>6995.83</v>
      </c>
      <c r="F444" s="1">
        <v>3080000</v>
      </c>
    </row>
    <row r="445" spans="1:6">
      <c r="A445" s="2">
        <v>39010</v>
      </c>
      <c r="B445" s="1">
        <v>7029.65</v>
      </c>
      <c r="C445" s="1">
        <v>7048.09</v>
      </c>
      <c r="D445" s="1">
        <v>7021.34</v>
      </c>
      <c r="E445" s="3">
        <v>7039.37</v>
      </c>
      <c r="F445" s="1">
        <v>3082000</v>
      </c>
    </row>
    <row r="446" spans="1:6">
      <c r="A446" s="2">
        <v>39013</v>
      </c>
      <c r="B446" s="1">
        <v>7041.7</v>
      </c>
      <c r="C446" s="1">
        <v>7043.48</v>
      </c>
      <c r="D446" s="1">
        <v>7008.13</v>
      </c>
      <c r="E446" s="3">
        <v>7040.26</v>
      </c>
      <c r="F446" s="1">
        <v>3158600</v>
      </c>
    </row>
    <row r="447" spans="1:6">
      <c r="A447" s="2">
        <v>39014</v>
      </c>
      <c r="B447" s="1">
        <v>7075.81</v>
      </c>
      <c r="C447" s="1">
        <v>7120.24</v>
      </c>
      <c r="D447" s="1">
        <v>7070.17</v>
      </c>
      <c r="E447" s="3">
        <v>7097.42</v>
      </c>
      <c r="F447" s="1">
        <v>3704800</v>
      </c>
    </row>
    <row r="448" spans="1:6">
      <c r="A448" s="2">
        <v>39015</v>
      </c>
      <c r="B448" s="1">
        <v>7099.94</v>
      </c>
      <c r="C448" s="1">
        <v>7110.93</v>
      </c>
      <c r="D448" s="1">
        <v>7059.89</v>
      </c>
      <c r="E448" s="3">
        <v>7059.89</v>
      </c>
      <c r="F448" s="1">
        <v>3388400</v>
      </c>
    </row>
    <row r="449" spans="1:6">
      <c r="A449" s="2">
        <v>39016</v>
      </c>
      <c r="B449" s="1">
        <v>7083.15</v>
      </c>
      <c r="C449" s="1">
        <v>7119.55</v>
      </c>
      <c r="D449" s="1">
        <v>7080.84</v>
      </c>
      <c r="E449" s="3">
        <v>7080.84</v>
      </c>
      <c r="F449" s="1">
        <v>3492600</v>
      </c>
    </row>
    <row r="450" spans="1:6">
      <c r="A450" s="2">
        <v>39017</v>
      </c>
      <c r="B450" s="1">
        <v>7112.54</v>
      </c>
      <c r="C450" s="1">
        <v>7132.29</v>
      </c>
      <c r="D450" s="1">
        <v>7082.68</v>
      </c>
      <c r="E450" s="3">
        <v>7086.74</v>
      </c>
      <c r="F450" s="1">
        <v>3355400</v>
      </c>
    </row>
    <row r="451" spans="1:6">
      <c r="A451" s="2">
        <v>39020</v>
      </c>
      <c r="B451" s="1">
        <v>7050.05</v>
      </c>
      <c r="C451" s="1">
        <v>7050.05</v>
      </c>
      <c r="D451" s="1">
        <v>6995.1</v>
      </c>
      <c r="E451" s="3">
        <v>6995.2</v>
      </c>
      <c r="F451" s="1">
        <v>2819400</v>
      </c>
    </row>
    <row r="452" spans="1:6">
      <c r="A452" s="2">
        <v>39021</v>
      </c>
      <c r="B452" s="1">
        <v>7020.35</v>
      </c>
      <c r="C452" s="1">
        <v>7025.21</v>
      </c>
      <c r="D452" s="1">
        <v>7004.15</v>
      </c>
      <c r="E452" s="3">
        <v>7021.32</v>
      </c>
      <c r="F452" s="1">
        <v>2393000</v>
      </c>
    </row>
    <row r="453" spans="1:6">
      <c r="A453" s="2">
        <v>39022</v>
      </c>
      <c r="B453" s="1">
        <v>7036.07</v>
      </c>
      <c r="C453" s="1">
        <v>7058.69</v>
      </c>
      <c r="D453" s="1">
        <v>7013.99</v>
      </c>
      <c r="E453" s="3">
        <v>7013.99</v>
      </c>
      <c r="F453" s="1">
        <v>3055200</v>
      </c>
    </row>
    <row r="454" spans="1:6">
      <c r="A454" s="2">
        <v>39023</v>
      </c>
      <c r="B454" s="1">
        <v>7008.42</v>
      </c>
      <c r="C454" s="1">
        <v>7089.7</v>
      </c>
      <c r="D454" s="1">
        <v>7005.13</v>
      </c>
      <c r="E454" s="3">
        <v>7078.1</v>
      </c>
      <c r="F454" s="1">
        <v>3360600</v>
      </c>
    </row>
    <row r="455" spans="1:6">
      <c r="A455" s="2">
        <v>39024</v>
      </c>
      <c r="B455" s="1">
        <v>7079.71</v>
      </c>
      <c r="C455" s="1">
        <v>7186.98</v>
      </c>
      <c r="D455" s="1">
        <v>7079.71</v>
      </c>
      <c r="E455" s="3">
        <v>7161.61</v>
      </c>
      <c r="F455" s="1">
        <v>4542400</v>
      </c>
    </row>
    <row r="456" spans="1:6">
      <c r="A456" s="2">
        <v>39027</v>
      </c>
      <c r="B456" s="1">
        <v>7036.89</v>
      </c>
      <c r="C456" s="1">
        <v>7160.66</v>
      </c>
      <c r="D456" s="1">
        <v>7036.89</v>
      </c>
      <c r="E456" s="3">
        <v>7120.44</v>
      </c>
      <c r="F456" s="1">
        <v>3831400</v>
      </c>
    </row>
    <row r="457" spans="1:6">
      <c r="A457" s="2">
        <v>39028</v>
      </c>
      <c r="B457" s="1">
        <v>7198.9</v>
      </c>
      <c r="C457" s="1">
        <v>7219.06</v>
      </c>
      <c r="D457" s="1">
        <v>7180.75</v>
      </c>
      <c r="E457" s="3">
        <v>7184.65</v>
      </c>
      <c r="F457" s="1">
        <v>4562600</v>
      </c>
    </row>
    <row r="458" spans="1:6">
      <c r="A458" s="2">
        <v>39029</v>
      </c>
      <c r="B458" s="1">
        <v>7200.77</v>
      </c>
      <c r="C458" s="1">
        <v>7207.33</v>
      </c>
      <c r="D458" s="1">
        <v>7176.66</v>
      </c>
      <c r="E458" s="3">
        <v>7178.34</v>
      </c>
      <c r="F458" s="1">
        <v>4177600</v>
      </c>
    </row>
    <row r="459" spans="1:6">
      <c r="A459" s="2">
        <v>39030</v>
      </c>
      <c r="B459" s="1">
        <v>7209.9</v>
      </c>
      <c r="C459" s="1">
        <v>7242.45</v>
      </c>
      <c r="D459" s="1">
        <v>7146.72</v>
      </c>
      <c r="E459" s="3">
        <v>7151.13</v>
      </c>
      <c r="F459" s="1">
        <v>5517600</v>
      </c>
    </row>
    <row r="460" spans="1:6">
      <c r="A460" s="2">
        <v>39031</v>
      </c>
      <c r="B460" s="1">
        <v>7159.8</v>
      </c>
      <c r="C460" s="1">
        <v>7176.06</v>
      </c>
      <c r="D460" s="1">
        <v>7130.57</v>
      </c>
      <c r="E460" s="3">
        <v>7174.2</v>
      </c>
      <c r="F460" s="1">
        <v>3426600</v>
      </c>
    </row>
    <row r="461" spans="1:6">
      <c r="A461" s="2">
        <v>39034</v>
      </c>
      <c r="B461" s="1">
        <v>7182.78</v>
      </c>
      <c r="C461" s="1">
        <v>7191.09</v>
      </c>
      <c r="D461" s="1">
        <v>7136.06</v>
      </c>
      <c r="E461" s="3">
        <v>7136.06</v>
      </c>
      <c r="F461" s="1">
        <v>3744600</v>
      </c>
    </row>
    <row r="462" spans="1:6">
      <c r="A462" s="2">
        <v>39035</v>
      </c>
      <c r="B462" s="1">
        <v>7185.66</v>
      </c>
      <c r="C462" s="1">
        <v>7216.64</v>
      </c>
      <c r="D462" s="1">
        <v>7168.85</v>
      </c>
      <c r="E462" s="3">
        <v>7204.04</v>
      </c>
      <c r="F462" s="1">
        <v>4906000</v>
      </c>
    </row>
    <row r="463" spans="1:6">
      <c r="A463" s="2">
        <v>39036</v>
      </c>
      <c r="B463" s="1">
        <v>7254.47</v>
      </c>
      <c r="C463" s="1">
        <v>7269.01</v>
      </c>
      <c r="D463" s="1">
        <v>7229.02</v>
      </c>
      <c r="E463" s="3">
        <v>7236.85</v>
      </c>
      <c r="F463" s="1">
        <v>4926600</v>
      </c>
    </row>
    <row r="464" spans="1:6">
      <c r="A464" s="2">
        <v>39037</v>
      </c>
      <c r="B464" s="1">
        <v>7272.5</v>
      </c>
      <c r="C464" s="1">
        <v>7290.25</v>
      </c>
      <c r="D464" s="1">
        <v>7240.25</v>
      </c>
      <c r="E464" s="3">
        <v>7257.48</v>
      </c>
      <c r="F464" s="1">
        <v>4700000</v>
      </c>
    </row>
    <row r="465" spans="1:6">
      <c r="A465" s="2">
        <v>39038</v>
      </c>
      <c r="B465" s="1">
        <v>7282.38</v>
      </c>
      <c r="C465" s="1">
        <v>7287.91</v>
      </c>
      <c r="D465" s="1">
        <v>7251.65</v>
      </c>
      <c r="E465" s="3">
        <v>7259.54</v>
      </c>
      <c r="F465" s="1">
        <v>4341200</v>
      </c>
    </row>
    <row r="466" spans="1:6">
      <c r="A466" s="2">
        <v>39041</v>
      </c>
      <c r="B466" s="1">
        <v>7266.4</v>
      </c>
      <c r="C466" s="1">
        <v>7270.28</v>
      </c>
      <c r="D466" s="1">
        <v>7228.97</v>
      </c>
      <c r="E466" s="3">
        <v>7261.48</v>
      </c>
      <c r="F466" s="1">
        <v>4126200</v>
      </c>
    </row>
    <row r="467" spans="1:6">
      <c r="A467" s="2">
        <v>39042</v>
      </c>
      <c r="B467" s="1">
        <v>7258.63</v>
      </c>
      <c r="C467" s="1">
        <v>7320.06</v>
      </c>
      <c r="D467" s="1">
        <v>7245.42</v>
      </c>
      <c r="E467" s="3">
        <v>7309.69</v>
      </c>
      <c r="F467" s="1">
        <v>4161600</v>
      </c>
    </row>
    <row r="468" spans="1:6">
      <c r="A468" s="2">
        <v>39043</v>
      </c>
      <c r="B468" s="1">
        <v>7330.01</v>
      </c>
      <c r="C468" s="1">
        <v>7350.63</v>
      </c>
      <c r="D468" s="1">
        <v>7314.36</v>
      </c>
      <c r="E468" s="3">
        <v>7348.77</v>
      </c>
      <c r="F468" s="1">
        <v>4604400</v>
      </c>
    </row>
    <row r="469" spans="1:6">
      <c r="A469" s="2">
        <v>39044</v>
      </c>
      <c r="B469" s="1">
        <v>7371.3</v>
      </c>
      <c r="C469" s="1">
        <v>7430.9</v>
      </c>
      <c r="D469" s="1">
        <v>7368.01</v>
      </c>
      <c r="E469" s="3">
        <v>7384.69</v>
      </c>
      <c r="F469" s="1">
        <v>5207800</v>
      </c>
    </row>
    <row r="470" spans="1:6">
      <c r="A470" s="2">
        <v>39045</v>
      </c>
      <c r="B470" s="1">
        <v>7394.75</v>
      </c>
      <c r="C470" s="1">
        <v>7427.36</v>
      </c>
      <c r="D470" s="1">
        <v>7366.08</v>
      </c>
      <c r="E470" s="3">
        <v>7427.36</v>
      </c>
      <c r="F470" s="1">
        <v>4488200</v>
      </c>
    </row>
    <row r="471" spans="1:6">
      <c r="A471" s="2">
        <v>39048</v>
      </c>
      <c r="B471" s="1">
        <v>7494.59</v>
      </c>
      <c r="C471" s="1">
        <v>7506.07</v>
      </c>
      <c r="D471" s="1">
        <v>7463.88</v>
      </c>
      <c r="E471" s="3">
        <v>7498.15</v>
      </c>
      <c r="F471" s="1">
        <v>5589200</v>
      </c>
    </row>
    <row r="472" spans="1:6">
      <c r="A472" s="2">
        <v>39049</v>
      </c>
      <c r="B472" s="1">
        <v>7447.67</v>
      </c>
      <c r="C472" s="1">
        <v>7483.43</v>
      </c>
      <c r="D472" s="1">
        <v>7444.94</v>
      </c>
      <c r="E472" s="3">
        <v>7444.94</v>
      </c>
      <c r="F472" s="1">
        <v>5025800</v>
      </c>
    </row>
    <row r="473" spans="1:6">
      <c r="A473" s="2">
        <v>39050</v>
      </c>
      <c r="B473" s="1">
        <v>7476.54</v>
      </c>
      <c r="C473" s="1">
        <v>7513.51</v>
      </c>
      <c r="D473" s="1">
        <v>7431.87</v>
      </c>
      <c r="E473" s="3">
        <v>7474.19</v>
      </c>
      <c r="F473" s="1">
        <v>5273000</v>
      </c>
    </row>
    <row r="474" spans="1:6">
      <c r="A474" s="2">
        <v>39051</v>
      </c>
      <c r="B474" s="1">
        <v>7527.47</v>
      </c>
      <c r="C474" s="1">
        <v>7567.72</v>
      </c>
      <c r="D474" s="1">
        <v>7500.24</v>
      </c>
      <c r="E474" s="3">
        <v>7567.72</v>
      </c>
      <c r="F474" s="1">
        <v>5726800</v>
      </c>
    </row>
    <row r="475" spans="1:6">
      <c r="A475" s="2">
        <v>39052</v>
      </c>
      <c r="B475" s="1">
        <v>7587.51</v>
      </c>
      <c r="C475" s="1">
        <v>7621.81</v>
      </c>
      <c r="D475" s="1">
        <v>7557.62</v>
      </c>
      <c r="E475" s="3">
        <v>7613.57</v>
      </c>
      <c r="F475" s="1">
        <v>6260800</v>
      </c>
    </row>
    <row r="476" spans="1:6">
      <c r="A476" s="2">
        <v>39055</v>
      </c>
      <c r="B476" s="1">
        <v>7622.09</v>
      </c>
      <c r="C476" s="1">
        <v>7659.84</v>
      </c>
      <c r="D476" s="1">
        <v>7590.92</v>
      </c>
      <c r="E476" s="3">
        <v>7647.01</v>
      </c>
      <c r="F476" s="1">
        <v>6067800</v>
      </c>
    </row>
    <row r="477" spans="1:6">
      <c r="A477" s="2">
        <v>39056</v>
      </c>
      <c r="B477" s="1">
        <v>7700.15</v>
      </c>
      <c r="C477" s="1">
        <v>7703.25</v>
      </c>
      <c r="D477" s="1">
        <v>7575.14</v>
      </c>
      <c r="E477" s="3">
        <v>7609.9</v>
      </c>
      <c r="F477" s="1">
        <v>6159200</v>
      </c>
    </row>
    <row r="478" spans="1:6">
      <c r="A478" s="2">
        <v>39057</v>
      </c>
      <c r="B478" s="1">
        <v>7634.79</v>
      </c>
      <c r="C478" s="1">
        <v>7697.24</v>
      </c>
      <c r="D478" s="1">
        <v>7620.98</v>
      </c>
      <c r="E478" s="3">
        <v>7693.33</v>
      </c>
      <c r="F478" s="1">
        <v>4674400</v>
      </c>
    </row>
    <row r="479" spans="1:6">
      <c r="A479" s="2">
        <v>39058</v>
      </c>
      <c r="B479" s="1">
        <v>7697.12</v>
      </c>
      <c r="C479" s="1">
        <v>7716.85</v>
      </c>
      <c r="D479" s="1">
        <v>7669.22</v>
      </c>
      <c r="E479" s="3">
        <v>7686.52</v>
      </c>
      <c r="F479" s="1">
        <v>5082000</v>
      </c>
    </row>
    <row r="480" spans="1:6">
      <c r="A480" s="2">
        <v>39059</v>
      </c>
      <c r="B480" s="1">
        <v>7658.04</v>
      </c>
      <c r="C480" s="1">
        <v>7658.04</v>
      </c>
      <c r="D480" s="1">
        <v>7601.3</v>
      </c>
      <c r="E480" s="3">
        <v>7636.3</v>
      </c>
      <c r="F480" s="1">
        <v>4391200</v>
      </c>
    </row>
    <row r="481" spans="1:6">
      <c r="A481" s="2">
        <v>39062</v>
      </c>
      <c r="B481" s="1">
        <v>7635.69</v>
      </c>
      <c r="C481" s="1">
        <v>7635.72</v>
      </c>
      <c r="D481" s="1">
        <v>7582.62</v>
      </c>
      <c r="E481" s="3">
        <v>7612.12</v>
      </c>
      <c r="F481" s="1">
        <v>4119800</v>
      </c>
    </row>
    <row r="482" spans="1:6">
      <c r="A482" s="2">
        <v>39063</v>
      </c>
      <c r="B482" s="1">
        <v>7604.75</v>
      </c>
      <c r="C482" s="1">
        <v>7604.75</v>
      </c>
      <c r="D482" s="1">
        <v>7441.01</v>
      </c>
      <c r="E482" s="3">
        <v>7458.56</v>
      </c>
      <c r="F482" s="1">
        <v>5038400</v>
      </c>
    </row>
    <row r="483" spans="1:6">
      <c r="A483" s="2">
        <v>39064</v>
      </c>
      <c r="B483" s="1">
        <v>7480.04</v>
      </c>
      <c r="C483" s="1">
        <v>7494.49</v>
      </c>
      <c r="D483" s="1">
        <v>7369.09</v>
      </c>
      <c r="E483" s="3">
        <v>7450.3</v>
      </c>
      <c r="F483" s="1">
        <v>4593600</v>
      </c>
    </row>
    <row r="484" spans="1:6">
      <c r="A484" s="2">
        <v>39065</v>
      </c>
      <c r="B484" s="1">
        <v>7456.31</v>
      </c>
      <c r="C484" s="1">
        <v>7492.3</v>
      </c>
      <c r="D484" s="1">
        <v>7428.38</v>
      </c>
      <c r="E484" s="3">
        <v>7480.41</v>
      </c>
      <c r="F484" s="1">
        <v>3802600</v>
      </c>
    </row>
    <row r="485" spans="1:6">
      <c r="A485" s="2">
        <v>39066</v>
      </c>
      <c r="B485" s="1">
        <v>7546.81</v>
      </c>
      <c r="C485" s="1">
        <v>7568.02</v>
      </c>
      <c r="D485" s="1">
        <v>7531.48</v>
      </c>
      <c r="E485" s="3">
        <v>7538.82</v>
      </c>
      <c r="F485" s="1">
        <v>4302600</v>
      </c>
    </row>
    <row r="486" spans="1:6">
      <c r="A486" s="2">
        <v>39069</v>
      </c>
      <c r="B486" s="1">
        <v>7568.82</v>
      </c>
      <c r="C486" s="1">
        <v>7648.06</v>
      </c>
      <c r="D486" s="1">
        <v>7561.88</v>
      </c>
      <c r="E486" s="3">
        <v>7624.62</v>
      </c>
      <c r="F486" s="1">
        <v>4289400</v>
      </c>
    </row>
    <row r="487" spans="1:6">
      <c r="A487" s="2">
        <v>39070</v>
      </c>
      <c r="B487" s="1">
        <v>7624.75</v>
      </c>
      <c r="C487" s="1">
        <v>7648.76</v>
      </c>
      <c r="D487" s="1">
        <v>7598.88</v>
      </c>
      <c r="E487" s="3">
        <v>7598.88</v>
      </c>
      <c r="F487" s="1">
        <v>4629400</v>
      </c>
    </row>
    <row r="488" spans="1:6">
      <c r="A488" s="2">
        <v>39071</v>
      </c>
      <c r="B488" s="1">
        <v>7627.94</v>
      </c>
      <c r="C488" s="1">
        <v>7661.94</v>
      </c>
      <c r="D488" s="1">
        <v>7614.71</v>
      </c>
      <c r="E488" s="3">
        <v>7648.35</v>
      </c>
      <c r="F488" s="1">
        <v>4862200</v>
      </c>
    </row>
    <row r="489" spans="1:6">
      <c r="A489" s="2">
        <v>39072</v>
      </c>
      <c r="B489" s="1">
        <v>7655.64</v>
      </c>
      <c r="C489" s="1">
        <v>7685.88</v>
      </c>
      <c r="D489" s="1">
        <v>7614.45</v>
      </c>
      <c r="E489" s="3">
        <v>7620.94</v>
      </c>
      <c r="F489" s="1">
        <v>4726600</v>
      </c>
    </row>
    <row r="490" spans="1:6">
      <c r="A490" s="2">
        <v>39073</v>
      </c>
      <c r="B490" s="1">
        <v>7636.73</v>
      </c>
      <c r="C490" s="1">
        <v>7660.33</v>
      </c>
      <c r="D490" s="1">
        <v>7621.48</v>
      </c>
      <c r="E490" s="3">
        <v>7652.47</v>
      </c>
      <c r="F490" s="1">
        <v>3634800</v>
      </c>
    </row>
    <row r="491" spans="1:6">
      <c r="A491" s="2">
        <v>39076</v>
      </c>
      <c r="B491" s="1">
        <v>7658.05</v>
      </c>
      <c r="C491" s="1">
        <v>7667.44</v>
      </c>
      <c r="D491" s="1">
        <v>7635.16</v>
      </c>
      <c r="E491" s="3">
        <v>7646.81</v>
      </c>
      <c r="F491" s="1">
        <v>3786800</v>
      </c>
    </row>
    <row r="492" spans="1:6">
      <c r="A492" s="2">
        <v>39077</v>
      </c>
      <c r="B492" s="1">
        <v>7668.92</v>
      </c>
      <c r="C492" s="1">
        <v>7749.46</v>
      </c>
      <c r="D492" s="1">
        <v>7668.92</v>
      </c>
      <c r="E492" s="3">
        <v>7727.59</v>
      </c>
      <c r="F492" s="1">
        <v>5094600</v>
      </c>
    </row>
    <row r="493" spans="1:6">
      <c r="A493" s="2">
        <v>39078</v>
      </c>
      <c r="B493" s="1">
        <v>7761.09</v>
      </c>
      <c r="C493" s="1">
        <v>7790.31</v>
      </c>
      <c r="D493" s="1">
        <v>7733.18</v>
      </c>
      <c r="E493" s="3">
        <v>7733.18</v>
      </c>
      <c r="F493" s="1">
        <v>5135000</v>
      </c>
    </row>
    <row r="494" spans="1:6">
      <c r="A494" s="2">
        <v>39079</v>
      </c>
      <c r="B494" s="1">
        <v>7777.86</v>
      </c>
      <c r="C494" s="1">
        <v>7782.42</v>
      </c>
      <c r="D494" s="1">
        <v>7720.29</v>
      </c>
      <c r="E494" s="3">
        <v>7732.93</v>
      </c>
      <c r="F494" s="1">
        <v>4540000</v>
      </c>
    </row>
    <row r="495" spans="1:6">
      <c r="A495" s="2">
        <v>39080</v>
      </c>
      <c r="B495" s="1">
        <v>7747.62</v>
      </c>
      <c r="C495" s="1">
        <v>7823.72</v>
      </c>
      <c r="D495" s="1">
        <v>7747.62</v>
      </c>
      <c r="E495" s="3">
        <v>7823.72</v>
      </c>
      <c r="F495" s="1">
        <v>4915000</v>
      </c>
    </row>
    <row r="496" spans="1:6">
      <c r="A496" s="2">
        <v>39084</v>
      </c>
      <c r="B496" s="1">
        <v>7871.41</v>
      </c>
      <c r="C496" s="1">
        <v>7937.26</v>
      </c>
      <c r="D496" s="1">
        <v>7843.6</v>
      </c>
      <c r="E496" s="3">
        <v>7920.8</v>
      </c>
      <c r="F496" s="1">
        <v>5710600</v>
      </c>
    </row>
    <row r="497" spans="1:6">
      <c r="A497" s="2">
        <v>39085</v>
      </c>
      <c r="B497" s="1">
        <v>7954.96</v>
      </c>
      <c r="C497" s="1">
        <v>7999.42</v>
      </c>
      <c r="D497" s="1">
        <v>7917.3</v>
      </c>
      <c r="E497" s="3">
        <v>7917.3</v>
      </c>
      <c r="F497" s="1">
        <v>5951400</v>
      </c>
    </row>
    <row r="498" spans="1:6">
      <c r="A498" s="2">
        <v>39086</v>
      </c>
      <c r="B498" s="1">
        <v>7929.89</v>
      </c>
      <c r="C498" s="1">
        <v>7955.9</v>
      </c>
      <c r="D498" s="1">
        <v>7901.24</v>
      </c>
      <c r="E498" s="3">
        <v>7934.51</v>
      </c>
      <c r="F498" s="1">
        <v>5717400</v>
      </c>
    </row>
    <row r="499" spans="1:6">
      <c r="A499" s="2">
        <v>39087</v>
      </c>
      <c r="B499" s="1">
        <v>7940.2</v>
      </c>
      <c r="C499" s="1">
        <v>7942.23</v>
      </c>
      <c r="D499" s="1">
        <v>7821.71</v>
      </c>
      <c r="E499" s="3">
        <v>7835.57</v>
      </c>
      <c r="F499" s="1">
        <v>5181400</v>
      </c>
    </row>
    <row r="500" spans="1:6">
      <c r="A500" s="2">
        <v>39090</v>
      </c>
      <c r="B500" s="1">
        <v>7778.57</v>
      </c>
      <c r="C500" s="1">
        <v>7797.57</v>
      </c>
      <c r="D500" s="1">
        <v>7736.11</v>
      </c>
      <c r="E500" s="3">
        <v>7736.71</v>
      </c>
      <c r="F500" s="1">
        <v>4292400</v>
      </c>
    </row>
    <row r="501" spans="1:6">
      <c r="A501" s="2">
        <v>39091</v>
      </c>
      <c r="B501" s="1">
        <v>7778.38</v>
      </c>
      <c r="C501" s="1">
        <v>7827.93</v>
      </c>
      <c r="D501" s="1">
        <v>7778.38</v>
      </c>
      <c r="E501" s="3">
        <v>7790.01</v>
      </c>
      <c r="F501" s="1">
        <v>4516000</v>
      </c>
    </row>
    <row r="502" spans="1:6">
      <c r="A502" s="2">
        <v>39092</v>
      </c>
      <c r="B502" s="1">
        <v>7737.25</v>
      </c>
      <c r="C502" s="1">
        <v>7748.79</v>
      </c>
      <c r="D502" s="1">
        <v>7682.82</v>
      </c>
      <c r="E502" s="3">
        <v>7698.52</v>
      </c>
      <c r="F502" s="1">
        <v>5153200</v>
      </c>
    </row>
    <row r="503" spans="1:6">
      <c r="A503" s="2">
        <v>39093</v>
      </c>
      <c r="B503" s="1">
        <v>7724.1</v>
      </c>
      <c r="C503" s="1">
        <v>7748.96</v>
      </c>
      <c r="D503" s="1">
        <v>7599.55</v>
      </c>
      <c r="E503" s="3">
        <v>7618.55</v>
      </c>
      <c r="F503" s="1">
        <v>5735400</v>
      </c>
    </row>
    <row r="504" spans="1:6">
      <c r="A504" s="2">
        <v>39094</v>
      </c>
      <c r="B504" s="1">
        <v>7713.63</v>
      </c>
      <c r="C504" s="1">
        <v>7769.31</v>
      </c>
      <c r="D504" s="1">
        <v>7704.39</v>
      </c>
      <c r="E504" s="3">
        <v>7761.71</v>
      </c>
      <c r="F504" s="1">
        <v>4478600</v>
      </c>
    </row>
    <row r="505" spans="1:6">
      <c r="A505" s="2">
        <v>39097</v>
      </c>
      <c r="B505" s="1">
        <v>7809.91</v>
      </c>
      <c r="C505" s="1">
        <v>7814.85</v>
      </c>
      <c r="D505" s="1">
        <v>7741.49</v>
      </c>
      <c r="E505" s="3">
        <v>7783.5</v>
      </c>
      <c r="F505" s="1">
        <v>3817600</v>
      </c>
    </row>
    <row r="506" spans="1:6">
      <c r="A506" s="2">
        <v>39098</v>
      </c>
      <c r="B506" s="1">
        <v>7792.77</v>
      </c>
      <c r="C506" s="1">
        <v>7831.2</v>
      </c>
      <c r="D506" s="1">
        <v>7780.65</v>
      </c>
      <c r="E506" s="3">
        <v>7792.08</v>
      </c>
      <c r="F506" s="1">
        <v>3743600</v>
      </c>
    </row>
    <row r="507" spans="1:6">
      <c r="A507" s="2">
        <v>39099</v>
      </c>
      <c r="B507" s="1">
        <v>7757.8</v>
      </c>
      <c r="C507" s="1">
        <v>7841.26</v>
      </c>
      <c r="D507" s="1">
        <v>7747.58</v>
      </c>
      <c r="E507" s="3">
        <v>7833.98</v>
      </c>
      <c r="F507" s="1">
        <v>4016600</v>
      </c>
    </row>
    <row r="508" spans="1:6">
      <c r="A508" s="2">
        <v>39100</v>
      </c>
      <c r="B508" s="1">
        <v>7852.26</v>
      </c>
      <c r="C508" s="1">
        <v>7896.95</v>
      </c>
      <c r="D508" s="1">
        <v>7830.23</v>
      </c>
      <c r="E508" s="3">
        <v>7895.18</v>
      </c>
      <c r="F508" s="1">
        <v>4237200</v>
      </c>
    </row>
    <row r="509" spans="1:6">
      <c r="A509" s="2">
        <v>39101</v>
      </c>
      <c r="B509" s="1">
        <v>7859.47</v>
      </c>
      <c r="C509" s="1">
        <v>7892.61</v>
      </c>
      <c r="D509" s="1">
        <v>7840.08</v>
      </c>
      <c r="E509" s="3">
        <v>7840.08</v>
      </c>
      <c r="F509" s="1">
        <v>4385000</v>
      </c>
    </row>
    <row r="510" spans="1:6">
      <c r="A510" s="2">
        <v>39104</v>
      </c>
      <c r="B510" s="1">
        <v>7866.17</v>
      </c>
      <c r="C510" s="1">
        <v>7871.01</v>
      </c>
      <c r="D510" s="1">
        <v>7784.21</v>
      </c>
      <c r="E510" s="3">
        <v>7842.47</v>
      </c>
      <c r="F510" s="1">
        <v>4297000</v>
      </c>
    </row>
    <row r="511" spans="1:6">
      <c r="A511" s="2">
        <v>39105</v>
      </c>
      <c r="B511" s="1">
        <v>7837.44</v>
      </c>
      <c r="C511" s="1">
        <v>7869.55</v>
      </c>
      <c r="D511" s="1">
        <v>7818.58</v>
      </c>
      <c r="E511" s="3">
        <v>7852.36</v>
      </c>
      <c r="F511" s="1">
        <v>3795400</v>
      </c>
    </row>
    <row r="512" spans="1:6">
      <c r="A512" s="2">
        <v>39106</v>
      </c>
      <c r="B512" s="1">
        <v>7943.24</v>
      </c>
      <c r="C512" s="1">
        <v>7949.48</v>
      </c>
      <c r="D512" s="1">
        <v>7916.39</v>
      </c>
      <c r="E512" s="3">
        <v>7935.54</v>
      </c>
      <c r="F512" s="1">
        <v>4488800</v>
      </c>
    </row>
    <row r="513" spans="1:6">
      <c r="A513" s="2">
        <v>39107</v>
      </c>
      <c r="B513" s="1">
        <v>7982.64</v>
      </c>
      <c r="C513" s="1">
        <v>7990.55</v>
      </c>
      <c r="D513" s="1">
        <v>7917.65</v>
      </c>
      <c r="E513" s="3">
        <v>7923.77</v>
      </c>
      <c r="F513" s="1">
        <v>4337000</v>
      </c>
    </row>
    <row r="514" spans="1:6">
      <c r="A514" s="2">
        <v>39108</v>
      </c>
      <c r="B514" s="1">
        <v>7825.75</v>
      </c>
      <c r="C514" s="1">
        <v>7883.5</v>
      </c>
      <c r="D514" s="1">
        <v>7793.91</v>
      </c>
      <c r="E514" s="3">
        <v>7821.32</v>
      </c>
      <c r="F514" s="1">
        <v>3465200</v>
      </c>
    </row>
    <row r="515" spans="1:6">
      <c r="A515" s="2">
        <v>39111</v>
      </c>
      <c r="B515" s="1">
        <v>7831.57</v>
      </c>
      <c r="C515" s="1">
        <v>7838.92</v>
      </c>
      <c r="D515" s="1">
        <v>7746.37</v>
      </c>
      <c r="E515" s="3">
        <v>7751.79</v>
      </c>
      <c r="F515" s="1">
        <v>3143600</v>
      </c>
    </row>
    <row r="516" spans="1:6">
      <c r="A516" s="2">
        <v>39112</v>
      </c>
      <c r="B516" s="1">
        <v>7763.53</v>
      </c>
      <c r="C516" s="1">
        <v>7778.24</v>
      </c>
      <c r="D516" s="1">
        <v>7725.41</v>
      </c>
      <c r="E516" s="3">
        <v>7739.91</v>
      </c>
      <c r="F516" s="1">
        <v>3010000</v>
      </c>
    </row>
    <row r="517" spans="1:6">
      <c r="A517" s="2">
        <v>39113</v>
      </c>
      <c r="B517" s="1">
        <v>7759.79</v>
      </c>
      <c r="C517" s="1">
        <v>7778.69</v>
      </c>
      <c r="D517" s="1">
        <v>7637.54</v>
      </c>
      <c r="E517" s="3">
        <v>7699.64</v>
      </c>
      <c r="F517" s="1">
        <v>3180000</v>
      </c>
    </row>
    <row r="518" spans="1:6">
      <c r="A518" s="2">
        <v>39114</v>
      </c>
      <c r="B518" s="1">
        <v>7751.3</v>
      </c>
      <c r="C518" s="1">
        <v>7757.63</v>
      </c>
      <c r="D518" s="1">
        <v>7679.78</v>
      </c>
      <c r="E518" s="3">
        <v>7701.54</v>
      </c>
      <c r="F518" s="1">
        <v>2706600</v>
      </c>
    </row>
    <row r="519" spans="1:6">
      <c r="A519" s="2">
        <v>39115</v>
      </c>
      <c r="B519" s="1">
        <v>7754.16</v>
      </c>
      <c r="C519" s="1">
        <v>7801.63</v>
      </c>
      <c r="D519" s="1">
        <v>7751.53</v>
      </c>
      <c r="E519" s="3">
        <v>7777.03</v>
      </c>
      <c r="F519" s="1">
        <v>3134800</v>
      </c>
    </row>
    <row r="520" spans="1:6">
      <c r="A520" s="2">
        <v>39118</v>
      </c>
      <c r="B520" s="1">
        <v>7786.77</v>
      </c>
      <c r="C520" s="1">
        <v>7823.94</v>
      </c>
      <c r="D520" s="1">
        <v>7772.05</v>
      </c>
      <c r="E520" s="3">
        <v>7783.12</v>
      </c>
      <c r="F520" s="1">
        <v>2786200</v>
      </c>
    </row>
    <row r="521" spans="1:6">
      <c r="A521" s="2">
        <v>39119</v>
      </c>
      <c r="B521" s="1">
        <v>7816.3</v>
      </c>
      <c r="C521" s="1">
        <v>7875.75</v>
      </c>
      <c r="D521" s="1">
        <v>7802.94</v>
      </c>
      <c r="E521" s="3">
        <v>7875.75</v>
      </c>
      <c r="F521" s="1">
        <v>3497800</v>
      </c>
    </row>
    <row r="522" spans="1:6">
      <c r="A522" s="2">
        <v>39120</v>
      </c>
      <c r="B522" s="1">
        <v>7894.77</v>
      </c>
      <c r="C522" s="1">
        <v>7894.77</v>
      </c>
      <c r="D522" s="1">
        <v>7850.06</v>
      </c>
      <c r="E522" s="3">
        <v>7850.06</v>
      </c>
      <c r="F522" s="1">
        <v>3214400</v>
      </c>
    </row>
    <row r="523" spans="1:6">
      <c r="A523" s="2">
        <v>39121</v>
      </c>
      <c r="B523" s="1">
        <v>7875.52</v>
      </c>
      <c r="C523" s="1">
        <v>7884.73</v>
      </c>
      <c r="D523" s="1">
        <v>7790.63</v>
      </c>
      <c r="E523" s="3">
        <v>7842.22</v>
      </c>
      <c r="F523" s="1">
        <v>2895200</v>
      </c>
    </row>
    <row r="524" spans="1:6">
      <c r="A524" s="2">
        <v>39122</v>
      </c>
      <c r="B524" s="1">
        <v>7847.18</v>
      </c>
      <c r="C524" s="1">
        <v>7884.55</v>
      </c>
      <c r="D524" s="1">
        <v>7822.53</v>
      </c>
      <c r="E524" s="3">
        <v>7859.53</v>
      </c>
      <c r="F524" s="1">
        <v>3363400</v>
      </c>
    </row>
    <row r="525" spans="1:6">
      <c r="A525" s="2">
        <v>39125</v>
      </c>
      <c r="B525" s="1">
        <v>7826.46</v>
      </c>
      <c r="C525" s="1">
        <v>7826.46</v>
      </c>
      <c r="D525" s="1">
        <v>7764.51</v>
      </c>
      <c r="E525" s="3">
        <v>7776.36</v>
      </c>
      <c r="F525" s="1">
        <v>2787000</v>
      </c>
    </row>
    <row r="526" spans="1:6">
      <c r="A526" s="2">
        <v>39126</v>
      </c>
      <c r="B526" s="1">
        <v>7782.07</v>
      </c>
      <c r="C526" s="1">
        <v>7800.87</v>
      </c>
      <c r="D526" s="1">
        <v>7725.81</v>
      </c>
      <c r="E526" s="3">
        <v>7736.83</v>
      </c>
      <c r="F526" s="1">
        <v>2776200</v>
      </c>
    </row>
    <row r="527" spans="1:6">
      <c r="A527" s="2">
        <v>39127</v>
      </c>
      <c r="B527" s="1">
        <v>7800.98</v>
      </c>
      <c r="C527" s="1">
        <v>7812.18</v>
      </c>
      <c r="D527" s="1">
        <v>7764.31</v>
      </c>
      <c r="E527" s="3">
        <v>7809.45</v>
      </c>
      <c r="F527" s="1">
        <v>3006200</v>
      </c>
    </row>
    <row r="528" spans="1:6">
      <c r="A528" s="2">
        <v>39139</v>
      </c>
      <c r="B528" s="1">
        <v>7939.4</v>
      </c>
      <c r="C528" s="1">
        <v>7950.2</v>
      </c>
      <c r="D528" s="1">
        <v>7899.55</v>
      </c>
      <c r="E528" s="3">
        <v>7900.2</v>
      </c>
      <c r="F528" s="1">
        <v>4170000</v>
      </c>
    </row>
    <row r="529" spans="1:6">
      <c r="A529" s="2">
        <v>39140</v>
      </c>
      <c r="B529" s="1">
        <v>7908.79</v>
      </c>
      <c r="C529" s="1">
        <v>7939.5</v>
      </c>
      <c r="D529" s="1">
        <v>7881.92</v>
      </c>
      <c r="E529" s="3">
        <v>7901.96</v>
      </c>
      <c r="F529" s="1">
        <v>3971200</v>
      </c>
    </row>
    <row r="530" spans="1:6">
      <c r="A530" s="2">
        <v>39142</v>
      </c>
      <c r="B530" s="1">
        <v>7707.63</v>
      </c>
      <c r="C530" s="1">
        <v>7761.4</v>
      </c>
      <c r="D530" s="1">
        <v>7663.17</v>
      </c>
      <c r="E530" s="3">
        <v>7678.67</v>
      </c>
      <c r="F530" s="1">
        <v>4230600</v>
      </c>
    </row>
    <row r="531" spans="1:6">
      <c r="A531" s="2">
        <v>39143</v>
      </c>
      <c r="B531" s="1">
        <v>7653.35</v>
      </c>
      <c r="C531" s="1">
        <v>7695.15</v>
      </c>
      <c r="D531" s="1">
        <v>7625.99</v>
      </c>
      <c r="E531" s="3">
        <v>7670.77</v>
      </c>
      <c r="F531" s="1">
        <v>3742200</v>
      </c>
    </row>
    <row r="532" spans="1:6">
      <c r="A532" s="2">
        <v>39146</v>
      </c>
      <c r="B532" s="1">
        <v>7565.95</v>
      </c>
      <c r="C532" s="1">
        <v>7565.95</v>
      </c>
      <c r="D532" s="1">
        <v>7306.07</v>
      </c>
      <c r="E532" s="3">
        <v>7344.56</v>
      </c>
      <c r="F532" s="1">
        <v>4410800</v>
      </c>
    </row>
    <row r="533" spans="1:6">
      <c r="A533" s="2">
        <v>39147</v>
      </c>
      <c r="B533" s="1">
        <v>7379.08</v>
      </c>
      <c r="C533" s="1">
        <v>7452.84</v>
      </c>
      <c r="D533" s="1">
        <v>7349.98</v>
      </c>
      <c r="E533" s="3">
        <v>7451.06</v>
      </c>
      <c r="F533" s="1">
        <v>3320600</v>
      </c>
    </row>
    <row r="534" spans="1:6">
      <c r="A534" s="2">
        <v>39148</v>
      </c>
      <c r="B534" s="1">
        <v>7516.21</v>
      </c>
      <c r="C534" s="1">
        <v>7519.46</v>
      </c>
      <c r="D534" s="1">
        <v>7449.67</v>
      </c>
      <c r="E534" s="3">
        <v>7480.89</v>
      </c>
      <c r="F534" s="1">
        <v>3883200</v>
      </c>
    </row>
    <row r="535" spans="1:6">
      <c r="A535" s="2">
        <v>39149</v>
      </c>
      <c r="B535" s="1">
        <v>7517.77</v>
      </c>
      <c r="C535" s="1">
        <v>7573.87</v>
      </c>
      <c r="D535" s="1">
        <v>7510.44</v>
      </c>
      <c r="E535" s="3">
        <v>7573.87</v>
      </c>
      <c r="F535" s="1">
        <v>3586200</v>
      </c>
    </row>
    <row r="536" spans="1:6">
      <c r="A536" s="2">
        <v>39150</v>
      </c>
      <c r="B536" s="1">
        <v>7615.81</v>
      </c>
      <c r="C536" s="1">
        <v>7619.35</v>
      </c>
      <c r="D536" s="1">
        <v>7550.83</v>
      </c>
      <c r="E536" s="3">
        <v>7568.2</v>
      </c>
      <c r="F536" s="1">
        <v>3310400</v>
      </c>
    </row>
    <row r="537" spans="1:6">
      <c r="A537" s="2">
        <v>39153</v>
      </c>
      <c r="B537" s="1">
        <v>7611.15</v>
      </c>
      <c r="C537" s="1">
        <v>7640.14</v>
      </c>
      <c r="D537" s="1">
        <v>7590.82</v>
      </c>
      <c r="E537" s="3">
        <v>7629.15</v>
      </c>
      <c r="F537" s="1">
        <v>3009600</v>
      </c>
    </row>
    <row r="538" spans="1:6">
      <c r="A538" s="2">
        <v>39154</v>
      </c>
      <c r="B538" s="1">
        <v>7664.7</v>
      </c>
      <c r="C538" s="1">
        <v>7694.59</v>
      </c>
      <c r="D538" s="1">
        <v>7661.76</v>
      </c>
      <c r="E538" s="3">
        <v>7684</v>
      </c>
      <c r="F538" s="1">
        <v>3403200</v>
      </c>
    </row>
    <row r="539" spans="1:6">
      <c r="A539" s="2">
        <v>39155</v>
      </c>
      <c r="B539" s="1">
        <v>7552.73</v>
      </c>
      <c r="C539" s="1">
        <v>7575.52</v>
      </c>
      <c r="D539" s="1">
        <v>7526.48</v>
      </c>
      <c r="E539" s="3">
        <v>7570.27</v>
      </c>
      <c r="F539" s="1">
        <v>3609400</v>
      </c>
    </row>
    <row r="540" spans="1:6">
      <c r="A540" s="2">
        <v>39156</v>
      </c>
      <c r="B540" s="1">
        <v>7631.67</v>
      </c>
      <c r="C540" s="1">
        <v>7708.98</v>
      </c>
      <c r="D540" s="1">
        <v>7631.67</v>
      </c>
      <c r="E540" s="3">
        <v>7695.96</v>
      </c>
      <c r="F540" s="1">
        <v>4206400</v>
      </c>
    </row>
    <row r="541" spans="1:6">
      <c r="A541" s="2">
        <v>39157</v>
      </c>
      <c r="B541" s="1">
        <v>7707.15</v>
      </c>
      <c r="C541" s="1">
        <v>7743.37</v>
      </c>
      <c r="D541" s="1">
        <v>7676.39</v>
      </c>
      <c r="E541" s="3">
        <v>7719.8</v>
      </c>
      <c r="F541" s="1">
        <v>4291000</v>
      </c>
    </row>
    <row r="542" spans="1:6">
      <c r="A542" s="2">
        <v>39160</v>
      </c>
      <c r="B542" s="1">
        <v>7739.56</v>
      </c>
      <c r="C542" s="1">
        <v>7759.66</v>
      </c>
      <c r="D542" s="1">
        <v>7713.78</v>
      </c>
      <c r="E542" s="3">
        <v>7737.46</v>
      </c>
      <c r="F542" s="1">
        <v>3562800</v>
      </c>
    </row>
    <row r="543" spans="1:6">
      <c r="A543" s="2">
        <v>39161</v>
      </c>
      <c r="B543" s="1">
        <v>7784.27</v>
      </c>
      <c r="C543" s="1">
        <v>7798.27</v>
      </c>
      <c r="D543" s="1">
        <v>7736.2</v>
      </c>
      <c r="E543" s="3">
        <v>7736.2</v>
      </c>
      <c r="F543" s="1">
        <v>3932400</v>
      </c>
    </row>
    <row r="544" spans="1:6">
      <c r="A544" s="2">
        <v>39162</v>
      </c>
      <c r="B544" s="1">
        <v>7780.3</v>
      </c>
      <c r="C544" s="1">
        <v>7784.19</v>
      </c>
      <c r="D544" s="1">
        <v>7746.35</v>
      </c>
      <c r="E544" s="3">
        <v>7757.03</v>
      </c>
      <c r="F544" s="1">
        <v>3279800</v>
      </c>
    </row>
    <row r="545" spans="1:6">
      <c r="A545" s="2">
        <v>39163</v>
      </c>
      <c r="B545" s="1">
        <v>7843.64</v>
      </c>
      <c r="C545" s="1">
        <v>7856.99</v>
      </c>
      <c r="D545" s="1">
        <v>7822.63</v>
      </c>
      <c r="E545" s="3">
        <v>7823.67</v>
      </c>
      <c r="F545" s="1">
        <v>3989400</v>
      </c>
    </row>
    <row r="546" spans="1:6">
      <c r="A546" s="2">
        <v>39164</v>
      </c>
      <c r="B546" s="1">
        <v>7834.62</v>
      </c>
      <c r="C546" s="1">
        <v>7879.09</v>
      </c>
      <c r="D546" s="1">
        <v>7806.89</v>
      </c>
      <c r="E546" s="3">
        <v>7859.32</v>
      </c>
      <c r="F546" s="1">
        <v>3837000</v>
      </c>
    </row>
    <row r="547" spans="1:6">
      <c r="A547" s="2">
        <v>39167</v>
      </c>
      <c r="B547" s="1">
        <v>7878.59</v>
      </c>
      <c r="C547" s="1">
        <v>7887.33</v>
      </c>
      <c r="D547" s="1">
        <v>7853.15</v>
      </c>
      <c r="E547" s="3">
        <v>7877.82</v>
      </c>
      <c r="F547" s="1">
        <v>3623800</v>
      </c>
    </row>
    <row r="548" spans="1:6">
      <c r="A548" s="2">
        <v>39168</v>
      </c>
      <c r="B548" s="1">
        <v>7876.76</v>
      </c>
      <c r="C548" s="1">
        <v>7928.03</v>
      </c>
      <c r="D548" s="1">
        <v>7839.22</v>
      </c>
      <c r="E548" s="3">
        <v>7845.17</v>
      </c>
      <c r="F548" s="1">
        <v>4038400</v>
      </c>
    </row>
    <row r="549" spans="1:6">
      <c r="A549" s="2">
        <v>39169</v>
      </c>
      <c r="B549" s="1">
        <v>7832.62</v>
      </c>
      <c r="C549" s="1">
        <v>7841.4</v>
      </c>
      <c r="D549" s="1">
        <v>7769.3</v>
      </c>
      <c r="E549" s="3">
        <v>7788.14</v>
      </c>
      <c r="F549" s="1">
        <v>3720800</v>
      </c>
    </row>
    <row r="550" spans="1:6">
      <c r="A550" s="2">
        <v>39170</v>
      </c>
      <c r="B550" s="1">
        <v>7765.07</v>
      </c>
      <c r="C550" s="1">
        <v>7863.63</v>
      </c>
      <c r="D550" s="1">
        <v>7764.05</v>
      </c>
      <c r="E550" s="3">
        <v>7848.33</v>
      </c>
      <c r="F550" s="1">
        <v>4128600</v>
      </c>
    </row>
    <row r="551" spans="1:6">
      <c r="A551" s="2">
        <v>39171</v>
      </c>
      <c r="B551" s="1">
        <v>7877.75</v>
      </c>
      <c r="C551" s="1">
        <v>7888.82</v>
      </c>
      <c r="D551" s="1">
        <v>7839.91</v>
      </c>
      <c r="E551" s="3">
        <v>7884.41</v>
      </c>
      <c r="F551" s="1">
        <v>4225600</v>
      </c>
    </row>
    <row r="552" spans="1:6">
      <c r="A552" s="2">
        <v>39174</v>
      </c>
      <c r="B552" s="1">
        <v>7888.17</v>
      </c>
      <c r="C552" s="1">
        <v>7931.99</v>
      </c>
      <c r="D552" s="1">
        <v>7866.59</v>
      </c>
      <c r="E552" s="3">
        <v>7884.99</v>
      </c>
      <c r="F552" s="1">
        <v>4390000</v>
      </c>
    </row>
    <row r="553" spans="1:6">
      <c r="A553" s="2">
        <v>39175</v>
      </c>
      <c r="B553" s="1">
        <v>7894.87</v>
      </c>
      <c r="C553" s="1">
        <v>7932.91</v>
      </c>
      <c r="D553" s="1">
        <v>7879.88</v>
      </c>
      <c r="E553" s="3">
        <v>7932.91</v>
      </c>
      <c r="F553" s="1">
        <v>4498600</v>
      </c>
    </row>
    <row r="554" spans="1:6">
      <c r="A554" s="2">
        <v>39176</v>
      </c>
      <c r="B554" s="1">
        <v>7989.65</v>
      </c>
      <c r="C554" s="1">
        <v>8021.59</v>
      </c>
      <c r="D554" s="1">
        <v>7970.46</v>
      </c>
      <c r="E554" s="3">
        <v>8004.61</v>
      </c>
      <c r="F554" s="1">
        <v>4993200</v>
      </c>
    </row>
    <row r="555" spans="1:6">
      <c r="A555" s="2">
        <v>39181</v>
      </c>
      <c r="B555" s="1">
        <v>8048.34</v>
      </c>
      <c r="C555" s="1">
        <v>8066.77</v>
      </c>
      <c r="D555" s="1">
        <v>8026.33</v>
      </c>
      <c r="E555" s="3">
        <v>8056.56</v>
      </c>
      <c r="F555" s="1">
        <v>4772200</v>
      </c>
    </row>
    <row r="556" spans="1:6">
      <c r="A556" s="2">
        <v>39182</v>
      </c>
      <c r="B556" s="1">
        <v>8064.54</v>
      </c>
      <c r="C556" s="1">
        <v>8064.54</v>
      </c>
      <c r="D556" s="1">
        <v>8002.49</v>
      </c>
      <c r="E556" s="3">
        <v>8048.39</v>
      </c>
      <c r="F556" s="1">
        <v>4616600</v>
      </c>
    </row>
    <row r="557" spans="1:6">
      <c r="A557" s="2">
        <v>39183</v>
      </c>
      <c r="B557" s="1">
        <v>8073.67</v>
      </c>
      <c r="C557" s="1">
        <v>8105.82</v>
      </c>
      <c r="D557" s="1">
        <v>8055.67</v>
      </c>
      <c r="E557" s="3">
        <v>8084.45</v>
      </c>
      <c r="F557" s="1">
        <v>4297800</v>
      </c>
    </row>
    <row r="558" spans="1:6">
      <c r="A558" s="2">
        <v>39184</v>
      </c>
      <c r="B558" s="1">
        <v>8043.78</v>
      </c>
      <c r="C558" s="1">
        <v>8090.94</v>
      </c>
      <c r="D558" s="1">
        <v>8039.13</v>
      </c>
      <c r="E558" s="3">
        <v>8075.2</v>
      </c>
      <c r="F558" s="1">
        <v>4192200</v>
      </c>
    </row>
    <row r="559" spans="1:6">
      <c r="A559" s="2">
        <v>39185</v>
      </c>
      <c r="B559" s="1">
        <v>8100.08</v>
      </c>
      <c r="C559" s="1">
        <v>8108.5</v>
      </c>
      <c r="D559" s="1">
        <v>7999.69</v>
      </c>
      <c r="E559" s="3">
        <v>8002.3</v>
      </c>
      <c r="F559" s="1">
        <v>4552400</v>
      </c>
    </row>
    <row r="560" spans="1:6">
      <c r="A560" s="2">
        <v>39188</v>
      </c>
      <c r="B560" s="1">
        <v>8088.83</v>
      </c>
      <c r="C560" s="1">
        <v>8096.84</v>
      </c>
      <c r="D560" s="1">
        <v>8030.5</v>
      </c>
      <c r="E560" s="3">
        <v>8043.54</v>
      </c>
      <c r="F560" s="1">
        <v>4500200</v>
      </c>
    </row>
    <row r="561" spans="1:6">
      <c r="A561" s="2">
        <v>39189</v>
      </c>
      <c r="B561" s="1">
        <v>8100.61</v>
      </c>
      <c r="C561" s="1">
        <v>8100.61</v>
      </c>
      <c r="D561" s="1">
        <v>7952.18</v>
      </c>
      <c r="E561" s="3">
        <v>7959.29</v>
      </c>
      <c r="F561" s="1">
        <v>5567400</v>
      </c>
    </row>
    <row r="562" spans="1:6">
      <c r="A562" s="2">
        <v>39190</v>
      </c>
      <c r="B562" s="1">
        <v>7981.36</v>
      </c>
      <c r="C562" s="1">
        <v>8003.31</v>
      </c>
      <c r="D562" s="1">
        <v>7946.35</v>
      </c>
      <c r="E562" s="3">
        <v>8003.31</v>
      </c>
      <c r="F562" s="1">
        <v>3931400</v>
      </c>
    </row>
    <row r="563" spans="1:6">
      <c r="A563" s="2">
        <v>39191</v>
      </c>
      <c r="B563" s="1">
        <v>7978.59</v>
      </c>
      <c r="C563" s="1">
        <v>7991.69</v>
      </c>
      <c r="D563" s="1">
        <v>7883.92</v>
      </c>
      <c r="E563" s="3">
        <v>7888.63</v>
      </c>
      <c r="F563" s="1">
        <v>4428800</v>
      </c>
    </row>
    <row r="564" spans="1:6">
      <c r="A564" s="2">
        <v>39192</v>
      </c>
      <c r="B564" s="1">
        <v>7915.91</v>
      </c>
      <c r="C564" s="1">
        <v>7945.7</v>
      </c>
      <c r="D564" s="1">
        <v>7912.49</v>
      </c>
      <c r="E564" s="3">
        <v>7942.67</v>
      </c>
      <c r="F564" s="1">
        <v>3683600</v>
      </c>
    </row>
    <row r="565" spans="1:6">
      <c r="A565" s="2">
        <v>39195</v>
      </c>
      <c r="B565" s="1">
        <v>8009.55</v>
      </c>
      <c r="C565" s="1">
        <v>8062.7</v>
      </c>
      <c r="D565" s="1">
        <v>8006.42</v>
      </c>
      <c r="E565" s="3">
        <v>8010.46</v>
      </c>
      <c r="F565" s="1">
        <v>4000600</v>
      </c>
    </row>
    <row r="566" spans="1:6">
      <c r="A566" s="2">
        <v>39196</v>
      </c>
      <c r="B566" s="1">
        <v>8011.81</v>
      </c>
      <c r="C566" s="1">
        <v>8051.67</v>
      </c>
      <c r="D566" s="1">
        <v>7998.22</v>
      </c>
      <c r="E566" s="3">
        <v>8045.01</v>
      </c>
      <c r="F566" s="1">
        <v>4030600</v>
      </c>
    </row>
    <row r="567" spans="1:6">
      <c r="A567" s="2">
        <v>39197</v>
      </c>
      <c r="B567" s="1">
        <v>8035.74</v>
      </c>
      <c r="C567" s="1">
        <v>8041.27</v>
      </c>
      <c r="D567" s="1">
        <v>7984.65</v>
      </c>
      <c r="E567" s="3">
        <v>7984.65</v>
      </c>
      <c r="F567" s="1">
        <v>3929400</v>
      </c>
    </row>
    <row r="568" spans="1:6">
      <c r="A568" s="2">
        <v>39198</v>
      </c>
      <c r="B568" s="1">
        <v>8046.72</v>
      </c>
      <c r="C568" s="1">
        <v>8052.55</v>
      </c>
      <c r="D568" s="1">
        <v>8000.04</v>
      </c>
      <c r="E568" s="3">
        <v>8000.04</v>
      </c>
      <c r="F568" s="1">
        <v>3566400</v>
      </c>
    </row>
    <row r="569" spans="1:6">
      <c r="A569" s="2">
        <v>39199</v>
      </c>
      <c r="B569" s="1">
        <v>8019.49</v>
      </c>
      <c r="C569" s="1">
        <v>8026.51</v>
      </c>
      <c r="D569" s="1">
        <v>7949.42</v>
      </c>
      <c r="E569" s="3">
        <v>7949.42</v>
      </c>
      <c r="F569" s="1">
        <v>3479200</v>
      </c>
    </row>
    <row r="570" spans="1:6">
      <c r="A570" s="2">
        <v>39202</v>
      </c>
      <c r="B570" s="1">
        <v>7956.03</v>
      </c>
      <c r="C570" s="1">
        <v>7956.03</v>
      </c>
      <c r="D570" s="1">
        <v>7843.05</v>
      </c>
      <c r="E570" s="3">
        <v>7875.42</v>
      </c>
      <c r="F570" s="1">
        <v>3466400</v>
      </c>
    </row>
    <row r="571" spans="1:6">
      <c r="A571" s="2">
        <v>39204</v>
      </c>
      <c r="B571" s="1">
        <v>7900.76</v>
      </c>
      <c r="C571" s="1">
        <v>7951.69</v>
      </c>
      <c r="D571" s="1">
        <v>7890.54</v>
      </c>
      <c r="E571" s="3">
        <v>7903.04</v>
      </c>
      <c r="F571" s="1">
        <v>3193200</v>
      </c>
    </row>
    <row r="572" spans="1:6">
      <c r="A572" s="2">
        <v>39205</v>
      </c>
      <c r="B572" s="1">
        <v>7954.16</v>
      </c>
      <c r="C572" s="1">
        <v>7965.93</v>
      </c>
      <c r="D572" s="1">
        <v>7861.43</v>
      </c>
      <c r="E572" s="3">
        <v>7926.66</v>
      </c>
      <c r="F572" s="1">
        <v>4287600</v>
      </c>
    </row>
    <row r="573" spans="1:6">
      <c r="A573" s="2">
        <v>39206</v>
      </c>
      <c r="B573" s="1">
        <v>7990.97</v>
      </c>
      <c r="C573" s="1">
        <v>8066.06</v>
      </c>
      <c r="D573" s="1">
        <v>7990.97</v>
      </c>
      <c r="E573" s="3">
        <v>8066.06</v>
      </c>
      <c r="F573" s="1">
        <v>3767600</v>
      </c>
    </row>
    <row r="574" spans="1:6">
      <c r="A574" s="2">
        <v>39209</v>
      </c>
      <c r="B574" s="1">
        <v>8122.2</v>
      </c>
      <c r="C574" s="1">
        <v>8132.8</v>
      </c>
      <c r="D574" s="1">
        <v>8095.04</v>
      </c>
      <c r="E574" s="3">
        <v>8115.27</v>
      </c>
      <c r="F574" s="1">
        <v>3750000</v>
      </c>
    </row>
    <row r="575" spans="1:6">
      <c r="A575" s="2">
        <v>39210</v>
      </c>
      <c r="B575" s="1">
        <v>8111.51</v>
      </c>
      <c r="C575" s="1">
        <v>8113.31</v>
      </c>
      <c r="D575" s="1">
        <v>8083.18</v>
      </c>
      <c r="E575" s="3">
        <v>8095.84</v>
      </c>
      <c r="F575" s="1">
        <v>2965800</v>
      </c>
    </row>
    <row r="576" spans="1:6">
      <c r="A576" s="2">
        <v>39211</v>
      </c>
      <c r="B576" s="1">
        <v>8092.1</v>
      </c>
      <c r="C576" s="1">
        <v>8093.51</v>
      </c>
      <c r="D576" s="1">
        <v>8043.46</v>
      </c>
      <c r="E576" s="3">
        <v>8052.7</v>
      </c>
      <c r="F576" s="1">
        <v>2886200</v>
      </c>
    </row>
    <row r="577" spans="1:6">
      <c r="A577" s="2">
        <v>39212</v>
      </c>
      <c r="B577" s="1">
        <v>8094.72</v>
      </c>
      <c r="C577" s="1">
        <v>8105.09</v>
      </c>
      <c r="D577" s="1">
        <v>8071.5</v>
      </c>
      <c r="E577" s="3">
        <v>8096.86</v>
      </c>
      <c r="F577" s="1">
        <v>3357000</v>
      </c>
    </row>
    <row r="578" spans="1:6">
      <c r="A578" s="2">
        <v>39213</v>
      </c>
      <c r="B578" s="1">
        <v>8026.36</v>
      </c>
      <c r="C578" s="1">
        <v>8049.5</v>
      </c>
      <c r="D578" s="1">
        <v>8018.64</v>
      </c>
      <c r="E578" s="3">
        <v>8031.54</v>
      </c>
      <c r="F578" s="1">
        <v>2934200</v>
      </c>
    </row>
    <row r="579" spans="1:6">
      <c r="A579" s="2">
        <v>39216</v>
      </c>
      <c r="B579" s="1">
        <v>8072.15</v>
      </c>
      <c r="C579" s="1">
        <v>8072.15</v>
      </c>
      <c r="D579" s="1">
        <v>8013.83</v>
      </c>
      <c r="E579" s="3">
        <v>8030.56</v>
      </c>
      <c r="F579" s="1">
        <v>2857600</v>
      </c>
    </row>
    <row r="580" spans="1:6">
      <c r="A580" s="2">
        <v>39217</v>
      </c>
      <c r="B580" s="1">
        <v>8022.58</v>
      </c>
      <c r="C580" s="1">
        <v>8041.55</v>
      </c>
      <c r="D580" s="1">
        <v>7968.92</v>
      </c>
      <c r="E580" s="3">
        <v>7975.03</v>
      </c>
      <c r="F580" s="1">
        <v>2612000</v>
      </c>
    </row>
    <row r="581" spans="1:6">
      <c r="A581" s="2">
        <v>39218</v>
      </c>
      <c r="B581" s="1">
        <v>7988.97</v>
      </c>
      <c r="C581" s="1">
        <v>8014.88</v>
      </c>
      <c r="D581" s="1">
        <v>7978.25</v>
      </c>
      <c r="E581" s="3">
        <v>7988.57</v>
      </c>
      <c r="F581" s="1">
        <v>2492000</v>
      </c>
    </row>
    <row r="582" spans="1:6">
      <c r="A582" s="2">
        <v>39219</v>
      </c>
      <c r="B582" s="1">
        <v>8029.6</v>
      </c>
      <c r="C582" s="1">
        <v>8080.63</v>
      </c>
      <c r="D582" s="1">
        <v>8029.6</v>
      </c>
      <c r="E582" s="3">
        <v>8037.96</v>
      </c>
      <c r="F582" s="1">
        <v>3142400</v>
      </c>
    </row>
    <row r="583" spans="1:6">
      <c r="A583" s="2">
        <v>39220</v>
      </c>
      <c r="B583" s="1">
        <v>8066.01</v>
      </c>
      <c r="C583" s="1">
        <v>8075.21</v>
      </c>
      <c r="D583" s="1">
        <v>8013.89</v>
      </c>
      <c r="E583" s="3">
        <v>8034.14</v>
      </c>
      <c r="F583" s="1">
        <v>2836000</v>
      </c>
    </row>
    <row r="584" spans="1:6">
      <c r="A584" s="2">
        <v>39223</v>
      </c>
      <c r="B584" s="1">
        <v>8067.23</v>
      </c>
      <c r="C584" s="1">
        <v>8159.26</v>
      </c>
      <c r="D584" s="1">
        <v>8043.9</v>
      </c>
      <c r="E584" s="3">
        <v>8141.59</v>
      </c>
      <c r="F584" s="1">
        <v>3614200</v>
      </c>
    </row>
    <row r="585" spans="1:6">
      <c r="A585" s="2">
        <v>39224</v>
      </c>
      <c r="B585" s="1">
        <v>8158.99</v>
      </c>
      <c r="C585" s="1">
        <v>8205.89</v>
      </c>
      <c r="D585" s="1">
        <v>8158.29</v>
      </c>
      <c r="E585" s="3">
        <v>8188.63</v>
      </c>
      <c r="F585" s="1">
        <v>4077400</v>
      </c>
    </row>
    <row r="586" spans="1:6">
      <c r="A586" s="2">
        <v>39225</v>
      </c>
      <c r="B586" s="1">
        <v>8232.5300000000007</v>
      </c>
      <c r="C586" s="1">
        <v>8256.25</v>
      </c>
      <c r="D586" s="1">
        <v>8214.58</v>
      </c>
      <c r="E586" s="3">
        <v>8221.7900000000009</v>
      </c>
      <c r="F586" s="1">
        <v>3983000</v>
      </c>
    </row>
    <row r="587" spans="1:6">
      <c r="A587" s="2">
        <v>39226</v>
      </c>
      <c r="B587" s="1">
        <v>8231.65</v>
      </c>
      <c r="C587" s="1">
        <v>8249.48</v>
      </c>
      <c r="D587" s="1">
        <v>8207.9599999999991</v>
      </c>
      <c r="E587" s="3">
        <v>8216.41</v>
      </c>
      <c r="F587" s="1">
        <v>3395800</v>
      </c>
    </row>
    <row r="588" spans="1:6">
      <c r="A588" s="2">
        <v>39227</v>
      </c>
      <c r="B588" s="1">
        <v>8170.58</v>
      </c>
      <c r="C588" s="1">
        <v>8170.58</v>
      </c>
      <c r="D588" s="1">
        <v>8130.17</v>
      </c>
      <c r="E588" s="3">
        <v>8159.97</v>
      </c>
      <c r="F588" s="1">
        <v>3235600</v>
      </c>
    </row>
    <row r="589" spans="1:6">
      <c r="A589" s="2">
        <v>39230</v>
      </c>
      <c r="B589" s="1">
        <v>8194.83</v>
      </c>
      <c r="C589" s="1">
        <v>8201.65</v>
      </c>
      <c r="D589" s="1">
        <v>8154.22</v>
      </c>
      <c r="E589" s="3">
        <v>8156.82</v>
      </c>
      <c r="F589" s="1">
        <v>2887600</v>
      </c>
    </row>
    <row r="590" spans="1:6">
      <c r="A590" s="2">
        <v>39231</v>
      </c>
      <c r="B590" s="1">
        <v>8178.7</v>
      </c>
      <c r="C590" s="1">
        <v>8229.44</v>
      </c>
      <c r="D590" s="1">
        <v>8166.46</v>
      </c>
      <c r="E590" s="3">
        <v>8181.49</v>
      </c>
      <c r="F590" s="1">
        <v>3047000</v>
      </c>
    </row>
    <row r="591" spans="1:6">
      <c r="A591" s="2">
        <v>39232</v>
      </c>
      <c r="B591" s="1">
        <v>8163.81</v>
      </c>
      <c r="C591" s="1">
        <v>8177.76</v>
      </c>
      <c r="D591" s="1">
        <v>8110.28</v>
      </c>
      <c r="E591" s="3">
        <v>8147.34</v>
      </c>
      <c r="F591" s="1">
        <v>3248600</v>
      </c>
    </row>
    <row r="592" spans="1:6">
      <c r="A592" s="2">
        <v>39233</v>
      </c>
      <c r="B592" s="1">
        <v>8204.7199999999993</v>
      </c>
      <c r="C592" s="1">
        <v>8220.81</v>
      </c>
      <c r="D592" s="1">
        <v>8144.95</v>
      </c>
      <c r="E592" s="3">
        <v>8144.95</v>
      </c>
      <c r="F592" s="1">
        <v>4230600</v>
      </c>
    </row>
    <row r="593" spans="1:6">
      <c r="A593" s="2">
        <v>39234</v>
      </c>
      <c r="B593" s="1">
        <v>8236.76</v>
      </c>
      <c r="C593" s="1">
        <v>8261.67</v>
      </c>
      <c r="D593" s="1">
        <v>8224.2800000000007</v>
      </c>
      <c r="E593" s="3">
        <v>8249.9</v>
      </c>
      <c r="F593" s="1">
        <v>4198400</v>
      </c>
    </row>
    <row r="594" spans="1:6">
      <c r="A594" s="2">
        <v>39237</v>
      </c>
      <c r="B594" s="1">
        <v>8310.09</v>
      </c>
      <c r="C594" s="1">
        <v>8317.6</v>
      </c>
      <c r="D594" s="1">
        <v>8282.7900000000009</v>
      </c>
      <c r="E594" s="3">
        <v>8294.7900000000009</v>
      </c>
      <c r="F594" s="1">
        <v>4053200</v>
      </c>
    </row>
    <row r="595" spans="1:6">
      <c r="A595" s="2">
        <v>39238</v>
      </c>
      <c r="B595" s="1">
        <v>8321.42</v>
      </c>
      <c r="C595" s="1">
        <v>8321.42</v>
      </c>
      <c r="D595" s="1">
        <v>8267.59</v>
      </c>
      <c r="E595" s="3">
        <v>8303.99</v>
      </c>
      <c r="F595" s="1">
        <v>4299400</v>
      </c>
    </row>
    <row r="596" spans="1:6">
      <c r="A596" s="2">
        <v>39239</v>
      </c>
      <c r="B596" s="1">
        <v>8330.7199999999993</v>
      </c>
      <c r="C596" s="1">
        <v>8376.9699999999993</v>
      </c>
      <c r="D596" s="1">
        <v>8313.59</v>
      </c>
      <c r="E596" s="3">
        <v>8314.68</v>
      </c>
      <c r="F596" s="1">
        <v>4775800</v>
      </c>
    </row>
    <row r="597" spans="1:6">
      <c r="A597" s="2">
        <v>39240</v>
      </c>
      <c r="B597" s="1">
        <v>8298.9699999999993</v>
      </c>
      <c r="C597" s="1">
        <v>8368.56</v>
      </c>
      <c r="D597" s="1">
        <v>8263.61</v>
      </c>
      <c r="E597" s="3">
        <v>8355.26</v>
      </c>
      <c r="F597" s="1">
        <v>3844000</v>
      </c>
    </row>
    <row r="598" spans="1:6">
      <c r="A598" s="2">
        <v>39241</v>
      </c>
      <c r="B598" s="1">
        <v>8288.26</v>
      </c>
      <c r="C598" s="1">
        <v>8308.4500000000007</v>
      </c>
      <c r="D598" s="1">
        <v>8279.9599999999991</v>
      </c>
      <c r="E598" s="3">
        <v>8300.7099999999991</v>
      </c>
      <c r="F598" s="1">
        <v>4241600</v>
      </c>
    </row>
    <row r="599" spans="1:6">
      <c r="A599" s="2">
        <v>39244</v>
      </c>
      <c r="B599" s="1">
        <v>8351.0300000000007</v>
      </c>
      <c r="C599" s="1">
        <v>8359.75</v>
      </c>
      <c r="D599" s="1">
        <v>8328.61</v>
      </c>
      <c r="E599" s="3">
        <v>8338.8799999999992</v>
      </c>
      <c r="F599" s="1">
        <v>4133600</v>
      </c>
    </row>
    <row r="600" spans="1:6">
      <c r="A600" s="2">
        <v>39245</v>
      </c>
      <c r="B600" s="1">
        <v>8371.7000000000007</v>
      </c>
      <c r="C600" s="1">
        <v>8396.2199999999993</v>
      </c>
      <c r="D600" s="1">
        <v>8345.01</v>
      </c>
      <c r="E600" s="3">
        <v>8370.26</v>
      </c>
      <c r="F600" s="1">
        <v>4774400</v>
      </c>
    </row>
    <row r="601" spans="1:6">
      <c r="A601" s="2">
        <v>39246</v>
      </c>
      <c r="B601" s="1">
        <v>8388.49</v>
      </c>
      <c r="C601" s="1">
        <v>8388.49</v>
      </c>
      <c r="D601" s="1">
        <v>8336.5300000000007</v>
      </c>
      <c r="E601" s="3">
        <v>8346.39</v>
      </c>
      <c r="F601" s="1">
        <v>4398600</v>
      </c>
    </row>
    <row r="602" spans="1:6">
      <c r="A602" s="2">
        <v>39247</v>
      </c>
      <c r="B602" s="1">
        <v>8421.2099999999991</v>
      </c>
      <c r="C602" s="1">
        <v>8476.1299999999992</v>
      </c>
      <c r="D602" s="1">
        <v>8409</v>
      </c>
      <c r="E602" s="3">
        <v>8450.7199999999993</v>
      </c>
      <c r="F602" s="1">
        <v>4853400</v>
      </c>
    </row>
    <row r="603" spans="1:6">
      <c r="A603" s="2">
        <v>39248</v>
      </c>
      <c r="B603" s="1">
        <v>8519.3799999999992</v>
      </c>
      <c r="C603" s="1">
        <v>8578.33</v>
      </c>
      <c r="D603" s="1">
        <v>8511.07</v>
      </c>
      <c r="E603" s="3">
        <v>8573.64</v>
      </c>
      <c r="F603" s="1">
        <v>5280000</v>
      </c>
    </row>
    <row r="604" spans="1:6">
      <c r="A604" s="2">
        <v>39253</v>
      </c>
      <c r="B604" s="1">
        <v>8651.26</v>
      </c>
      <c r="C604" s="1">
        <v>8761.8799999999992</v>
      </c>
      <c r="D604" s="1">
        <v>8636.4699999999993</v>
      </c>
      <c r="E604" s="3">
        <v>8755.8799999999992</v>
      </c>
      <c r="F604" s="1">
        <v>6320400</v>
      </c>
    </row>
    <row r="605" spans="1:6">
      <c r="A605" s="2">
        <v>39254</v>
      </c>
      <c r="B605" s="1">
        <v>8789.09</v>
      </c>
      <c r="C605" s="1">
        <v>8871.7199999999993</v>
      </c>
      <c r="D605" s="1">
        <v>8722.15</v>
      </c>
      <c r="E605" s="3">
        <v>8851.99</v>
      </c>
      <c r="F605" s="1">
        <v>5581200</v>
      </c>
    </row>
    <row r="606" spans="1:6">
      <c r="A606" s="2">
        <v>39255</v>
      </c>
      <c r="B606" s="1">
        <v>8879.99</v>
      </c>
      <c r="C606" s="1">
        <v>8884.0300000000007</v>
      </c>
      <c r="D606" s="1">
        <v>8799.2900000000009</v>
      </c>
      <c r="E606" s="3">
        <v>8846.39</v>
      </c>
      <c r="F606" s="1">
        <v>5979200</v>
      </c>
    </row>
    <row r="607" spans="1:6">
      <c r="A607" s="2">
        <v>39258</v>
      </c>
      <c r="B607" s="1">
        <v>8882.2999999999993</v>
      </c>
      <c r="C607" s="1">
        <v>8985.93</v>
      </c>
      <c r="D607" s="1">
        <v>8882.2999999999993</v>
      </c>
      <c r="E607" s="3">
        <v>8939.19</v>
      </c>
      <c r="F607" s="1">
        <v>6503800</v>
      </c>
    </row>
    <row r="608" spans="1:6">
      <c r="A608" s="2">
        <v>39259</v>
      </c>
      <c r="B608" s="1">
        <v>8965.82</v>
      </c>
      <c r="C608" s="1">
        <v>8983.9599999999991</v>
      </c>
      <c r="D608" s="1">
        <v>8856.2900000000009</v>
      </c>
      <c r="E608" s="3">
        <v>8865.75</v>
      </c>
      <c r="F608" s="1">
        <v>5709600</v>
      </c>
    </row>
    <row r="609" spans="1:6">
      <c r="A609" s="2">
        <v>39260</v>
      </c>
      <c r="B609" s="1">
        <v>8862.2900000000009</v>
      </c>
      <c r="C609" s="1">
        <v>8887.8799999999992</v>
      </c>
      <c r="D609" s="1">
        <v>8820.68</v>
      </c>
      <c r="E609" s="3">
        <v>8844.2199999999993</v>
      </c>
      <c r="F609" s="1">
        <v>5225800</v>
      </c>
    </row>
    <row r="610" spans="1:6">
      <c r="A610" s="2">
        <v>39261</v>
      </c>
      <c r="B610" s="1">
        <v>8914.69</v>
      </c>
      <c r="C610" s="1">
        <v>8914.69</v>
      </c>
      <c r="D610" s="1">
        <v>8841.9599999999991</v>
      </c>
      <c r="E610" s="3">
        <v>8892.83</v>
      </c>
      <c r="F610" s="1">
        <v>5698600</v>
      </c>
    </row>
    <row r="611" spans="1:6">
      <c r="A611" s="2">
        <v>39262</v>
      </c>
      <c r="B611" s="1">
        <v>8932.18</v>
      </c>
      <c r="C611" s="1">
        <v>8932.9500000000007</v>
      </c>
      <c r="D611" s="1">
        <v>8849.0400000000009</v>
      </c>
      <c r="E611" s="3">
        <v>8883.2099999999991</v>
      </c>
      <c r="F611" s="1">
        <v>5464800</v>
      </c>
    </row>
    <row r="612" spans="1:6">
      <c r="A612" s="2">
        <v>39265</v>
      </c>
      <c r="B612" s="1">
        <v>8903.77</v>
      </c>
      <c r="C612" s="1">
        <v>8939.49</v>
      </c>
      <c r="D612" s="1">
        <v>8849.35</v>
      </c>
      <c r="E612" s="3">
        <v>8939.49</v>
      </c>
      <c r="F612" s="1">
        <v>5468400</v>
      </c>
    </row>
    <row r="613" spans="1:6">
      <c r="A613" s="2">
        <v>39266</v>
      </c>
      <c r="B613" s="1">
        <v>8983.24</v>
      </c>
      <c r="C613" s="1">
        <v>9019.93</v>
      </c>
      <c r="D613" s="1">
        <v>8977.09</v>
      </c>
      <c r="E613" s="3">
        <v>8996.2000000000007</v>
      </c>
      <c r="F613" s="1">
        <v>6580400</v>
      </c>
    </row>
    <row r="614" spans="1:6">
      <c r="A614" s="2">
        <v>39267</v>
      </c>
      <c r="B614" s="1">
        <v>9069.32</v>
      </c>
      <c r="C614" s="1">
        <v>9112.74</v>
      </c>
      <c r="D614" s="1">
        <v>9034.5</v>
      </c>
      <c r="E614" s="3">
        <v>9068.98</v>
      </c>
      <c r="F614" s="1">
        <v>7220200</v>
      </c>
    </row>
    <row r="615" spans="1:6">
      <c r="A615" s="2">
        <v>39268</v>
      </c>
      <c r="B615" s="1">
        <v>9114.06</v>
      </c>
      <c r="C615" s="1">
        <v>9148.7800000000007</v>
      </c>
      <c r="D615" s="1">
        <v>9086.19</v>
      </c>
      <c r="E615" s="3">
        <v>9148.7800000000007</v>
      </c>
      <c r="F615" s="1">
        <v>7038200</v>
      </c>
    </row>
    <row r="616" spans="1:6">
      <c r="A616" s="2">
        <v>39269</v>
      </c>
      <c r="B616" s="1">
        <v>9169.56</v>
      </c>
      <c r="C616" s="1">
        <v>9199.66</v>
      </c>
      <c r="D616" s="1">
        <v>9118.26</v>
      </c>
      <c r="E616" s="3">
        <v>9188.31</v>
      </c>
      <c r="F616" s="1">
        <v>7483000</v>
      </c>
    </row>
    <row r="617" spans="1:6">
      <c r="A617" s="2">
        <v>39272</v>
      </c>
      <c r="B617" s="1">
        <v>9246.44</v>
      </c>
      <c r="C617" s="1">
        <v>9369.84</v>
      </c>
      <c r="D617" s="1">
        <v>9239.2000000000007</v>
      </c>
      <c r="E617" s="3">
        <v>9369.84</v>
      </c>
      <c r="F617" s="1">
        <v>8013400</v>
      </c>
    </row>
    <row r="618" spans="1:6">
      <c r="A618" s="2">
        <v>39273</v>
      </c>
      <c r="B618" s="1">
        <v>9404.76</v>
      </c>
      <c r="C618" s="1">
        <v>9404.76</v>
      </c>
      <c r="D618" s="1">
        <v>9306.6200000000008</v>
      </c>
      <c r="E618" s="3">
        <v>9384.73</v>
      </c>
      <c r="F618" s="1">
        <v>7632600</v>
      </c>
    </row>
    <row r="619" spans="1:6">
      <c r="A619" s="2">
        <v>39274</v>
      </c>
      <c r="B619" s="1">
        <v>9322.69</v>
      </c>
      <c r="C619" s="1">
        <v>9341.32</v>
      </c>
      <c r="D619" s="1">
        <v>9263.26</v>
      </c>
      <c r="E619" s="3">
        <v>9290.9500000000007</v>
      </c>
      <c r="F619" s="1">
        <v>8176800</v>
      </c>
    </row>
    <row r="620" spans="1:6">
      <c r="A620" s="2">
        <v>39275</v>
      </c>
      <c r="B620" s="1">
        <v>9346.9500000000007</v>
      </c>
      <c r="C620" s="1">
        <v>9400.3700000000008</v>
      </c>
      <c r="D620" s="1">
        <v>9316.91</v>
      </c>
      <c r="E620" s="3">
        <v>9354.41</v>
      </c>
      <c r="F620" s="1">
        <v>8373600</v>
      </c>
    </row>
    <row r="621" spans="1:6">
      <c r="A621" s="2">
        <v>39276</v>
      </c>
      <c r="B621" s="1">
        <v>9530.7199999999993</v>
      </c>
      <c r="C621" s="1">
        <v>9540.35</v>
      </c>
      <c r="D621" s="1">
        <v>9411.0400000000009</v>
      </c>
      <c r="E621" s="3">
        <v>9471.2999999999993</v>
      </c>
      <c r="F621" s="1">
        <v>8507000</v>
      </c>
    </row>
    <row r="622" spans="1:6">
      <c r="A622" s="2">
        <v>39279</v>
      </c>
      <c r="B622" s="1">
        <v>9514.09</v>
      </c>
      <c r="C622" s="1">
        <v>9539.2000000000007</v>
      </c>
      <c r="D622" s="1">
        <v>9403.73</v>
      </c>
      <c r="E622" s="3">
        <v>9417.32</v>
      </c>
      <c r="F622" s="1">
        <v>8678600</v>
      </c>
    </row>
    <row r="623" spans="1:6">
      <c r="A623" s="2">
        <v>39280</v>
      </c>
      <c r="B623" s="1">
        <v>9444.8700000000008</v>
      </c>
      <c r="C623" s="1">
        <v>9513.9500000000007</v>
      </c>
      <c r="D623" s="1">
        <v>9337.67</v>
      </c>
      <c r="E623" s="3">
        <v>9509.73</v>
      </c>
      <c r="F623" s="1">
        <v>7041800</v>
      </c>
    </row>
    <row r="624" spans="1:6">
      <c r="A624" s="2">
        <v>39281</v>
      </c>
      <c r="B624" s="1">
        <v>9512.39</v>
      </c>
      <c r="C624" s="1">
        <v>9574.69</v>
      </c>
      <c r="D624" s="1">
        <v>9482.5499999999993</v>
      </c>
      <c r="E624" s="3">
        <v>9485.35</v>
      </c>
      <c r="F624" s="1">
        <v>9296000</v>
      </c>
    </row>
    <row r="625" spans="1:6">
      <c r="A625" s="2">
        <v>39282</v>
      </c>
      <c r="B625" s="1">
        <v>9449.7199999999993</v>
      </c>
      <c r="C625" s="1">
        <v>9529.35</v>
      </c>
      <c r="D625" s="1">
        <v>9441.7900000000009</v>
      </c>
      <c r="E625" s="3">
        <v>9473.31</v>
      </c>
      <c r="F625" s="1">
        <v>8738400</v>
      </c>
    </row>
    <row r="626" spans="1:6">
      <c r="A626" s="2">
        <v>39283</v>
      </c>
      <c r="B626" s="1">
        <v>9537.24</v>
      </c>
      <c r="C626" s="1">
        <v>9585.9</v>
      </c>
      <c r="D626" s="1">
        <v>9487.9500000000007</v>
      </c>
      <c r="E626" s="3">
        <v>9585.9</v>
      </c>
      <c r="F626" s="1">
        <v>7902400</v>
      </c>
    </row>
    <row r="627" spans="1:6">
      <c r="A627" s="2">
        <v>39286</v>
      </c>
      <c r="B627" s="1">
        <v>9576.06</v>
      </c>
      <c r="C627" s="1">
        <v>9637.18</v>
      </c>
      <c r="D627" s="1">
        <v>9563.7199999999993</v>
      </c>
      <c r="E627" s="3">
        <v>9621.57</v>
      </c>
      <c r="F627" s="1">
        <v>7442400</v>
      </c>
    </row>
    <row r="628" spans="1:6">
      <c r="A628" s="2">
        <v>39287</v>
      </c>
      <c r="B628" s="1">
        <v>9674.24</v>
      </c>
      <c r="C628" s="1">
        <v>9745.32</v>
      </c>
      <c r="D628" s="1">
        <v>9643.27</v>
      </c>
      <c r="E628" s="3">
        <v>9744.06</v>
      </c>
      <c r="F628" s="1">
        <v>9247000</v>
      </c>
    </row>
    <row r="629" spans="1:6">
      <c r="A629" s="2">
        <v>39288</v>
      </c>
      <c r="B629" s="1">
        <v>9683.9699999999993</v>
      </c>
      <c r="C629" s="1">
        <v>9763.26</v>
      </c>
      <c r="D629" s="1">
        <v>9656.0400000000009</v>
      </c>
      <c r="E629" s="3">
        <v>9740.1299999999992</v>
      </c>
      <c r="F629" s="1">
        <v>8173600</v>
      </c>
    </row>
    <row r="630" spans="1:6">
      <c r="A630" s="2">
        <v>39289</v>
      </c>
      <c r="B630" s="1">
        <v>9793.76</v>
      </c>
      <c r="C630" s="1">
        <v>9807.91</v>
      </c>
      <c r="D630" s="1">
        <v>9566.42</v>
      </c>
      <c r="E630" s="3">
        <v>9566.42</v>
      </c>
      <c r="F630" s="1">
        <v>10397800</v>
      </c>
    </row>
    <row r="631" spans="1:6">
      <c r="A631" s="2">
        <v>39290</v>
      </c>
      <c r="B631" s="1">
        <v>9244.6200000000008</v>
      </c>
      <c r="C631" s="1">
        <v>9376.9500000000007</v>
      </c>
      <c r="D631" s="1">
        <v>9162.2800000000007</v>
      </c>
      <c r="E631" s="3">
        <v>9162.2800000000007</v>
      </c>
      <c r="F631" s="1">
        <v>9371200</v>
      </c>
    </row>
    <row r="632" spans="1:6">
      <c r="A632" s="2">
        <v>39293</v>
      </c>
      <c r="B632" s="1">
        <v>9037.35</v>
      </c>
      <c r="C632" s="1">
        <v>9136.4500000000007</v>
      </c>
      <c r="D632" s="1">
        <v>8996.81</v>
      </c>
      <c r="E632" s="3">
        <v>9072.57</v>
      </c>
      <c r="F632" s="1">
        <v>7294800</v>
      </c>
    </row>
    <row r="633" spans="1:6">
      <c r="A633" s="2">
        <v>39294</v>
      </c>
      <c r="B633" s="1">
        <v>9211.7999999999993</v>
      </c>
      <c r="C633" s="1">
        <v>9307.81</v>
      </c>
      <c r="D633" s="1">
        <v>9173.48</v>
      </c>
      <c r="E633" s="3">
        <v>9287.25</v>
      </c>
      <c r="F633" s="1">
        <v>7159400</v>
      </c>
    </row>
    <row r="634" spans="1:6">
      <c r="A634" s="2">
        <v>39295</v>
      </c>
      <c r="B634" s="1">
        <v>9188.6</v>
      </c>
      <c r="C634" s="1">
        <v>9265.7000000000007</v>
      </c>
      <c r="D634" s="1">
        <v>8891.8799999999992</v>
      </c>
      <c r="E634" s="3">
        <v>8891.8799999999992</v>
      </c>
      <c r="F634" s="1">
        <v>8423400</v>
      </c>
    </row>
    <row r="635" spans="1:6">
      <c r="A635" s="2">
        <v>39296</v>
      </c>
      <c r="B635" s="1">
        <v>9076.11</v>
      </c>
      <c r="C635" s="1">
        <v>9080.07</v>
      </c>
      <c r="D635" s="1">
        <v>8727.64</v>
      </c>
      <c r="E635" s="3">
        <v>8950.57</v>
      </c>
      <c r="F635" s="1">
        <v>7133200</v>
      </c>
    </row>
    <row r="636" spans="1:6">
      <c r="A636" s="2">
        <v>39297</v>
      </c>
      <c r="B636" s="1">
        <v>9104.34</v>
      </c>
      <c r="C636" s="1">
        <v>9134.6</v>
      </c>
      <c r="D636" s="1">
        <v>9025.7000000000007</v>
      </c>
      <c r="E636" s="3">
        <v>9057.82</v>
      </c>
      <c r="F636" s="1">
        <v>5842800</v>
      </c>
    </row>
    <row r="637" spans="1:6">
      <c r="A637" s="2">
        <v>39300</v>
      </c>
      <c r="B637" s="1">
        <v>8865.58</v>
      </c>
      <c r="C637" s="1">
        <v>8960.75</v>
      </c>
      <c r="D637" s="1">
        <v>8856.91</v>
      </c>
      <c r="E637" s="3">
        <v>8941.73</v>
      </c>
      <c r="F637" s="1">
        <v>4639600</v>
      </c>
    </row>
    <row r="638" spans="1:6">
      <c r="A638" s="2">
        <v>39301</v>
      </c>
      <c r="B638" s="1">
        <v>9068.0400000000009</v>
      </c>
      <c r="C638" s="1">
        <v>9068.83</v>
      </c>
      <c r="D638" s="1">
        <v>8862.31</v>
      </c>
      <c r="E638" s="3">
        <v>8862.31</v>
      </c>
      <c r="F638" s="1">
        <v>4858800</v>
      </c>
    </row>
    <row r="639" spans="1:6">
      <c r="A639" s="2">
        <v>39302</v>
      </c>
      <c r="B639" s="1">
        <v>8961.1200000000008</v>
      </c>
      <c r="C639" s="1">
        <v>9099.4599999999991</v>
      </c>
      <c r="D639" s="1">
        <v>8938.5400000000009</v>
      </c>
      <c r="E639" s="3">
        <v>9099.4599999999991</v>
      </c>
      <c r="F639" s="1">
        <v>4875000</v>
      </c>
    </row>
    <row r="640" spans="1:6">
      <c r="A640" s="2">
        <v>39303</v>
      </c>
      <c r="B640" s="1">
        <v>9213.4699999999993</v>
      </c>
      <c r="C640" s="1">
        <v>9219.02</v>
      </c>
      <c r="D640" s="1">
        <v>9140.4699999999993</v>
      </c>
      <c r="E640" s="3">
        <v>9182.6</v>
      </c>
      <c r="F640" s="1">
        <v>5712600</v>
      </c>
    </row>
    <row r="641" spans="1:6">
      <c r="A641" s="2">
        <v>39304</v>
      </c>
      <c r="B641" s="1">
        <v>8870.27</v>
      </c>
      <c r="C641" s="1">
        <v>8969.31</v>
      </c>
      <c r="D641" s="1">
        <v>8870.27</v>
      </c>
      <c r="E641" s="3">
        <v>8931.31</v>
      </c>
      <c r="F641" s="1">
        <v>5535000</v>
      </c>
    </row>
    <row r="642" spans="1:6">
      <c r="A642" s="2">
        <v>39307</v>
      </c>
      <c r="B642" s="1">
        <v>9030.82</v>
      </c>
      <c r="C642" s="1">
        <v>9030.93</v>
      </c>
      <c r="D642" s="1">
        <v>8913.4</v>
      </c>
      <c r="E642" s="3">
        <v>8938.9599999999991</v>
      </c>
      <c r="F642" s="1">
        <v>5061000</v>
      </c>
    </row>
    <row r="643" spans="1:6">
      <c r="A643" s="2">
        <v>39308</v>
      </c>
      <c r="B643" s="1">
        <v>8952.5400000000009</v>
      </c>
      <c r="C643" s="1">
        <v>9023.26</v>
      </c>
      <c r="D643" s="1">
        <v>8840.26</v>
      </c>
      <c r="E643" s="3">
        <v>8910.99</v>
      </c>
      <c r="F643" s="1">
        <v>4770600</v>
      </c>
    </row>
    <row r="644" spans="1:6">
      <c r="A644" s="2">
        <v>39309</v>
      </c>
      <c r="B644" s="1">
        <v>8782.0499999999993</v>
      </c>
      <c r="C644" s="1">
        <v>8808.59</v>
      </c>
      <c r="D644" s="1">
        <v>8561.02</v>
      </c>
      <c r="E644" s="3">
        <v>8593.0400000000009</v>
      </c>
      <c r="F644" s="1">
        <v>5640000</v>
      </c>
    </row>
    <row r="645" spans="1:6">
      <c r="A645" s="2">
        <v>39310</v>
      </c>
      <c r="B645" s="1">
        <v>8397.24</v>
      </c>
      <c r="C645" s="1">
        <v>8438.08</v>
      </c>
      <c r="D645" s="1">
        <v>8166.08</v>
      </c>
      <c r="E645" s="3">
        <v>8201.3700000000008</v>
      </c>
      <c r="F645" s="1">
        <v>5927000</v>
      </c>
    </row>
    <row r="646" spans="1:6">
      <c r="A646" s="2">
        <v>39311</v>
      </c>
      <c r="B646" s="1">
        <v>8209.91</v>
      </c>
      <c r="C646" s="1">
        <v>8307.3700000000008</v>
      </c>
      <c r="D646" s="1">
        <v>7987.61</v>
      </c>
      <c r="E646" s="3">
        <v>8090.29</v>
      </c>
      <c r="F646" s="1">
        <v>5981200</v>
      </c>
    </row>
    <row r="647" spans="1:6">
      <c r="A647" s="2">
        <v>39314</v>
      </c>
      <c r="B647" s="1">
        <v>8496.9699999999993</v>
      </c>
      <c r="C647" s="1">
        <v>8516.75</v>
      </c>
      <c r="D647" s="1">
        <v>8397.26</v>
      </c>
      <c r="E647" s="3">
        <v>8515.6</v>
      </c>
      <c r="F647" s="1">
        <v>4327200</v>
      </c>
    </row>
    <row r="648" spans="1:6">
      <c r="A648" s="2">
        <v>39315</v>
      </c>
      <c r="B648" s="1">
        <v>8542.1299999999992</v>
      </c>
      <c r="C648" s="1">
        <v>8586.73</v>
      </c>
      <c r="D648" s="1">
        <v>8424.01</v>
      </c>
      <c r="E648" s="3">
        <v>8479.08</v>
      </c>
      <c r="F648" s="1">
        <v>4632800</v>
      </c>
    </row>
    <row r="649" spans="1:6">
      <c r="A649" s="2">
        <v>39316</v>
      </c>
      <c r="B649" s="1">
        <v>8487.24</v>
      </c>
      <c r="C649" s="1">
        <v>8512.4500000000007</v>
      </c>
      <c r="D649" s="1">
        <v>8432.32</v>
      </c>
      <c r="E649" s="3">
        <v>8493.4599999999991</v>
      </c>
      <c r="F649" s="1">
        <v>4030000</v>
      </c>
    </row>
    <row r="650" spans="1:6">
      <c r="A650" s="2">
        <v>39317</v>
      </c>
      <c r="B650" s="1">
        <v>8699.4</v>
      </c>
      <c r="C650" s="1">
        <v>8735.1</v>
      </c>
      <c r="D650" s="1">
        <v>8686.06</v>
      </c>
      <c r="E650" s="3">
        <v>8732.84</v>
      </c>
      <c r="F650" s="1">
        <v>4880200</v>
      </c>
    </row>
    <row r="651" spans="1:6">
      <c r="A651" s="2">
        <v>39318</v>
      </c>
      <c r="B651" s="1">
        <v>8727.09</v>
      </c>
      <c r="C651" s="1">
        <v>8741.64</v>
      </c>
      <c r="D651" s="1">
        <v>8668.0499999999993</v>
      </c>
      <c r="E651" s="3">
        <v>8690.09</v>
      </c>
      <c r="F651" s="1">
        <v>4262400</v>
      </c>
    </row>
    <row r="652" spans="1:6">
      <c r="A652" s="2">
        <v>39321</v>
      </c>
      <c r="B652" s="1">
        <v>8849.9599999999991</v>
      </c>
      <c r="C652" s="1">
        <v>8849.9599999999991</v>
      </c>
      <c r="D652" s="1">
        <v>8704.59</v>
      </c>
      <c r="E652" s="3">
        <v>8718.31</v>
      </c>
      <c r="F652" s="1">
        <v>3802600</v>
      </c>
    </row>
    <row r="653" spans="1:6">
      <c r="A653" s="2">
        <v>39322</v>
      </c>
      <c r="B653" s="1">
        <v>8697.15</v>
      </c>
      <c r="C653" s="1">
        <v>8753.39</v>
      </c>
      <c r="D653" s="1">
        <v>8672.81</v>
      </c>
      <c r="E653" s="3">
        <v>8727.5499999999993</v>
      </c>
      <c r="F653" s="1">
        <v>3465200</v>
      </c>
    </row>
    <row r="654" spans="1:6">
      <c r="A654" s="2">
        <v>39323</v>
      </c>
      <c r="B654" s="1">
        <v>8514.4699999999993</v>
      </c>
      <c r="C654" s="1">
        <v>8643.32</v>
      </c>
      <c r="D654" s="1">
        <v>8514.4699999999993</v>
      </c>
      <c r="E654" s="3">
        <v>8643.32</v>
      </c>
      <c r="F654" s="1">
        <v>4016600</v>
      </c>
    </row>
    <row r="655" spans="1:6">
      <c r="A655" s="2">
        <v>39324</v>
      </c>
      <c r="B655" s="1">
        <v>8782.35</v>
      </c>
      <c r="C655" s="1">
        <v>8825.92</v>
      </c>
      <c r="D655" s="1">
        <v>8750.6200000000008</v>
      </c>
      <c r="E655" s="3">
        <v>8771.2099999999991</v>
      </c>
      <c r="F655" s="1">
        <v>4963200</v>
      </c>
    </row>
    <row r="656" spans="1:6">
      <c r="A656" s="2">
        <v>39325</v>
      </c>
      <c r="B656" s="1">
        <v>8807.7000000000007</v>
      </c>
      <c r="C656" s="1">
        <v>8982.16</v>
      </c>
      <c r="D656" s="1">
        <v>8785.7000000000007</v>
      </c>
      <c r="E656" s="3">
        <v>8982.16</v>
      </c>
      <c r="F656" s="1">
        <v>5018800</v>
      </c>
    </row>
    <row r="657" spans="1:6">
      <c r="A657" s="2">
        <v>39328</v>
      </c>
      <c r="B657" s="1">
        <v>9018.89</v>
      </c>
      <c r="C657" s="1">
        <v>9019.41</v>
      </c>
      <c r="D657" s="1">
        <v>8947.06</v>
      </c>
      <c r="E657" s="3">
        <v>8979.9599999999991</v>
      </c>
      <c r="F657" s="1">
        <v>4732000</v>
      </c>
    </row>
    <row r="658" spans="1:6">
      <c r="A658" s="2">
        <v>39329</v>
      </c>
      <c r="B658" s="1">
        <v>9019.61</v>
      </c>
      <c r="C658" s="1">
        <v>9027.77</v>
      </c>
      <c r="D658" s="1">
        <v>8883.8700000000008</v>
      </c>
      <c r="E658" s="3">
        <v>8922.98</v>
      </c>
      <c r="F658" s="1">
        <v>4340200</v>
      </c>
    </row>
    <row r="659" spans="1:6">
      <c r="A659" s="2">
        <v>39330</v>
      </c>
      <c r="B659" s="1">
        <v>9017.51</v>
      </c>
      <c r="C659" s="1">
        <v>9026.2999999999993</v>
      </c>
      <c r="D659" s="1">
        <v>8902.14</v>
      </c>
      <c r="E659" s="3">
        <v>8913.85</v>
      </c>
      <c r="F659" s="1">
        <v>4022400</v>
      </c>
    </row>
    <row r="660" spans="1:6">
      <c r="A660" s="2">
        <v>39331</v>
      </c>
      <c r="B660" s="1">
        <v>8896.67</v>
      </c>
      <c r="C660" s="1">
        <v>9017.08</v>
      </c>
      <c r="D660" s="1">
        <v>8841.64</v>
      </c>
      <c r="E660" s="3">
        <v>9017.08</v>
      </c>
      <c r="F660" s="1">
        <v>3979000</v>
      </c>
    </row>
    <row r="661" spans="1:6">
      <c r="A661" s="2">
        <v>39332</v>
      </c>
      <c r="B661" s="1">
        <v>9056.14</v>
      </c>
      <c r="C661" s="1">
        <v>9078.4699999999993</v>
      </c>
      <c r="D661" s="1">
        <v>9000.9500000000007</v>
      </c>
      <c r="E661" s="3">
        <v>9018.08</v>
      </c>
      <c r="F661" s="1">
        <v>4220600</v>
      </c>
    </row>
    <row r="662" spans="1:6">
      <c r="A662" s="2">
        <v>39335</v>
      </c>
      <c r="B662" s="1">
        <v>8868</v>
      </c>
      <c r="C662" s="1">
        <v>8953.4500000000007</v>
      </c>
      <c r="D662" s="1">
        <v>8845.9</v>
      </c>
      <c r="E662" s="3">
        <v>8937.58</v>
      </c>
      <c r="F662" s="1">
        <v>3702800</v>
      </c>
    </row>
    <row r="663" spans="1:6">
      <c r="A663" s="2">
        <v>39336</v>
      </c>
      <c r="B663" s="1">
        <v>8981.34</v>
      </c>
      <c r="C663" s="1">
        <v>9017.2999999999993</v>
      </c>
      <c r="D663" s="1">
        <v>8953.3700000000008</v>
      </c>
      <c r="E663" s="3">
        <v>9003.1200000000008</v>
      </c>
      <c r="F663" s="1">
        <v>4252000</v>
      </c>
    </row>
    <row r="664" spans="1:6">
      <c r="A664" s="2">
        <v>39337</v>
      </c>
      <c r="B664" s="1">
        <v>9078.09</v>
      </c>
      <c r="C664" s="1">
        <v>9084.9699999999993</v>
      </c>
      <c r="D664" s="1">
        <v>9011.26</v>
      </c>
      <c r="E664" s="3">
        <v>9018.1200000000008</v>
      </c>
      <c r="F664" s="1">
        <v>4346400</v>
      </c>
    </row>
    <row r="665" spans="1:6">
      <c r="A665" s="2">
        <v>39338</v>
      </c>
      <c r="B665" s="1">
        <v>9062.31</v>
      </c>
      <c r="C665" s="1">
        <v>9062.31</v>
      </c>
      <c r="D665" s="1">
        <v>8924.6200000000008</v>
      </c>
      <c r="E665" s="3">
        <v>8927.42</v>
      </c>
      <c r="F665" s="1">
        <v>4022800</v>
      </c>
    </row>
    <row r="666" spans="1:6">
      <c r="A666" s="2">
        <v>39339</v>
      </c>
      <c r="B666" s="1">
        <v>8995.5300000000007</v>
      </c>
      <c r="C666" s="1">
        <v>9046.51</v>
      </c>
      <c r="D666" s="1">
        <v>8952.8799999999992</v>
      </c>
      <c r="E666" s="3">
        <v>9031.6299999999992</v>
      </c>
      <c r="F666" s="1">
        <v>3897200</v>
      </c>
    </row>
    <row r="667" spans="1:6">
      <c r="A667" s="2">
        <v>39342</v>
      </c>
      <c r="B667" s="1">
        <v>9039.2800000000007</v>
      </c>
      <c r="C667" s="1">
        <v>9044.3700000000008</v>
      </c>
      <c r="D667" s="1">
        <v>8874.7099999999991</v>
      </c>
      <c r="E667" s="3">
        <v>8899.91</v>
      </c>
      <c r="F667" s="1">
        <v>3917000</v>
      </c>
    </row>
    <row r="668" spans="1:6">
      <c r="A668" s="2">
        <v>39344</v>
      </c>
      <c r="B668" s="1">
        <v>9090.9</v>
      </c>
      <c r="C668" s="1">
        <v>9090.9</v>
      </c>
      <c r="D668" s="1">
        <v>8900.7999999999993</v>
      </c>
      <c r="E668" s="3">
        <v>8926.3799999999992</v>
      </c>
      <c r="F668" s="1">
        <v>5922000</v>
      </c>
    </row>
    <row r="669" spans="1:6">
      <c r="A669" s="2">
        <v>39345</v>
      </c>
      <c r="B669" s="1">
        <v>8987.52</v>
      </c>
      <c r="C669" s="1">
        <v>9109.52</v>
      </c>
      <c r="D669" s="1">
        <v>8950.6200000000008</v>
      </c>
      <c r="E669" s="3">
        <v>8983.0300000000007</v>
      </c>
      <c r="F669" s="1">
        <v>4652800</v>
      </c>
    </row>
    <row r="670" spans="1:6">
      <c r="A670" s="2">
        <v>39346</v>
      </c>
      <c r="B670" s="1">
        <v>9018.68</v>
      </c>
      <c r="C670" s="1">
        <v>9105.2800000000007</v>
      </c>
      <c r="D670" s="1">
        <v>8994.01</v>
      </c>
      <c r="E670" s="3">
        <v>9105.2800000000007</v>
      </c>
      <c r="F670" s="1">
        <v>5025000</v>
      </c>
    </row>
    <row r="671" spans="1:6">
      <c r="A671" s="2">
        <v>39351</v>
      </c>
      <c r="B671" s="1">
        <v>9180.93</v>
      </c>
      <c r="C671" s="1">
        <v>9269.6200000000008</v>
      </c>
      <c r="D671" s="1">
        <v>9178.77</v>
      </c>
      <c r="E671" s="3">
        <v>9257.4699999999993</v>
      </c>
      <c r="F671" s="1">
        <v>5422200</v>
      </c>
    </row>
    <row r="672" spans="1:6">
      <c r="A672" s="2">
        <v>39352</v>
      </c>
      <c r="B672" s="1">
        <v>9337.0400000000009</v>
      </c>
      <c r="C672" s="1">
        <v>9413.65</v>
      </c>
      <c r="D672" s="1">
        <v>9291.7199999999993</v>
      </c>
      <c r="E672" s="3">
        <v>9413.65</v>
      </c>
      <c r="F672" s="1">
        <v>6081200</v>
      </c>
    </row>
    <row r="673" spans="1:6">
      <c r="A673" s="2">
        <v>39353</v>
      </c>
      <c r="B673" s="1">
        <v>9447.33</v>
      </c>
      <c r="C673" s="1">
        <v>9474.0499999999993</v>
      </c>
      <c r="D673" s="1">
        <v>9411.9500000000007</v>
      </c>
      <c r="E673" s="3">
        <v>9411.9500000000007</v>
      </c>
      <c r="F673" s="1">
        <v>5558800</v>
      </c>
    </row>
    <row r="674" spans="1:6">
      <c r="A674" s="2">
        <v>39356</v>
      </c>
      <c r="B674" s="1">
        <v>9523.98</v>
      </c>
      <c r="C674" s="1">
        <v>9555.07</v>
      </c>
      <c r="D674" s="1">
        <v>9474.4</v>
      </c>
      <c r="E674" s="3">
        <v>9488.5</v>
      </c>
      <c r="F674" s="1">
        <v>6169000</v>
      </c>
    </row>
    <row r="675" spans="1:6">
      <c r="A675" s="2">
        <v>39357</v>
      </c>
      <c r="B675" s="1">
        <v>9597.9599999999991</v>
      </c>
      <c r="C675" s="1">
        <v>9642.9500000000007</v>
      </c>
      <c r="D675" s="1">
        <v>9582.7000000000007</v>
      </c>
      <c r="E675" s="3">
        <v>9623.25</v>
      </c>
      <c r="F675" s="1">
        <v>6702600</v>
      </c>
    </row>
    <row r="676" spans="1:6">
      <c r="A676" s="2">
        <v>39358</v>
      </c>
      <c r="B676" s="1">
        <v>9650.0300000000007</v>
      </c>
      <c r="C676" s="1">
        <v>9783.75</v>
      </c>
      <c r="D676" s="1">
        <v>9618.14</v>
      </c>
      <c r="E676" s="3">
        <v>9700.07</v>
      </c>
      <c r="F676" s="1">
        <v>6654200</v>
      </c>
    </row>
    <row r="677" spans="1:6">
      <c r="A677" s="2">
        <v>39359</v>
      </c>
      <c r="B677" s="1">
        <v>9663.5300000000007</v>
      </c>
      <c r="C677" s="1">
        <v>9676.35</v>
      </c>
      <c r="D677" s="1">
        <v>9574.01</v>
      </c>
      <c r="E677" s="3">
        <v>9627.39</v>
      </c>
      <c r="F677" s="1">
        <v>5009200</v>
      </c>
    </row>
    <row r="678" spans="1:6">
      <c r="A678" s="2">
        <v>39360</v>
      </c>
      <c r="B678" s="1">
        <v>9645.6299999999992</v>
      </c>
      <c r="C678" s="1">
        <v>9670.1299999999992</v>
      </c>
      <c r="D678" s="1">
        <v>9565</v>
      </c>
      <c r="E678" s="3">
        <v>9617.26</v>
      </c>
      <c r="F678" s="1">
        <v>4570200</v>
      </c>
    </row>
    <row r="679" spans="1:6">
      <c r="A679" s="2">
        <v>39363</v>
      </c>
      <c r="B679" s="1">
        <v>9736.93</v>
      </c>
      <c r="C679" s="1">
        <v>9744.9699999999993</v>
      </c>
      <c r="D679" s="1">
        <v>9683.14</v>
      </c>
      <c r="E679" s="3">
        <v>9717.17</v>
      </c>
      <c r="F679" s="1">
        <v>5043600</v>
      </c>
    </row>
    <row r="680" spans="1:6">
      <c r="A680" s="2">
        <v>39364</v>
      </c>
      <c r="B680" s="1">
        <v>9743.61</v>
      </c>
      <c r="C680" s="1">
        <v>9743.61</v>
      </c>
      <c r="D680" s="1">
        <v>9591.94</v>
      </c>
      <c r="E680" s="3">
        <v>9639.83</v>
      </c>
      <c r="F680" s="1">
        <v>5534400</v>
      </c>
    </row>
    <row r="681" spans="1:6">
      <c r="A681" s="2">
        <v>39366</v>
      </c>
      <c r="B681" s="1">
        <v>9707.93</v>
      </c>
      <c r="C681" s="1">
        <v>9729.4699999999993</v>
      </c>
      <c r="D681" s="1">
        <v>9661.23</v>
      </c>
      <c r="E681" s="3">
        <v>9697.67</v>
      </c>
      <c r="F681" s="1">
        <v>5261600</v>
      </c>
    </row>
    <row r="682" spans="1:6">
      <c r="A682" s="2">
        <v>39367</v>
      </c>
      <c r="B682" s="1">
        <v>9677.33</v>
      </c>
      <c r="C682" s="1">
        <v>9731.16</v>
      </c>
      <c r="D682" s="1">
        <v>9490.01</v>
      </c>
      <c r="E682" s="3">
        <v>9496.4699999999993</v>
      </c>
      <c r="F682" s="1">
        <v>5735600</v>
      </c>
    </row>
    <row r="683" spans="1:6">
      <c r="A683" s="2">
        <v>39370</v>
      </c>
      <c r="B683" s="1">
        <v>9565.36</v>
      </c>
      <c r="C683" s="1">
        <v>9577.0400000000009</v>
      </c>
      <c r="D683" s="1">
        <v>9431.66</v>
      </c>
      <c r="E683" s="3">
        <v>9518.4500000000007</v>
      </c>
      <c r="F683" s="1">
        <v>4416000</v>
      </c>
    </row>
    <row r="684" spans="1:6">
      <c r="A684" s="2">
        <v>39371</v>
      </c>
      <c r="B684" s="1">
        <v>9468.8799999999992</v>
      </c>
      <c r="C684" s="1">
        <v>9618.0300000000007</v>
      </c>
      <c r="D684" s="1">
        <v>9461.27</v>
      </c>
      <c r="E684" s="3">
        <v>9592.4699999999993</v>
      </c>
      <c r="F684" s="1">
        <v>5134200</v>
      </c>
    </row>
    <row r="685" spans="1:6">
      <c r="A685" s="2">
        <v>39372</v>
      </c>
      <c r="B685" s="1">
        <v>9582.19</v>
      </c>
      <c r="C685" s="1">
        <v>9616.26</v>
      </c>
      <c r="D685" s="1">
        <v>9492.89</v>
      </c>
      <c r="E685" s="3">
        <v>9562.16</v>
      </c>
      <c r="F685" s="1">
        <v>4530400</v>
      </c>
    </row>
    <row r="686" spans="1:6">
      <c r="A686" s="2">
        <v>39373</v>
      </c>
      <c r="B686" s="1">
        <v>9605.49</v>
      </c>
      <c r="C686" s="1">
        <v>9667.07</v>
      </c>
      <c r="D686" s="1">
        <v>9574.9599999999991</v>
      </c>
      <c r="E686" s="3">
        <v>9637.07</v>
      </c>
      <c r="F686" s="1">
        <v>5548400</v>
      </c>
    </row>
    <row r="687" spans="1:6">
      <c r="A687" s="2">
        <v>39374</v>
      </c>
      <c r="B687" s="1">
        <v>9666.58</v>
      </c>
      <c r="C687" s="1">
        <v>9673.9599999999991</v>
      </c>
      <c r="D687" s="1">
        <v>9609.58</v>
      </c>
      <c r="E687" s="3">
        <v>9611.7199999999993</v>
      </c>
      <c r="F687" s="1">
        <v>4674200</v>
      </c>
    </row>
    <row r="688" spans="1:6">
      <c r="A688" s="2">
        <v>39377</v>
      </c>
      <c r="B688" s="1">
        <v>9278.89</v>
      </c>
      <c r="C688" s="1">
        <v>9381.65</v>
      </c>
      <c r="D688" s="1">
        <v>9275.7199999999993</v>
      </c>
      <c r="E688" s="3">
        <v>9360.6299999999992</v>
      </c>
      <c r="F688" s="1">
        <v>4841400</v>
      </c>
    </row>
    <row r="689" spans="1:6">
      <c r="A689" s="2">
        <v>39378</v>
      </c>
      <c r="B689" s="1">
        <v>9419.5400000000009</v>
      </c>
      <c r="C689" s="1">
        <v>9512.56</v>
      </c>
      <c r="D689" s="1">
        <v>9419.5400000000009</v>
      </c>
      <c r="E689" s="3">
        <v>9502.39</v>
      </c>
      <c r="F689" s="1">
        <v>4732400</v>
      </c>
    </row>
    <row r="690" spans="1:6">
      <c r="A690" s="2">
        <v>39379</v>
      </c>
      <c r="B690" s="1">
        <v>9593.2000000000007</v>
      </c>
      <c r="C690" s="1">
        <v>9640.49</v>
      </c>
      <c r="D690" s="1">
        <v>9442.6200000000008</v>
      </c>
      <c r="E690" s="3">
        <v>9442.6200000000008</v>
      </c>
      <c r="F690" s="1">
        <v>4686600</v>
      </c>
    </row>
    <row r="691" spans="1:6">
      <c r="A691" s="2">
        <v>39380</v>
      </c>
      <c r="B691" s="1">
        <v>9546.85</v>
      </c>
      <c r="C691" s="1">
        <v>9573.2900000000009</v>
      </c>
      <c r="D691" s="1">
        <v>9503.83</v>
      </c>
      <c r="E691" s="3">
        <v>9568.26</v>
      </c>
      <c r="F691" s="1">
        <v>4653800</v>
      </c>
    </row>
    <row r="692" spans="1:6">
      <c r="A692" s="2">
        <v>39381</v>
      </c>
      <c r="B692" s="1">
        <v>9637.49</v>
      </c>
      <c r="C692" s="1">
        <v>9661.94</v>
      </c>
      <c r="D692" s="1">
        <v>9573</v>
      </c>
      <c r="E692" s="3">
        <v>9631.51</v>
      </c>
      <c r="F692" s="1">
        <v>4960800</v>
      </c>
    </row>
    <row r="693" spans="1:6">
      <c r="A693" s="2">
        <v>39384</v>
      </c>
      <c r="B693" s="1">
        <v>9743.73</v>
      </c>
      <c r="C693" s="1">
        <v>9822.3700000000008</v>
      </c>
      <c r="D693" s="1">
        <v>9735.43</v>
      </c>
      <c r="E693" s="3">
        <v>9809.8799999999992</v>
      </c>
      <c r="F693" s="1">
        <v>5997200</v>
      </c>
    </row>
    <row r="694" spans="1:6">
      <c r="A694" s="2">
        <v>39385</v>
      </c>
      <c r="B694" s="1">
        <v>9854.27</v>
      </c>
      <c r="C694" s="1">
        <v>9859.65</v>
      </c>
      <c r="D694" s="1">
        <v>9727.58</v>
      </c>
      <c r="E694" s="3">
        <v>9757.93</v>
      </c>
      <c r="F694" s="1">
        <v>5465400</v>
      </c>
    </row>
    <row r="695" spans="1:6">
      <c r="A695" s="2">
        <v>39386</v>
      </c>
      <c r="B695" s="1">
        <v>9777.58</v>
      </c>
      <c r="C695" s="1">
        <v>9787.9</v>
      </c>
      <c r="D695" s="1">
        <v>9664.64</v>
      </c>
      <c r="E695" s="3">
        <v>9711.3700000000008</v>
      </c>
      <c r="F695" s="1">
        <v>5636800</v>
      </c>
    </row>
    <row r="696" spans="1:6">
      <c r="A696" s="2">
        <v>39387</v>
      </c>
      <c r="B696" s="1">
        <v>9780.59</v>
      </c>
      <c r="C696" s="1">
        <v>9785.75</v>
      </c>
      <c r="D696" s="1">
        <v>9556.2199999999993</v>
      </c>
      <c r="E696" s="3">
        <v>9598.23</v>
      </c>
      <c r="F696" s="1">
        <v>6153600</v>
      </c>
    </row>
    <row r="697" spans="1:6">
      <c r="A697" s="2">
        <v>39388</v>
      </c>
      <c r="B697" s="1">
        <v>9373.41</v>
      </c>
      <c r="C697" s="1">
        <v>9433.07</v>
      </c>
      <c r="D697" s="1">
        <v>9248.34</v>
      </c>
      <c r="E697" s="3">
        <v>9273.09</v>
      </c>
      <c r="F697" s="1">
        <v>5893000</v>
      </c>
    </row>
    <row r="698" spans="1:6">
      <c r="A698" s="2">
        <v>39391</v>
      </c>
      <c r="B698" s="1">
        <v>9251.86</v>
      </c>
      <c r="C698" s="1">
        <v>9313.85</v>
      </c>
      <c r="D698" s="1">
        <v>9129.49</v>
      </c>
      <c r="E698" s="3">
        <v>9308.6</v>
      </c>
      <c r="F698" s="1">
        <v>5045200</v>
      </c>
    </row>
    <row r="699" spans="1:6">
      <c r="A699" s="2">
        <v>39392</v>
      </c>
      <c r="B699" s="1">
        <v>9324.61</v>
      </c>
      <c r="C699" s="1">
        <v>9368.4599999999991</v>
      </c>
      <c r="D699" s="1">
        <v>9278.01</v>
      </c>
      <c r="E699" s="3">
        <v>9292.7999999999993</v>
      </c>
      <c r="F699" s="1">
        <v>4565600</v>
      </c>
    </row>
    <row r="700" spans="1:6">
      <c r="A700" s="2">
        <v>39393</v>
      </c>
      <c r="B700" s="1">
        <v>9437.43</v>
      </c>
      <c r="C700" s="1">
        <v>9437.43</v>
      </c>
      <c r="D700" s="1">
        <v>9300.2199999999993</v>
      </c>
      <c r="E700" s="3">
        <v>9300.2199999999993</v>
      </c>
      <c r="F700" s="1">
        <v>5016400</v>
      </c>
    </row>
    <row r="701" spans="1:6">
      <c r="A701" s="2">
        <v>39394</v>
      </c>
      <c r="B701" s="1">
        <v>9096.0300000000007</v>
      </c>
      <c r="C701" s="1">
        <v>9105.6299999999992</v>
      </c>
      <c r="D701" s="1">
        <v>8890.1</v>
      </c>
      <c r="E701" s="3">
        <v>8937.58</v>
      </c>
      <c r="F701" s="1">
        <v>5887000</v>
      </c>
    </row>
    <row r="702" spans="1:6">
      <c r="A702" s="2">
        <v>39395</v>
      </c>
      <c r="B702" s="1">
        <v>8962.24</v>
      </c>
      <c r="C702" s="1">
        <v>9016.73</v>
      </c>
      <c r="D702" s="1">
        <v>8853.81</v>
      </c>
      <c r="E702" s="3">
        <v>8970.92</v>
      </c>
      <c r="F702" s="1">
        <v>5196200</v>
      </c>
    </row>
    <row r="703" spans="1:6">
      <c r="A703" s="2">
        <v>39398</v>
      </c>
      <c r="B703" s="1">
        <v>8755.3700000000008</v>
      </c>
      <c r="C703" s="1">
        <v>8765.51</v>
      </c>
      <c r="D703" s="1">
        <v>8626.58</v>
      </c>
      <c r="E703" s="3">
        <v>8670.61</v>
      </c>
      <c r="F703" s="1">
        <v>4941200</v>
      </c>
    </row>
    <row r="704" spans="1:6">
      <c r="A704" s="2">
        <v>39399</v>
      </c>
      <c r="B704" s="1">
        <v>8673.2000000000007</v>
      </c>
      <c r="C704" s="1">
        <v>8742.41</v>
      </c>
      <c r="D704" s="1">
        <v>8599.39</v>
      </c>
      <c r="E704" s="3">
        <v>8727.2099999999991</v>
      </c>
      <c r="F704" s="1">
        <v>4718400</v>
      </c>
    </row>
    <row r="705" spans="1:6">
      <c r="A705" s="2">
        <v>39400</v>
      </c>
      <c r="B705" s="1">
        <v>8965.66</v>
      </c>
      <c r="C705" s="1">
        <v>8993.89</v>
      </c>
      <c r="D705" s="1">
        <v>8940.9599999999991</v>
      </c>
      <c r="E705" s="3">
        <v>8942.93</v>
      </c>
      <c r="F705" s="1">
        <v>4834800</v>
      </c>
    </row>
    <row r="706" spans="1:6">
      <c r="A706" s="2">
        <v>39401</v>
      </c>
      <c r="B706" s="1">
        <v>8920.0300000000007</v>
      </c>
      <c r="C706" s="1">
        <v>8962.2099999999991</v>
      </c>
      <c r="D706" s="1">
        <v>8897.89</v>
      </c>
      <c r="E706" s="3">
        <v>8905.41</v>
      </c>
      <c r="F706" s="1">
        <v>3789200</v>
      </c>
    </row>
    <row r="707" spans="1:6">
      <c r="A707" s="2">
        <v>39402</v>
      </c>
      <c r="B707" s="1">
        <v>8767.2099999999991</v>
      </c>
      <c r="C707" s="1">
        <v>8790.57</v>
      </c>
      <c r="D707" s="1">
        <v>8678.5499999999993</v>
      </c>
      <c r="E707" s="3">
        <v>8764.82</v>
      </c>
      <c r="F707" s="1">
        <v>4065000</v>
      </c>
    </row>
    <row r="708" spans="1:6">
      <c r="A708" s="2">
        <v>39405</v>
      </c>
      <c r="B708" s="1">
        <v>8818.42</v>
      </c>
      <c r="C708" s="1">
        <v>8838.2800000000007</v>
      </c>
      <c r="D708" s="1">
        <v>8680.7099999999991</v>
      </c>
      <c r="E708" s="3">
        <v>8680.7099999999991</v>
      </c>
      <c r="F708" s="1">
        <v>3681800</v>
      </c>
    </row>
    <row r="709" spans="1:6">
      <c r="A709" s="2">
        <v>39406</v>
      </c>
      <c r="B709" s="1">
        <v>8483.61</v>
      </c>
      <c r="C709" s="1">
        <v>8680.86</v>
      </c>
      <c r="D709" s="1">
        <v>8372.0499999999993</v>
      </c>
      <c r="E709" s="3">
        <v>8680.86</v>
      </c>
      <c r="F709" s="1">
        <v>4796600</v>
      </c>
    </row>
    <row r="710" spans="1:6">
      <c r="A710" s="2">
        <v>39407</v>
      </c>
      <c r="B710" s="1">
        <v>8676.9599999999991</v>
      </c>
      <c r="C710" s="1">
        <v>8704.08</v>
      </c>
      <c r="D710" s="1">
        <v>8484.11</v>
      </c>
      <c r="E710" s="3">
        <v>8484.11</v>
      </c>
      <c r="F710" s="1">
        <v>4278200</v>
      </c>
    </row>
    <row r="711" spans="1:6">
      <c r="A711" s="2">
        <v>39408</v>
      </c>
      <c r="B711" s="1">
        <v>8431.0300000000007</v>
      </c>
      <c r="C711" s="1">
        <v>8573.74</v>
      </c>
      <c r="D711" s="1">
        <v>8390.85</v>
      </c>
      <c r="E711" s="3">
        <v>8499.3700000000008</v>
      </c>
      <c r="F711" s="1">
        <v>3930800</v>
      </c>
    </row>
    <row r="712" spans="1:6">
      <c r="A712" s="2">
        <v>39409</v>
      </c>
      <c r="B712" s="1">
        <v>8550.7000000000007</v>
      </c>
      <c r="C712" s="1">
        <v>8559.0499999999993</v>
      </c>
      <c r="D712" s="1">
        <v>8342.2000000000007</v>
      </c>
      <c r="E712" s="3">
        <v>8342.2000000000007</v>
      </c>
      <c r="F712" s="1">
        <v>3927200</v>
      </c>
    </row>
    <row r="713" spans="1:6">
      <c r="A713" s="2">
        <v>39412</v>
      </c>
      <c r="B713" s="1">
        <v>8462.93</v>
      </c>
      <c r="C713" s="1">
        <v>8534.27</v>
      </c>
      <c r="D713" s="1">
        <v>8407.34</v>
      </c>
      <c r="E713" s="3">
        <v>8528.33</v>
      </c>
      <c r="F713" s="1">
        <v>3959000</v>
      </c>
    </row>
    <row r="714" spans="1:6">
      <c r="A714" s="2">
        <v>39413</v>
      </c>
      <c r="B714" s="1">
        <v>8319.69</v>
      </c>
      <c r="C714" s="1">
        <v>8454.36</v>
      </c>
      <c r="D714" s="1">
        <v>8207.9699999999993</v>
      </c>
      <c r="E714" s="3">
        <v>8375.76</v>
      </c>
      <c r="F714" s="1">
        <v>4142800</v>
      </c>
    </row>
    <row r="715" spans="1:6">
      <c r="A715" s="2">
        <v>39414</v>
      </c>
      <c r="B715" s="1">
        <v>8429.09</v>
      </c>
      <c r="C715" s="1">
        <v>8440.1200000000008</v>
      </c>
      <c r="D715" s="1">
        <v>8276.26</v>
      </c>
      <c r="E715" s="3">
        <v>8276.26</v>
      </c>
      <c r="F715" s="1">
        <v>3672600</v>
      </c>
    </row>
    <row r="716" spans="1:6">
      <c r="A716" s="2">
        <v>39415</v>
      </c>
      <c r="B716" s="1">
        <v>8454.57</v>
      </c>
      <c r="C716" s="1">
        <v>8481.4500000000007</v>
      </c>
      <c r="D716" s="1">
        <v>8376.09</v>
      </c>
      <c r="E716" s="3">
        <v>8447.0300000000007</v>
      </c>
      <c r="F716" s="1">
        <v>4048000</v>
      </c>
    </row>
    <row r="717" spans="1:6">
      <c r="A717" s="2">
        <v>39416</v>
      </c>
      <c r="B717" s="1">
        <v>8499.23</v>
      </c>
      <c r="C717" s="1">
        <v>8590.6299999999992</v>
      </c>
      <c r="D717" s="1">
        <v>8499.23</v>
      </c>
      <c r="E717" s="3">
        <v>8586.4</v>
      </c>
      <c r="F717" s="1">
        <v>4540600</v>
      </c>
    </row>
    <row r="718" spans="1:6">
      <c r="A718" s="2">
        <v>39419</v>
      </c>
      <c r="B718" s="1">
        <v>8623.1200000000008</v>
      </c>
      <c r="C718" s="1">
        <v>8645.6200000000008</v>
      </c>
      <c r="D718" s="1">
        <v>8565.08</v>
      </c>
      <c r="E718" s="3">
        <v>8583.84</v>
      </c>
      <c r="F718" s="1">
        <v>3307600</v>
      </c>
    </row>
    <row r="719" spans="1:6">
      <c r="A719" s="2">
        <v>39420</v>
      </c>
      <c r="B719" s="1">
        <v>8557.32</v>
      </c>
      <c r="C719" s="1">
        <v>8656.89</v>
      </c>
      <c r="D719" s="1">
        <v>8557</v>
      </c>
      <c r="E719" s="3">
        <v>8651.2800000000007</v>
      </c>
      <c r="F719" s="1">
        <v>3484000</v>
      </c>
    </row>
    <row r="720" spans="1:6">
      <c r="A720" s="2">
        <v>39421</v>
      </c>
      <c r="B720" s="1">
        <v>8626.52</v>
      </c>
      <c r="C720" s="1">
        <v>8705.8700000000008</v>
      </c>
      <c r="D720" s="1">
        <v>8601.1299999999992</v>
      </c>
      <c r="E720" s="3">
        <v>8676.9500000000007</v>
      </c>
      <c r="F720" s="1">
        <v>4147000</v>
      </c>
    </row>
    <row r="721" spans="1:6">
      <c r="A721" s="2">
        <v>39422</v>
      </c>
      <c r="B721" s="1">
        <v>8784.69</v>
      </c>
      <c r="C721" s="1">
        <v>8797.61</v>
      </c>
      <c r="D721" s="1">
        <v>8654.86</v>
      </c>
      <c r="E721" s="3">
        <v>8694.41</v>
      </c>
      <c r="F721" s="1">
        <v>4336000</v>
      </c>
    </row>
    <row r="722" spans="1:6">
      <c r="A722" s="2">
        <v>39423</v>
      </c>
      <c r="B722" s="1">
        <v>8774.57</v>
      </c>
      <c r="C722" s="1">
        <v>8804.93</v>
      </c>
      <c r="D722" s="1">
        <v>8722.3799999999992</v>
      </c>
      <c r="E722" s="3">
        <v>8722.3799999999992</v>
      </c>
      <c r="F722" s="1">
        <v>4121200</v>
      </c>
    </row>
    <row r="723" spans="1:6">
      <c r="A723" s="2">
        <v>39426</v>
      </c>
      <c r="B723" s="1">
        <v>8700.48</v>
      </c>
      <c r="C723" s="1">
        <v>8706.58</v>
      </c>
      <c r="D723" s="1">
        <v>8594.9500000000007</v>
      </c>
      <c r="E723" s="3">
        <v>8598.0300000000007</v>
      </c>
      <c r="F723" s="1">
        <v>3179600</v>
      </c>
    </row>
    <row r="724" spans="1:6">
      <c r="A724" s="2">
        <v>39427</v>
      </c>
      <c r="B724" s="1">
        <v>8648.8799999999992</v>
      </c>
      <c r="C724" s="1">
        <v>8659.36</v>
      </c>
      <c r="D724" s="1">
        <v>8569.5400000000009</v>
      </c>
      <c r="E724" s="3">
        <v>8638.33</v>
      </c>
      <c r="F724" s="1">
        <v>3011800</v>
      </c>
    </row>
    <row r="725" spans="1:6">
      <c r="A725" s="2">
        <v>39428</v>
      </c>
      <c r="B725" s="1">
        <v>8495.59</v>
      </c>
      <c r="C725" s="1">
        <v>8554.1200000000008</v>
      </c>
      <c r="D725" s="1">
        <v>8451.65</v>
      </c>
      <c r="E725" s="3">
        <v>8490.84</v>
      </c>
      <c r="F725" s="1">
        <v>3783000</v>
      </c>
    </row>
    <row r="726" spans="1:6">
      <c r="A726" s="2">
        <v>39429</v>
      </c>
      <c r="B726" s="1">
        <v>8485.56</v>
      </c>
      <c r="C726" s="1">
        <v>8522.14</v>
      </c>
      <c r="D726" s="1">
        <v>8187.95</v>
      </c>
      <c r="E726" s="3">
        <v>8187.95</v>
      </c>
      <c r="F726" s="1">
        <v>4780800</v>
      </c>
    </row>
    <row r="727" spans="1:6">
      <c r="A727" s="2">
        <v>39430</v>
      </c>
      <c r="B727" s="1">
        <v>8186.25</v>
      </c>
      <c r="C727" s="1">
        <v>8202.94</v>
      </c>
      <c r="D727" s="1">
        <v>7922.66</v>
      </c>
      <c r="E727" s="3">
        <v>8118.08</v>
      </c>
      <c r="F727" s="1">
        <v>5018200</v>
      </c>
    </row>
    <row r="728" spans="1:6">
      <c r="A728" s="2">
        <v>39433</v>
      </c>
      <c r="B728" s="1">
        <v>8041.6</v>
      </c>
      <c r="C728" s="1">
        <v>8092.96</v>
      </c>
      <c r="D728" s="1">
        <v>7830.85</v>
      </c>
      <c r="E728" s="3">
        <v>7830.85</v>
      </c>
      <c r="F728" s="1">
        <v>4238600</v>
      </c>
    </row>
    <row r="729" spans="1:6">
      <c r="A729" s="2">
        <v>39434</v>
      </c>
      <c r="B729" s="1">
        <v>7730.79</v>
      </c>
      <c r="C729" s="1">
        <v>7913.88</v>
      </c>
      <c r="D729" s="1">
        <v>7664.62</v>
      </c>
      <c r="E729" s="3">
        <v>7807.39</v>
      </c>
      <c r="F729" s="1">
        <v>5093400</v>
      </c>
    </row>
    <row r="730" spans="1:6">
      <c r="A730" s="2">
        <v>39435</v>
      </c>
      <c r="B730" s="1">
        <v>7881.01</v>
      </c>
      <c r="C730" s="1">
        <v>8020.39</v>
      </c>
      <c r="D730" s="1">
        <v>7865.48</v>
      </c>
      <c r="E730" s="3">
        <v>8014.31</v>
      </c>
      <c r="F730" s="1">
        <v>4126800</v>
      </c>
    </row>
    <row r="731" spans="1:6">
      <c r="A731" s="2">
        <v>39436</v>
      </c>
      <c r="B731" s="1">
        <v>8044.17</v>
      </c>
      <c r="C731" s="1">
        <v>8048</v>
      </c>
      <c r="D731" s="1">
        <v>7840.71</v>
      </c>
      <c r="E731" s="3">
        <v>7857.08</v>
      </c>
      <c r="F731" s="1">
        <v>3574200</v>
      </c>
    </row>
    <row r="732" spans="1:6">
      <c r="A732" s="2">
        <v>39437</v>
      </c>
      <c r="B732" s="1">
        <v>7903.14</v>
      </c>
      <c r="C732" s="1">
        <v>8006.56</v>
      </c>
      <c r="D732" s="1">
        <v>7810.27</v>
      </c>
      <c r="E732" s="3">
        <v>7941.44</v>
      </c>
      <c r="F732" s="1">
        <v>4020400</v>
      </c>
    </row>
    <row r="733" spans="1:6">
      <c r="A733" s="2">
        <v>39440</v>
      </c>
      <c r="B733" s="1">
        <v>8074.44</v>
      </c>
      <c r="C733" s="1">
        <v>8135.48</v>
      </c>
      <c r="D733" s="1">
        <v>8061.31</v>
      </c>
      <c r="E733" s="3">
        <v>8135.48</v>
      </c>
      <c r="F733" s="1">
        <v>3149200</v>
      </c>
    </row>
    <row r="734" spans="1:6">
      <c r="A734" s="2">
        <v>39441</v>
      </c>
      <c r="B734" s="1">
        <v>8166.18</v>
      </c>
      <c r="C734" s="1">
        <v>8181.61</v>
      </c>
      <c r="D734" s="1">
        <v>8119.85</v>
      </c>
      <c r="E734" s="3">
        <v>8167.07</v>
      </c>
      <c r="F734" s="1">
        <v>3340600</v>
      </c>
    </row>
    <row r="735" spans="1:6">
      <c r="A735" s="2">
        <v>39442</v>
      </c>
      <c r="B735" s="1">
        <v>8125.45</v>
      </c>
      <c r="C735" s="1">
        <v>8173.9</v>
      </c>
      <c r="D735" s="1">
        <v>8071.63</v>
      </c>
      <c r="E735" s="3">
        <v>8156.39</v>
      </c>
      <c r="F735" s="1">
        <v>2853000</v>
      </c>
    </row>
    <row r="736" spans="1:6">
      <c r="A736" s="2">
        <v>39443</v>
      </c>
      <c r="B736" s="1">
        <v>8169.19</v>
      </c>
      <c r="C736" s="1">
        <v>8355.2800000000007</v>
      </c>
      <c r="D736" s="1">
        <v>8169.19</v>
      </c>
      <c r="E736" s="3">
        <v>8313.7199999999993</v>
      </c>
      <c r="F736" s="1">
        <v>4360200</v>
      </c>
    </row>
    <row r="737" spans="1:6">
      <c r="A737" s="2">
        <v>39444</v>
      </c>
      <c r="B737" s="1">
        <v>8269.32</v>
      </c>
      <c r="C737" s="1">
        <v>8460.18</v>
      </c>
      <c r="D737" s="1">
        <v>8269.32</v>
      </c>
      <c r="E737" s="3">
        <v>8396.9500000000007</v>
      </c>
      <c r="F737" s="1">
        <v>4325200</v>
      </c>
    </row>
    <row r="738" spans="1:6">
      <c r="A738" s="2">
        <v>39447</v>
      </c>
      <c r="B738" s="1">
        <v>8450.32</v>
      </c>
      <c r="C738" s="1">
        <v>8506.2800000000007</v>
      </c>
      <c r="D738" s="1">
        <v>8414.7900000000009</v>
      </c>
      <c r="E738" s="3">
        <v>8506.2800000000007</v>
      </c>
      <c r="F738" s="1">
        <v>3607200</v>
      </c>
    </row>
    <row r="739" spans="1:6">
      <c r="A739" s="2">
        <v>39449</v>
      </c>
      <c r="B739" s="1">
        <v>8491.57</v>
      </c>
      <c r="C739" s="1">
        <v>8532.92</v>
      </c>
      <c r="D739" s="1">
        <v>8319.58</v>
      </c>
      <c r="E739" s="3">
        <v>8323.0499999999993</v>
      </c>
      <c r="F739" s="1">
        <v>4372600</v>
      </c>
    </row>
    <row r="740" spans="1:6">
      <c r="A740" s="2">
        <v>39450</v>
      </c>
      <c r="B740" s="1">
        <v>8171.68</v>
      </c>
      <c r="C740" s="1">
        <v>8243.93</v>
      </c>
      <c r="D740" s="1">
        <v>8130.41</v>
      </c>
      <c r="E740" s="3">
        <v>8184.2</v>
      </c>
      <c r="F740" s="1">
        <v>3636400</v>
      </c>
    </row>
    <row r="741" spans="1:6">
      <c r="A741" s="2">
        <v>39451</v>
      </c>
      <c r="B741" s="1">
        <v>8134.04</v>
      </c>
      <c r="C741" s="1">
        <v>8247.18</v>
      </c>
      <c r="D741" s="1">
        <v>8097.85</v>
      </c>
      <c r="E741" s="3">
        <v>8221.1</v>
      </c>
      <c r="F741" s="1">
        <v>4603600</v>
      </c>
    </row>
    <row r="742" spans="1:6">
      <c r="A742" s="2">
        <v>39454</v>
      </c>
      <c r="B742" s="1">
        <v>7959.92</v>
      </c>
      <c r="C742" s="1">
        <v>8015.93</v>
      </c>
      <c r="D742" s="1">
        <v>7883.37</v>
      </c>
      <c r="E742" s="3">
        <v>7883.37</v>
      </c>
      <c r="F742" s="1">
        <v>4539800</v>
      </c>
    </row>
    <row r="743" spans="1:6">
      <c r="A743" s="2">
        <v>39455</v>
      </c>
      <c r="B743" s="1">
        <v>7909.26</v>
      </c>
      <c r="C743" s="1">
        <v>8011.07</v>
      </c>
      <c r="D743" s="1">
        <v>7895.78</v>
      </c>
      <c r="E743" s="3">
        <v>7962.91</v>
      </c>
      <c r="F743" s="1">
        <v>4618800</v>
      </c>
    </row>
    <row r="744" spans="1:6">
      <c r="A744" s="2">
        <v>39456</v>
      </c>
      <c r="B744" s="1">
        <v>7842.16</v>
      </c>
      <c r="C744" s="1">
        <v>8085.06</v>
      </c>
      <c r="D744" s="1">
        <v>7818.31</v>
      </c>
      <c r="E744" s="3">
        <v>8085.06</v>
      </c>
      <c r="F744" s="1">
        <v>4682400</v>
      </c>
    </row>
    <row r="745" spans="1:6">
      <c r="A745" s="2">
        <v>39457</v>
      </c>
      <c r="B745" s="1">
        <v>8153.08</v>
      </c>
      <c r="C745" s="1">
        <v>8177.13</v>
      </c>
      <c r="D745" s="1">
        <v>8057.27</v>
      </c>
      <c r="E745" s="3">
        <v>8057.27</v>
      </c>
      <c r="F745" s="1">
        <v>4480000</v>
      </c>
    </row>
    <row r="746" spans="1:6">
      <c r="A746" s="2">
        <v>39458</v>
      </c>
      <c r="B746" s="1">
        <v>8134.11</v>
      </c>
      <c r="C746" s="1">
        <v>8151.95</v>
      </c>
      <c r="D746" s="1">
        <v>8026.34</v>
      </c>
      <c r="E746" s="3">
        <v>8029.31</v>
      </c>
      <c r="F746" s="1">
        <v>3920400</v>
      </c>
    </row>
    <row r="747" spans="1:6">
      <c r="A747" s="2">
        <v>39461</v>
      </c>
      <c r="B747" s="1">
        <v>8254</v>
      </c>
      <c r="C747" s="1">
        <v>8260.8799999999992</v>
      </c>
      <c r="D747" s="1">
        <v>8097.68</v>
      </c>
      <c r="E747" s="3">
        <v>8173.41</v>
      </c>
      <c r="F747" s="1">
        <v>6106000</v>
      </c>
    </row>
    <row r="748" spans="1:6">
      <c r="A748" s="2">
        <v>39462</v>
      </c>
      <c r="B748" s="1">
        <v>8316.24</v>
      </c>
      <c r="C748" s="1">
        <v>8546.2000000000007</v>
      </c>
      <c r="D748" s="1">
        <v>8312.02</v>
      </c>
      <c r="E748" s="3">
        <v>8428.84</v>
      </c>
      <c r="F748" s="1">
        <v>7548600</v>
      </c>
    </row>
    <row r="749" spans="1:6">
      <c r="A749" s="2">
        <v>39463</v>
      </c>
      <c r="B749" s="1">
        <v>8286.31</v>
      </c>
      <c r="C749" s="1">
        <v>8375.06</v>
      </c>
      <c r="D749" s="1">
        <v>8179.54</v>
      </c>
      <c r="E749" s="3">
        <v>8179.54</v>
      </c>
      <c r="F749" s="1">
        <v>7645200</v>
      </c>
    </row>
    <row r="750" spans="1:6">
      <c r="A750" s="2">
        <v>39464</v>
      </c>
      <c r="B750" s="1">
        <v>8245.19</v>
      </c>
      <c r="C750" s="1">
        <v>8300.2900000000009</v>
      </c>
      <c r="D750" s="1">
        <v>8004.47</v>
      </c>
      <c r="E750" s="3">
        <v>8101.63</v>
      </c>
      <c r="F750" s="1">
        <v>6393800</v>
      </c>
    </row>
    <row r="751" spans="1:6">
      <c r="A751" s="2">
        <v>39465</v>
      </c>
      <c r="B751" s="1">
        <v>7934.86</v>
      </c>
      <c r="C751" s="1">
        <v>8184.65</v>
      </c>
      <c r="D751" s="1">
        <v>7883.91</v>
      </c>
      <c r="E751" s="3">
        <v>8184.65</v>
      </c>
      <c r="F751" s="1">
        <v>5977400</v>
      </c>
    </row>
    <row r="752" spans="1:6">
      <c r="A752" s="2">
        <v>39468</v>
      </c>
      <c r="B752" s="1">
        <v>8167.48</v>
      </c>
      <c r="C752" s="1">
        <v>8220.6299999999992</v>
      </c>
      <c r="D752" s="1">
        <v>8099.59</v>
      </c>
      <c r="E752" s="3">
        <v>8110.2</v>
      </c>
      <c r="F752" s="1">
        <v>5519000</v>
      </c>
    </row>
    <row r="753" spans="1:6">
      <c r="A753" s="2">
        <v>39469</v>
      </c>
      <c r="B753" s="1">
        <v>7595.17</v>
      </c>
      <c r="C753" s="1">
        <v>7741.99</v>
      </c>
      <c r="D753" s="1">
        <v>7566.75</v>
      </c>
      <c r="E753" s="3">
        <v>7581.96</v>
      </c>
      <c r="F753" s="1">
        <v>4674600</v>
      </c>
    </row>
    <row r="754" spans="1:6">
      <c r="A754" s="2">
        <v>39470</v>
      </c>
      <c r="B754" s="1">
        <v>7708.27</v>
      </c>
      <c r="C754" s="1">
        <v>7708.27</v>
      </c>
      <c r="D754" s="1">
        <v>7384.61</v>
      </c>
      <c r="E754" s="3">
        <v>7408.4</v>
      </c>
      <c r="F754" s="1">
        <v>5692200</v>
      </c>
    </row>
    <row r="755" spans="1:6">
      <c r="A755" s="2">
        <v>39471</v>
      </c>
      <c r="B755" s="1">
        <v>7639.23</v>
      </c>
      <c r="C755" s="1">
        <v>7653.08</v>
      </c>
      <c r="D755" s="1">
        <v>7412.97</v>
      </c>
      <c r="E755" s="3">
        <v>7517.05</v>
      </c>
      <c r="F755" s="1">
        <v>5326400</v>
      </c>
    </row>
    <row r="756" spans="1:6">
      <c r="A756" s="2">
        <v>39472</v>
      </c>
      <c r="B756" s="1">
        <v>7648.29</v>
      </c>
      <c r="C756" s="1">
        <v>7739.59</v>
      </c>
      <c r="D756" s="1">
        <v>7648.29</v>
      </c>
      <c r="E756" s="3">
        <v>7739.59</v>
      </c>
      <c r="F756" s="1">
        <v>4640400</v>
      </c>
    </row>
    <row r="757" spans="1:6">
      <c r="A757" s="2">
        <v>39475</v>
      </c>
      <c r="B757" s="1">
        <v>7678.81</v>
      </c>
      <c r="C757" s="1">
        <v>7705.61</v>
      </c>
      <c r="D757" s="1">
        <v>7478.2</v>
      </c>
      <c r="E757" s="3">
        <v>7485.79</v>
      </c>
      <c r="F757" s="1">
        <v>3969400</v>
      </c>
    </row>
    <row r="758" spans="1:6">
      <c r="A758" s="2">
        <v>39476</v>
      </c>
      <c r="B758" s="1">
        <v>7593.71</v>
      </c>
      <c r="C758" s="1">
        <v>7603.38</v>
      </c>
      <c r="D758" s="1">
        <v>7447.44</v>
      </c>
      <c r="E758" s="3">
        <v>7576.42</v>
      </c>
      <c r="F758" s="1">
        <v>3867400</v>
      </c>
    </row>
    <row r="759" spans="1:6">
      <c r="A759" s="2">
        <v>39477</v>
      </c>
      <c r="B759" s="1">
        <v>7604.29</v>
      </c>
      <c r="C759" s="1">
        <v>7667.07</v>
      </c>
      <c r="D759" s="1">
        <v>7507.52</v>
      </c>
      <c r="E759" s="3">
        <v>7543.5</v>
      </c>
      <c r="F759" s="1">
        <v>4061000</v>
      </c>
    </row>
    <row r="760" spans="1:6">
      <c r="A760" s="2">
        <v>39478</v>
      </c>
      <c r="B760" s="1">
        <v>7528.18</v>
      </c>
      <c r="C760" s="1">
        <v>7579.43</v>
      </c>
      <c r="D760" s="1">
        <v>7400.74</v>
      </c>
      <c r="E760" s="3">
        <v>7521.13</v>
      </c>
      <c r="F760" s="1">
        <v>4342600</v>
      </c>
    </row>
    <row r="761" spans="1:6">
      <c r="A761" s="2">
        <v>39479</v>
      </c>
      <c r="B761" s="1">
        <v>7613.58</v>
      </c>
      <c r="C761" s="1">
        <v>7706.03</v>
      </c>
      <c r="D761" s="1">
        <v>7583.65</v>
      </c>
      <c r="E761" s="3">
        <v>7673.99</v>
      </c>
      <c r="F761" s="1">
        <v>4123200</v>
      </c>
    </row>
    <row r="762" spans="1:6">
      <c r="A762" s="2">
        <v>39490</v>
      </c>
      <c r="B762" s="1">
        <v>7568.3</v>
      </c>
      <c r="C762" s="1">
        <v>7619.98</v>
      </c>
      <c r="D762" s="1">
        <v>7530.37</v>
      </c>
      <c r="E762" s="3">
        <v>7553.3</v>
      </c>
      <c r="F762" s="1">
        <v>3811000</v>
      </c>
    </row>
    <row r="763" spans="1:6">
      <c r="A763" s="2">
        <v>39491</v>
      </c>
      <c r="B763" s="1">
        <v>7644.8</v>
      </c>
      <c r="C763" s="1">
        <v>7655.89</v>
      </c>
      <c r="D763" s="1">
        <v>7533.6</v>
      </c>
      <c r="E763" s="3">
        <v>7550.55</v>
      </c>
      <c r="F763" s="1">
        <v>3561200</v>
      </c>
    </row>
    <row r="764" spans="1:6">
      <c r="A764" s="2">
        <v>39492</v>
      </c>
      <c r="B764" s="1">
        <v>7711.45</v>
      </c>
      <c r="C764" s="1">
        <v>7865.28</v>
      </c>
      <c r="D764" s="1">
        <v>7707</v>
      </c>
      <c r="E764" s="3">
        <v>7865.28</v>
      </c>
      <c r="F764" s="1">
        <v>4326600</v>
      </c>
    </row>
    <row r="765" spans="1:6">
      <c r="A765" s="2">
        <v>39493</v>
      </c>
      <c r="B765" s="1">
        <v>7766.49</v>
      </c>
      <c r="C765" s="1">
        <v>7888.15</v>
      </c>
      <c r="D765" s="1">
        <v>7761.93</v>
      </c>
      <c r="E765" s="3">
        <v>7876.37</v>
      </c>
      <c r="F765" s="1">
        <v>3882600</v>
      </c>
    </row>
    <row r="766" spans="1:6">
      <c r="A766" s="2">
        <v>39497</v>
      </c>
      <c r="B766" s="1">
        <v>7985.47</v>
      </c>
      <c r="C766" s="1">
        <v>8024.41</v>
      </c>
      <c r="D766" s="1">
        <v>7932.79</v>
      </c>
      <c r="E766" s="3">
        <v>8024.41</v>
      </c>
      <c r="F766" s="1">
        <v>4502800</v>
      </c>
    </row>
    <row r="767" spans="1:6">
      <c r="A767" s="2">
        <v>39498</v>
      </c>
      <c r="B767" s="1">
        <v>8000.12</v>
      </c>
      <c r="C767" s="1">
        <v>8040.83</v>
      </c>
      <c r="D767" s="1">
        <v>7855.48</v>
      </c>
      <c r="E767" s="3">
        <v>7894.47</v>
      </c>
      <c r="F767" s="1">
        <v>4148400</v>
      </c>
    </row>
    <row r="768" spans="1:6">
      <c r="A768" s="2">
        <v>39499</v>
      </c>
      <c r="B768" s="1">
        <v>7982.35</v>
      </c>
      <c r="C768" s="1">
        <v>8085.93</v>
      </c>
      <c r="D768" s="1">
        <v>7972.13</v>
      </c>
      <c r="E768" s="3">
        <v>8085.93</v>
      </c>
      <c r="F768" s="1">
        <v>4585400</v>
      </c>
    </row>
    <row r="769" spans="1:6">
      <c r="A769" s="2">
        <v>39500</v>
      </c>
      <c r="B769" s="1">
        <v>8013.35</v>
      </c>
      <c r="C769" s="1">
        <v>8108.71</v>
      </c>
      <c r="D769" s="1">
        <v>7986.97</v>
      </c>
      <c r="E769" s="3">
        <v>8108.71</v>
      </c>
      <c r="F769" s="1">
        <v>4923400</v>
      </c>
    </row>
    <row r="770" spans="1:6">
      <c r="A770" s="2">
        <v>39503</v>
      </c>
      <c r="B770" s="1">
        <v>8228.92</v>
      </c>
      <c r="C770" s="1">
        <v>8307.75</v>
      </c>
      <c r="D770" s="1">
        <v>8228.92</v>
      </c>
      <c r="E770" s="3">
        <v>8286.31</v>
      </c>
      <c r="F770" s="1">
        <v>6325000</v>
      </c>
    </row>
    <row r="771" spans="1:6">
      <c r="A771" s="2">
        <v>39504</v>
      </c>
      <c r="B771" s="1">
        <v>8379.5499999999993</v>
      </c>
      <c r="C771" s="1">
        <v>8386.5400000000009</v>
      </c>
      <c r="D771" s="1">
        <v>8258.8700000000008</v>
      </c>
      <c r="E771" s="3">
        <v>8307.67</v>
      </c>
      <c r="F771" s="1">
        <v>6403800</v>
      </c>
    </row>
    <row r="772" spans="1:6">
      <c r="A772" s="2">
        <v>39505</v>
      </c>
      <c r="B772" s="1">
        <v>8401.1200000000008</v>
      </c>
      <c r="C772" s="1">
        <v>8462.08</v>
      </c>
      <c r="D772" s="1">
        <v>8362.94</v>
      </c>
      <c r="E772" s="3">
        <v>8462.08</v>
      </c>
      <c r="F772" s="1">
        <v>6403600</v>
      </c>
    </row>
    <row r="773" spans="1:6">
      <c r="A773" s="2">
        <v>39507</v>
      </c>
      <c r="B773" s="1">
        <v>8367.4500000000007</v>
      </c>
      <c r="C773" s="1">
        <v>8473.7099999999991</v>
      </c>
      <c r="D773" s="1">
        <v>8367.4500000000007</v>
      </c>
      <c r="E773" s="3">
        <v>8412.76</v>
      </c>
      <c r="F773" s="1">
        <v>5924600</v>
      </c>
    </row>
    <row r="774" spans="1:6">
      <c r="A774" s="2">
        <v>39510</v>
      </c>
      <c r="B774" s="1">
        <v>8213.7000000000007</v>
      </c>
      <c r="C774" s="1">
        <v>8265.85</v>
      </c>
      <c r="D774" s="1">
        <v>8147.27</v>
      </c>
      <c r="E774" s="3">
        <v>8262.8700000000008</v>
      </c>
      <c r="F774" s="1">
        <v>5371400</v>
      </c>
    </row>
    <row r="775" spans="1:6">
      <c r="A775" s="2">
        <v>39511</v>
      </c>
      <c r="B775" s="1">
        <v>8279.02</v>
      </c>
      <c r="C775" s="1">
        <v>8471.07</v>
      </c>
      <c r="D775" s="1">
        <v>8279.02</v>
      </c>
      <c r="E775" s="3">
        <v>8470.11</v>
      </c>
      <c r="F775" s="1">
        <v>6154200</v>
      </c>
    </row>
    <row r="776" spans="1:6">
      <c r="A776" s="2">
        <v>39512</v>
      </c>
      <c r="B776" s="1">
        <v>8493.9699999999993</v>
      </c>
      <c r="C776" s="1">
        <v>8559.59</v>
      </c>
      <c r="D776" s="1">
        <v>8439.35</v>
      </c>
      <c r="E776" s="3">
        <v>8483.9500000000007</v>
      </c>
      <c r="F776" s="1">
        <v>6387800</v>
      </c>
    </row>
    <row r="777" spans="1:6">
      <c r="A777" s="2">
        <v>39513</v>
      </c>
      <c r="B777" s="1">
        <v>8559.08</v>
      </c>
      <c r="C777" s="1">
        <v>8658.64</v>
      </c>
      <c r="D777" s="1">
        <v>8526.3700000000008</v>
      </c>
      <c r="E777" s="3">
        <v>8658.64</v>
      </c>
      <c r="F777" s="1">
        <v>6635600</v>
      </c>
    </row>
    <row r="778" spans="1:6">
      <c r="A778" s="2">
        <v>39514</v>
      </c>
      <c r="B778" s="1">
        <v>8537.24</v>
      </c>
      <c r="C778" s="1">
        <v>8624.65</v>
      </c>
      <c r="D778" s="1">
        <v>8513.24</v>
      </c>
      <c r="E778" s="3">
        <v>8531.3799999999992</v>
      </c>
      <c r="F778" s="1">
        <v>6186600</v>
      </c>
    </row>
    <row r="779" spans="1:6">
      <c r="A779" s="2">
        <v>39517</v>
      </c>
      <c r="B779" s="1">
        <v>8500.81</v>
      </c>
      <c r="C779" s="1">
        <v>8507.2900000000009</v>
      </c>
      <c r="D779" s="1">
        <v>8286.57</v>
      </c>
      <c r="E779" s="3">
        <v>8299.3700000000008</v>
      </c>
      <c r="F779" s="1">
        <v>5125200</v>
      </c>
    </row>
    <row r="780" spans="1:6">
      <c r="A780" s="2">
        <v>39518</v>
      </c>
      <c r="B780" s="1">
        <v>8206.74</v>
      </c>
      <c r="C780" s="1">
        <v>8381.6</v>
      </c>
      <c r="D780" s="1">
        <v>8206.74</v>
      </c>
      <c r="E780" s="3">
        <v>8381.6</v>
      </c>
      <c r="F780" s="1">
        <v>4787000</v>
      </c>
    </row>
    <row r="781" spans="1:6">
      <c r="A781" s="2">
        <v>39519</v>
      </c>
      <c r="B781" s="1">
        <v>8577.85</v>
      </c>
      <c r="C781" s="1">
        <v>8577.85</v>
      </c>
      <c r="D781" s="1">
        <v>8424.1</v>
      </c>
      <c r="E781" s="3">
        <v>8435.2999999999993</v>
      </c>
      <c r="F781" s="1">
        <v>5224600</v>
      </c>
    </row>
    <row r="782" spans="1:6">
      <c r="A782" s="2">
        <v>39520</v>
      </c>
      <c r="B782" s="1">
        <v>8408.4599999999991</v>
      </c>
      <c r="C782" s="1">
        <v>8447.98</v>
      </c>
      <c r="D782" s="1">
        <v>8198.77</v>
      </c>
      <c r="E782" s="3">
        <v>8210.99</v>
      </c>
      <c r="F782" s="1">
        <v>4257000</v>
      </c>
    </row>
    <row r="783" spans="1:6">
      <c r="A783" s="2">
        <v>39521</v>
      </c>
      <c r="B783" s="1">
        <v>8293.1200000000008</v>
      </c>
      <c r="C783" s="1">
        <v>8315.23</v>
      </c>
      <c r="D783" s="1">
        <v>8120.49</v>
      </c>
      <c r="E783" s="3">
        <v>8161.39</v>
      </c>
      <c r="F783" s="1">
        <v>4559200</v>
      </c>
    </row>
    <row r="784" spans="1:6">
      <c r="A784" s="2">
        <v>39524</v>
      </c>
      <c r="B784" s="1">
        <v>8041.31</v>
      </c>
      <c r="C784" s="1">
        <v>8053.08</v>
      </c>
      <c r="D784" s="1">
        <v>7900.8</v>
      </c>
      <c r="E784" s="3">
        <v>8005.46</v>
      </c>
      <c r="F784" s="1">
        <v>4595400</v>
      </c>
    </row>
    <row r="785" spans="1:6">
      <c r="A785" s="2">
        <v>39525</v>
      </c>
      <c r="B785" s="1">
        <v>8039.29</v>
      </c>
      <c r="C785" s="1">
        <v>8082.57</v>
      </c>
      <c r="D785" s="1">
        <v>7955.48</v>
      </c>
      <c r="E785" s="3">
        <v>8057.82</v>
      </c>
      <c r="F785" s="1">
        <v>4114800</v>
      </c>
    </row>
    <row r="786" spans="1:6">
      <c r="A786" s="2">
        <v>39526</v>
      </c>
      <c r="B786" s="1">
        <v>8215.7999999999993</v>
      </c>
      <c r="C786" s="1">
        <v>8233.4699999999993</v>
      </c>
      <c r="D786" s="1">
        <v>8142.73</v>
      </c>
      <c r="E786" s="3">
        <v>8179.35</v>
      </c>
      <c r="F786" s="1">
        <v>4831800</v>
      </c>
    </row>
    <row r="787" spans="1:6">
      <c r="A787" s="2">
        <v>39527</v>
      </c>
      <c r="B787" s="1">
        <v>8151.53</v>
      </c>
      <c r="C787" s="1">
        <v>8343.3799999999992</v>
      </c>
      <c r="D787" s="1">
        <v>8124.67</v>
      </c>
      <c r="E787" s="3">
        <v>8337.6200000000008</v>
      </c>
      <c r="F787" s="1">
        <v>5514200</v>
      </c>
    </row>
    <row r="788" spans="1:6">
      <c r="A788" s="2">
        <v>39528</v>
      </c>
      <c r="B788" s="1">
        <v>8453.56</v>
      </c>
      <c r="C788" s="1">
        <v>8539.91</v>
      </c>
      <c r="D788" s="1">
        <v>8412.52</v>
      </c>
      <c r="E788" s="3">
        <v>8524.99</v>
      </c>
      <c r="F788" s="1">
        <v>6460000</v>
      </c>
    </row>
    <row r="789" spans="1:6">
      <c r="A789" s="2">
        <v>39531</v>
      </c>
      <c r="B789" s="1">
        <v>9049.23</v>
      </c>
      <c r="C789" s="1">
        <v>9049.23</v>
      </c>
      <c r="D789" s="1">
        <v>8781.02</v>
      </c>
      <c r="E789" s="3">
        <v>8865.35</v>
      </c>
      <c r="F789" s="1">
        <v>8697000</v>
      </c>
    </row>
    <row r="790" spans="1:6">
      <c r="A790" s="2">
        <v>39532</v>
      </c>
      <c r="B790" s="1">
        <v>8853.7800000000007</v>
      </c>
      <c r="C790" s="1">
        <v>8899.26</v>
      </c>
      <c r="D790" s="1">
        <v>8761.01</v>
      </c>
      <c r="E790" s="3">
        <v>8795.09</v>
      </c>
      <c r="F790" s="1">
        <v>6914000</v>
      </c>
    </row>
    <row r="791" spans="1:6">
      <c r="A791" s="2">
        <v>39533</v>
      </c>
      <c r="B791" s="1">
        <v>8776.19</v>
      </c>
      <c r="C791" s="1">
        <v>8842.52</v>
      </c>
      <c r="D791" s="1">
        <v>8712.39</v>
      </c>
      <c r="E791" s="3">
        <v>8768.02</v>
      </c>
      <c r="F791" s="1">
        <v>6933600</v>
      </c>
    </row>
    <row r="792" spans="1:6">
      <c r="A792" s="2">
        <v>39534</v>
      </c>
      <c r="B792" s="1">
        <v>8698.16</v>
      </c>
      <c r="C792" s="1">
        <v>8708.92</v>
      </c>
      <c r="D792" s="1">
        <v>8559.1</v>
      </c>
      <c r="E792" s="3">
        <v>8605.9500000000007</v>
      </c>
      <c r="F792" s="1">
        <v>6124400</v>
      </c>
    </row>
    <row r="793" spans="1:6">
      <c r="A793" s="2">
        <v>39535</v>
      </c>
      <c r="B793" s="1">
        <v>8591.91</v>
      </c>
      <c r="C793" s="1">
        <v>8668.2199999999993</v>
      </c>
      <c r="D793" s="1">
        <v>8564.0300000000007</v>
      </c>
      <c r="E793" s="3">
        <v>8623.48</v>
      </c>
      <c r="F793" s="1">
        <v>5444200</v>
      </c>
    </row>
    <row r="794" spans="1:6">
      <c r="A794" s="2">
        <v>39538</v>
      </c>
      <c r="B794" s="1">
        <v>8605.9</v>
      </c>
      <c r="C794" s="1">
        <v>8627.5300000000007</v>
      </c>
      <c r="D794" s="1">
        <v>8499.0300000000007</v>
      </c>
      <c r="E794" s="3">
        <v>8572.59</v>
      </c>
      <c r="F794" s="1">
        <v>4984600</v>
      </c>
    </row>
    <row r="795" spans="1:6">
      <c r="A795" s="2">
        <v>39539</v>
      </c>
      <c r="B795" s="1">
        <v>8593.2000000000007</v>
      </c>
      <c r="C795" s="1">
        <v>8608.9500000000007</v>
      </c>
      <c r="D795" s="1">
        <v>8419.7199999999993</v>
      </c>
      <c r="E795" s="3">
        <v>8419.7199999999993</v>
      </c>
      <c r="F795" s="1">
        <v>5053400</v>
      </c>
    </row>
    <row r="796" spans="1:6">
      <c r="A796" s="2">
        <v>39540</v>
      </c>
      <c r="B796" s="1">
        <v>8578.59</v>
      </c>
      <c r="C796" s="1">
        <v>8619.7800000000007</v>
      </c>
      <c r="D796" s="1">
        <v>8519.67</v>
      </c>
      <c r="E796" s="3">
        <v>8605.32</v>
      </c>
      <c r="F796" s="1">
        <v>5023400</v>
      </c>
    </row>
    <row r="797" spans="1:6">
      <c r="A797" s="2">
        <v>39541</v>
      </c>
      <c r="B797" s="1">
        <v>8593.85</v>
      </c>
      <c r="C797" s="1">
        <v>8621.59</v>
      </c>
      <c r="D797" s="1">
        <v>8555.6200000000008</v>
      </c>
      <c r="E797" s="3">
        <v>8596.34</v>
      </c>
      <c r="F797" s="1">
        <v>4691600</v>
      </c>
    </row>
    <row r="798" spans="1:6">
      <c r="A798" s="2">
        <v>39545</v>
      </c>
      <c r="B798" s="1">
        <v>8638.6299999999992</v>
      </c>
      <c r="C798" s="1">
        <v>8729.7900000000009</v>
      </c>
      <c r="D798" s="1">
        <v>8619.99</v>
      </c>
      <c r="E798" s="3">
        <v>8729.7900000000009</v>
      </c>
      <c r="F798" s="1">
        <v>4730800</v>
      </c>
    </row>
    <row r="799" spans="1:6">
      <c r="A799" s="2">
        <v>39546</v>
      </c>
      <c r="B799" s="1">
        <v>8717.06</v>
      </c>
      <c r="C799" s="1">
        <v>8725.69</v>
      </c>
      <c r="D799" s="1">
        <v>8672.85</v>
      </c>
      <c r="E799" s="3">
        <v>8672.85</v>
      </c>
      <c r="F799" s="1">
        <v>4826000</v>
      </c>
    </row>
    <row r="800" spans="1:6">
      <c r="A800" s="2">
        <v>39547</v>
      </c>
      <c r="B800" s="1">
        <v>8684.66</v>
      </c>
      <c r="C800" s="1">
        <v>8759.75</v>
      </c>
      <c r="D800" s="1">
        <v>8628.6200000000008</v>
      </c>
      <c r="E800" s="3">
        <v>8667.93</v>
      </c>
      <c r="F800" s="1">
        <v>5174000</v>
      </c>
    </row>
    <row r="801" spans="1:6">
      <c r="A801" s="2">
        <v>39548</v>
      </c>
      <c r="B801" s="1">
        <v>8682.1</v>
      </c>
      <c r="C801" s="1">
        <v>8829.4</v>
      </c>
      <c r="D801" s="1">
        <v>8681.89</v>
      </c>
      <c r="E801" s="3">
        <v>8829.4</v>
      </c>
      <c r="F801" s="1">
        <v>4983000</v>
      </c>
    </row>
    <row r="802" spans="1:6">
      <c r="A802" s="2">
        <v>39549</v>
      </c>
      <c r="B802" s="1">
        <v>8872.65</v>
      </c>
      <c r="C802" s="1">
        <v>8937.1200000000008</v>
      </c>
      <c r="D802" s="1">
        <v>8840.0400000000009</v>
      </c>
      <c r="E802" s="3">
        <v>8909.58</v>
      </c>
      <c r="F802" s="1">
        <v>7167000</v>
      </c>
    </row>
    <row r="803" spans="1:6">
      <c r="A803" s="2">
        <v>39552</v>
      </c>
      <c r="B803" s="1">
        <v>8877.4699999999993</v>
      </c>
      <c r="C803" s="1">
        <v>8928.8700000000008</v>
      </c>
      <c r="D803" s="1">
        <v>8839.1200000000008</v>
      </c>
      <c r="E803" s="3">
        <v>8892.68</v>
      </c>
      <c r="F803" s="1">
        <v>6673800</v>
      </c>
    </row>
    <row r="804" spans="1:6">
      <c r="A804" s="2">
        <v>39553</v>
      </c>
      <c r="B804" s="1">
        <v>8931.08</v>
      </c>
      <c r="C804" s="1">
        <v>8951.56</v>
      </c>
      <c r="D804" s="1">
        <v>8885.32</v>
      </c>
      <c r="E804" s="3">
        <v>8924.7800000000007</v>
      </c>
      <c r="F804" s="1">
        <v>6236200</v>
      </c>
    </row>
    <row r="805" spans="1:6">
      <c r="A805" s="2">
        <v>39554</v>
      </c>
      <c r="B805" s="1">
        <v>9007.6299999999992</v>
      </c>
      <c r="C805" s="1">
        <v>9068.9699999999993</v>
      </c>
      <c r="D805" s="1">
        <v>8981.91</v>
      </c>
      <c r="E805" s="3">
        <v>9066.0400000000009</v>
      </c>
      <c r="F805" s="1">
        <v>7499400</v>
      </c>
    </row>
    <row r="806" spans="1:6">
      <c r="A806" s="2">
        <v>39555</v>
      </c>
      <c r="B806" s="1">
        <v>9185.58</v>
      </c>
      <c r="C806" s="1">
        <v>9194.86</v>
      </c>
      <c r="D806" s="1">
        <v>9063.69</v>
      </c>
      <c r="E806" s="3">
        <v>9090.43</v>
      </c>
      <c r="F806" s="1">
        <v>8117200</v>
      </c>
    </row>
    <row r="807" spans="1:6">
      <c r="A807" s="2">
        <v>39556</v>
      </c>
      <c r="B807" s="1">
        <v>9092.93</v>
      </c>
      <c r="C807" s="1">
        <v>9123.07</v>
      </c>
      <c r="D807" s="1">
        <v>9025.01</v>
      </c>
      <c r="E807" s="3">
        <v>9074.34</v>
      </c>
      <c r="F807" s="1">
        <v>6308800</v>
      </c>
    </row>
    <row r="808" spans="1:6">
      <c r="A808" s="2">
        <v>39559</v>
      </c>
      <c r="B808" s="1">
        <v>9156.77</v>
      </c>
      <c r="C808" s="1">
        <v>9160.1</v>
      </c>
      <c r="D808" s="1">
        <v>9047.66</v>
      </c>
      <c r="E808" s="3">
        <v>9083.32</v>
      </c>
      <c r="F808" s="1">
        <v>6144600</v>
      </c>
    </row>
    <row r="809" spans="1:6">
      <c r="A809" s="2">
        <v>39560</v>
      </c>
      <c r="B809" s="1">
        <v>9067.9</v>
      </c>
      <c r="C809" s="1">
        <v>9081.2900000000009</v>
      </c>
      <c r="D809" s="1">
        <v>8997.02</v>
      </c>
      <c r="E809" s="3">
        <v>9037.25</v>
      </c>
      <c r="F809" s="1">
        <v>5248000</v>
      </c>
    </row>
    <row r="810" spans="1:6">
      <c r="A810" s="2">
        <v>39561</v>
      </c>
      <c r="B810" s="1">
        <v>9032.61</v>
      </c>
      <c r="C810" s="1">
        <v>9079.43</v>
      </c>
      <c r="D810" s="1">
        <v>8951.5300000000007</v>
      </c>
      <c r="E810" s="3">
        <v>9008.49</v>
      </c>
      <c r="F810" s="1">
        <v>5812200</v>
      </c>
    </row>
    <row r="811" spans="1:6">
      <c r="A811" s="2">
        <v>39562</v>
      </c>
      <c r="B811" s="1">
        <v>9025.4699999999993</v>
      </c>
      <c r="C811" s="1">
        <v>9064.15</v>
      </c>
      <c r="D811" s="1">
        <v>8974.7900000000009</v>
      </c>
      <c r="E811" s="3">
        <v>8990.33</v>
      </c>
      <c r="F811" s="1">
        <v>5208400</v>
      </c>
    </row>
    <row r="812" spans="1:6">
      <c r="A812" s="2">
        <v>39563</v>
      </c>
      <c r="B812" s="1">
        <v>9053.2999999999993</v>
      </c>
      <c r="C812" s="1">
        <v>9062.9699999999993</v>
      </c>
      <c r="D812" s="1">
        <v>8945.2199999999993</v>
      </c>
      <c r="E812" s="3">
        <v>8947.83</v>
      </c>
      <c r="F812" s="1">
        <v>5443800</v>
      </c>
    </row>
    <row r="813" spans="1:6">
      <c r="A813" s="2">
        <v>39566</v>
      </c>
      <c r="B813" s="1">
        <v>8965.73</v>
      </c>
      <c r="C813" s="1">
        <v>9079.6</v>
      </c>
      <c r="D813" s="1">
        <v>8953.9500000000007</v>
      </c>
      <c r="E813" s="3">
        <v>9079.6</v>
      </c>
      <c r="F813" s="1">
        <v>5140800</v>
      </c>
    </row>
    <row r="814" spans="1:6">
      <c r="A814" s="2">
        <v>39567</v>
      </c>
      <c r="B814" s="1">
        <v>9056.16</v>
      </c>
      <c r="C814" s="1">
        <v>9077.77</v>
      </c>
      <c r="D814" s="1">
        <v>8891.74</v>
      </c>
      <c r="E814" s="3">
        <v>8891.74</v>
      </c>
      <c r="F814" s="1">
        <v>5244800</v>
      </c>
    </row>
    <row r="815" spans="1:6">
      <c r="A815" s="2">
        <v>39568</v>
      </c>
      <c r="B815" s="1">
        <v>8917.6200000000008</v>
      </c>
      <c r="C815" s="1">
        <v>8962.99</v>
      </c>
      <c r="D815" s="1">
        <v>8882.57</v>
      </c>
      <c r="E815" s="3">
        <v>8919.92</v>
      </c>
      <c r="F815" s="1">
        <v>5097200</v>
      </c>
    </row>
    <row r="816" spans="1:6">
      <c r="A816" s="2">
        <v>39570</v>
      </c>
      <c r="B816" s="1">
        <v>8998.06</v>
      </c>
      <c r="C816" s="1">
        <v>9010.7099999999991</v>
      </c>
      <c r="D816" s="1">
        <v>8950.2800000000007</v>
      </c>
      <c r="E816" s="3">
        <v>8963.6299999999992</v>
      </c>
      <c r="F816" s="1">
        <v>5657600</v>
      </c>
    </row>
    <row r="817" spans="1:6">
      <c r="A817" s="2">
        <v>39573</v>
      </c>
      <c r="B817" s="1">
        <v>8968.5400000000009</v>
      </c>
      <c r="C817" s="1">
        <v>8976.2199999999993</v>
      </c>
      <c r="D817" s="1">
        <v>8814.48</v>
      </c>
      <c r="E817" s="3">
        <v>8837.07</v>
      </c>
      <c r="F817" s="1">
        <v>5174600</v>
      </c>
    </row>
    <row r="818" spans="1:6">
      <c r="A818" s="2">
        <v>39574</v>
      </c>
      <c r="B818" s="1">
        <v>8852.2000000000007</v>
      </c>
      <c r="C818" s="1">
        <v>8862.5</v>
      </c>
      <c r="D818" s="1">
        <v>8782.9599999999991</v>
      </c>
      <c r="E818" s="3">
        <v>8857.3700000000008</v>
      </c>
      <c r="F818" s="1">
        <v>4739600</v>
      </c>
    </row>
    <row r="819" spans="1:6">
      <c r="A819" s="2">
        <v>39575</v>
      </c>
      <c r="B819" s="1">
        <v>8919.93</v>
      </c>
      <c r="C819" s="1">
        <v>8977.9</v>
      </c>
      <c r="D819" s="1">
        <v>8902.19</v>
      </c>
      <c r="E819" s="3">
        <v>8926.34</v>
      </c>
      <c r="F819" s="1">
        <v>5208200</v>
      </c>
    </row>
    <row r="820" spans="1:6">
      <c r="A820" s="2">
        <v>39576</v>
      </c>
      <c r="B820" s="1">
        <v>8865.73</v>
      </c>
      <c r="C820" s="1">
        <v>8880.7099999999991</v>
      </c>
      <c r="D820" s="1">
        <v>8806.99</v>
      </c>
      <c r="E820" s="3">
        <v>8866.6200000000008</v>
      </c>
      <c r="F820" s="1">
        <v>5033200</v>
      </c>
    </row>
    <row r="821" spans="1:6">
      <c r="A821" s="2">
        <v>39577</v>
      </c>
      <c r="B821" s="1">
        <v>8895.0499999999993</v>
      </c>
      <c r="C821" s="1">
        <v>8896.31</v>
      </c>
      <c r="D821" s="1">
        <v>8792.39</v>
      </c>
      <c r="E821" s="3">
        <v>8792.39</v>
      </c>
      <c r="F821" s="1">
        <v>5184000</v>
      </c>
    </row>
    <row r="822" spans="1:6">
      <c r="A822" s="2">
        <v>39580</v>
      </c>
      <c r="B822" s="1">
        <v>8808.59</v>
      </c>
      <c r="C822" s="1">
        <v>8838.99</v>
      </c>
      <c r="D822" s="1">
        <v>8754.27</v>
      </c>
      <c r="E822" s="3">
        <v>8830.0499999999993</v>
      </c>
      <c r="F822" s="1">
        <v>4324000</v>
      </c>
    </row>
    <row r="823" spans="1:6">
      <c r="A823" s="2">
        <v>39581</v>
      </c>
      <c r="B823" s="1">
        <v>8894.94</v>
      </c>
      <c r="C823" s="1">
        <v>8995.35</v>
      </c>
      <c r="D823" s="1">
        <v>8859.24</v>
      </c>
      <c r="E823" s="3">
        <v>8989.5300000000007</v>
      </c>
      <c r="F823" s="1">
        <v>4869000</v>
      </c>
    </row>
    <row r="824" spans="1:6">
      <c r="A824" s="2">
        <v>39582</v>
      </c>
      <c r="B824" s="1">
        <v>9038.85</v>
      </c>
      <c r="C824" s="1">
        <v>9056.7999999999993</v>
      </c>
      <c r="D824" s="1">
        <v>8994.17</v>
      </c>
      <c r="E824" s="3">
        <v>9018.42</v>
      </c>
      <c r="F824" s="1">
        <v>4821000</v>
      </c>
    </row>
    <row r="825" spans="1:6">
      <c r="A825" s="2">
        <v>39583</v>
      </c>
      <c r="B825" s="1">
        <v>9093.2099999999991</v>
      </c>
      <c r="C825" s="1">
        <v>9158.9500000000007</v>
      </c>
      <c r="D825" s="1">
        <v>9087.9500000000007</v>
      </c>
      <c r="E825" s="3">
        <v>9157.18</v>
      </c>
      <c r="F825" s="1">
        <v>6043800</v>
      </c>
    </row>
    <row r="826" spans="1:6">
      <c r="A826" s="2">
        <v>39584</v>
      </c>
      <c r="B826" s="1">
        <v>9211.2099999999991</v>
      </c>
      <c r="C826" s="1">
        <v>9241.52</v>
      </c>
      <c r="D826" s="1">
        <v>9171.39</v>
      </c>
      <c r="E826" s="3">
        <v>9197.41</v>
      </c>
      <c r="F826" s="1">
        <v>6284600</v>
      </c>
    </row>
    <row r="827" spans="1:6">
      <c r="A827" s="2">
        <v>39587</v>
      </c>
      <c r="B827" s="1">
        <v>9249.57</v>
      </c>
      <c r="C827" s="1">
        <v>9295.2000000000007</v>
      </c>
      <c r="D827" s="1">
        <v>9207.27</v>
      </c>
      <c r="E827" s="3">
        <v>9295.2000000000007</v>
      </c>
      <c r="F827" s="1">
        <v>5674400</v>
      </c>
    </row>
    <row r="828" spans="1:6">
      <c r="A828" s="2">
        <v>39588</v>
      </c>
      <c r="B828" s="1">
        <v>9309.9500000000007</v>
      </c>
      <c r="C828" s="1">
        <v>9309.9500000000007</v>
      </c>
      <c r="D828" s="1">
        <v>9057.31</v>
      </c>
      <c r="E828" s="3">
        <v>9068.89</v>
      </c>
      <c r="F828" s="1">
        <v>6496800</v>
      </c>
    </row>
    <row r="829" spans="1:6">
      <c r="A829" s="2">
        <v>39589</v>
      </c>
      <c r="B829" s="1">
        <v>9036.57</v>
      </c>
      <c r="C829" s="1">
        <v>9079.91</v>
      </c>
      <c r="D829" s="1">
        <v>8973.15</v>
      </c>
      <c r="E829" s="3">
        <v>9015.57</v>
      </c>
      <c r="F829" s="1">
        <v>5356800</v>
      </c>
    </row>
    <row r="830" spans="1:6">
      <c r="A830" s="2">
        <v>39590</v>
      </c>
      <c r="B830" s="1">
        <v>8898.94</v>
      </c>
      <c r="C830" s="1">
        <v>9008.0300000000007</v>
      </c>
      <c r="D830" s="1">
        <v>8878.06</v>
      </c>
      <c r="E830" s="3">
        <v>9008.0300000000007</v>
      </c>
      <c r="F830" s="1">
        <v>5864600</v>
      </c>
    </row>
    <row r="831" spans="1:6">
      <c r="A831" s="2">
        <v>39591</v>
      </c>
      <c r="B831" s="1">
        <v>9007.2099999999991</v>
      </c>
      <c r="C831" s="1">
        <v>9050.7800000000007</v>
      </c>
      <c r="D831" s="1">
        <v>8834.73</v>
      </c>
      <c r="E831" s="3">
        <v>8834.73</v>
      </c>
      <c r="F831" s="1">
        <v>5748800</v>
      </c>
    </row>
    <row r="832" spans="1:6">
      <c r="A832" s="2">
        <v>39594</v>
      </c>
      <c r="B832" s="1">
        <v>8808.74</v>
      </c>
      <c r="C832" s="1">
        <v>8811.07</v>
      </c>
      <c r="D832" s="1">
        <v>8706.7800000000007</v>
      </c>
      <c r="E832" s="3">
        <v>8707.83</v>
      </c>
      <c r="F832" s="1">
        <v>4512800</v>
      </c>
    </row>
    <row r="833" spans="1:6">
      <c r="A833" s="2">
        <v>39595</v>
      </c>
      <c r="B833" s="1">
        <v>8779.34</v>
      </c>
      <c r="C833" s="1">
        <v>8789.77</v>
      </c>
      <c r="D833" s="1">
        <v>8723.7199999999993</v>
      </c>
      <c r="E833" s="3">
        <v>8778.39</v>
      </c>
      <c r="F833" s="1">
        <v>4165000</v>
      </c>
    </row>
    <row r="834" spans="1:6">
      <c r="A834" s="2">
        <v>39596</v>
      </c>
      <c r="B834" s="1">
        <v>8826.94</v>
      </c>
      <c r="C834" s="1">
        <v>8834.52</v>
      </c>
      <c r="D834" s="1">
        <v>8665.73</v>
      </c>
      <c r="E834" s="3">
        <v>8665.73</v>
      </c>
      <c r="F834" s="1">
        <v>4378400</v>
      </c>
    </row>
    <row r="835" spans="1:6">
      <c r="A835" s="2">
        <v>39597</v>
      </c>
      <c r="B835" s="1">
        <v>8773.81</v>
      </c>
      <c r="C835" s="1">
        <v>8794.02</v>
      </c>
      <c r="D835" s="1">
        <v>8675.7099999999991</v>
      </c>
      <c r="E835" s="3">
        <v>8684.92</v>
      </c>
      <c r="F835" s="1">
        <v>4699200</v>
      </c>
    </row>
    <row r="836" spans="1:6">
      <c r="A836" s="2">
        <v>39598</v>
      </c>
      <c r="B836" s="1">
        <v>8762.2999999999993</v>
      </c>
      <c r="C836" s="1">
        <v>8765.99</v>
      </c>
      <c r="D836" s="1">
        <v>8548.32</v>
      </c>
      <c r="E836" s="3">
        <v>8619.08</v>
      </c>
      <c r="F836" s="1">
        <v>5922200</v>
      </c>
    </row>
    <row r="837" spans="1:6">
      <c r="A837" s="2">
        <v>39601</v>
      </c>
      <c r="B837" s="1">
        <v>8638.48</v>
      </c>
      <c r="C837" s="1">
        <v>8724.4699999999993</v>
      </c>
      <c r="D837" s="1">
        <v>8631.4599999999991</v>
      </c>
      <c r="E837" s="3">
        <v>8724.4699999999993</v>
      </c>
      <c r="F837" s="1">
        <v>3714200</v>
      </c>
    </row>
    <row r="838" spans="1:6">
      <c r="A838" s="2">
        <v>39602</v>
      </c>
      <c r="B838" s="1">
        <v>8664.66</v>
      </c>
      <c r="C838" s="1">
        <v>8693.48</v>
      </c>
      <c r="D838" s="1">
        <v>8558.4599999999991</v>
      </c>
      <c r="E838" s="3">
        <v>8579.43</v>
      </c>
      <c r="F838" s="1">
        <v>3860400</v>
      </c>
    </row>
    <row r="839" spans="1:6">
      <c r="A839" s="2">
        <v>39603</v>
      </c>
      <c r="B839" s="1">
        <v>8594.8799999999992</v>
      </c>
      <c r="C839" s="1">
        <v>8635.94</v>
      </c>
      <c r="D839" s="1">
        <v>8562.1299999999992</v>
      </c>
      <c r="E839" s="3">
        <v>8627.7999999999993</v>
      </c>
      <c r="F839" s="1">
        <v>3460400</v>
      </c>
    </row>
    <row r="840" spans="1:6">
      <c r="A840" s="2">
        <v>39604</v>
      </c>
      <c r="B840" s="1">
        <v>8649.7199999999993</v>
      </c>
      <c r="C840" s="1">
        <v>8745.9</v>
      </c>
      <c r="D840" s="1">
        <v>8520.7999999999993</v>
      </c>
      <c r="E840" s="3">
        <v>8738.4599999999991</v>
      </c>
      <c r="F840" s="1">
        <v>4056600</v>
      </c>
    </row>
    <row r="841" spans="1:6">
      <c r="A841" s="2">
        <v>39605</v>
      </c>
      <c r="B841" s="1">
        <v>8802.51</v>
      </c>
      <c r="C841" s="1">
        <v>8809.33</v>
      </c>
      <c r="D841" s="1">
        <v>8745.35</v>
      </c>
      <c r="E841" s="3">
        <v>8745.35</v>
      </c>
      <c r="F841" s="1">
        <v>4092600</v>
      </c>
    </row>
    <row r="842" spans="1:6">
      <c r="A842" s="2">
        <v>39608</v>
      </c>
      <c r="B842" s="1">
        <v>8522.3700000000008</v>
      </c>
      <c r="C842" s="1">
        <v>8596.23</v>
      </c>
      <c r="D842" s="1">
        <v>8514.93</v>
      </c>
      <c r="E842" s="3">
        <v>8587.9599999999991</v>
      </c>
      <c r="F842" s="1">
        <v>3553800</v>
      </c>
    </row>
    <row r="843" spans="1:6">
      <c r="A843" s="2">
        <v>39609</v>
      </c>
      <c r="B843" s="1">
        <v>8581.99</v>
      </c>
      <c r="C843" s="1">
        <v>8602.11</v>
      </c>
      <c r="D843" s="1">
        <v>8370</v>
      </c>
      <c r="E843" s="3">
        <v>8370</v>
      </c>
      <c r="F843" s="1">
        <v>4150800</v>
      </c>
    </row>
    <row r="844" spans="1:6">
      <c r="A844" s="2">
        <v>39610</v>
      </c>
      <c r="B844" s="1">
        <v>8402.31</v>
      </c>
      <c r="C844" s="1">
        <v>8423.42</v>
      </c>
      <c r="D844" s="1">
        <v>8297.92</v>
      </c>
      <c r="E844" s="3">
        <v>8345.59</v>
      </c>
      <c r="F844" s="1">
        <v>3919600</v>
      </c>
    </row>
    <row r="845" spans="1:6">
      <c r="A845" s="2">
        <v>39611</v>
      </c>
      <c r="B845" s="1">
        <v>8212.34</v>
      </c>
      <c r="C845" s="1">
        <v>8216.43</v>
      </c>
      <c r="D845" s="1">
        <v>8053.07</v>
      </c>
      <c r="E845" s="3">
        <v>8062.31</v>
      </c>
      <c r="F845" s="1">
        <v>4918400</v>
      </c>
    </row>
    <row r="846" spans="1:6">
      <c r="A846" s="2">
        <v>39612</v>
      </c>
      <c r="B846" s="1">
        <v>8119.49</v>
      </c>
      <c r="C846" s="1">
        <v>8161.64</v>
      </c>
      <c r="D846" s="1">
        <v>8042.89</v>
      </c>
      <c r="E846" s="3">
        <v>8105.59</v>
      </c>
      <c r="F846" s="1">
        <v>4248200</v>
      </c>
    </row>
    <row r="847" spans="1:6">
      <c r="A847" s="2">
        <v>39615</v>
      </c>
      <c r="B847" s="1">
        <v>8191.22</v>
      </c>
      <c r="C847" s="1">
        <v>8227.39</v>
      </c>
      <c r="D847" s="1">
        <v>8139.84</v>
      </c>
      <c r="E847" s="3">
        <v>8169.77</v>
      </c>
      <c r="F847" s="1">
        <v>3585400</v>
      </c>
    </row>
    <row r="848" spans="1:6">
      <c r="A848" s="2">
        <v>39616</v>
      </c>
      <c r="B848" s="1">
        <v>8182.35</v>
      </c>
      <c r="C848" s="1">
        <v>8203.98</v>
      </c>
      <c r="D848" s="1">
        <v>8067.96</v>
      </c>
      <c r="E848" s="3">
        <v>8201.7900000000009</v>
      </c>
      <c r="F848" s="1">
        <v>3545600</v>
      </c>
    </row>
    <row r="849" spans="1:6">
      <c r="A849" s="2">
        <v>39617</v>
      </c>
      <c r="B849" s="1">
        <v>8158.64</v>
      </c>
      <c r="C849" s="1">
        <v>8253.85</v>
      </c>
      <c r="D849" s="1">
        <v>8148.61</v>
      </c>
      <c r="E849" s="3">
        <v>8217.58</v>
      </c>
      <c r="F849" s="1">
        <v>3427200</v>
      </c>
    </row>
    <row r="850" spans="1:6">
      <c r="A850" s="2">
        <v>39618</v>
      </c>
      <c r="B850" s="1">
        <v>8075.26</v>
      </c>
      <c r="C850" s="1">
        <v>8107.2</v>
      </c>
      <c r="D850" s="1">
        <v>8044.66</v>
      </c>
      <c r="E850" s="3">
        <v>8047.74</v>
      </c>
      <c r="F850" s="1">
        <v>3587000</v>
      </c>
    </row>
    <row r="851" spans="1:6">
      <c r="A851" s="2">
        <v>39619</v>
      </c>
      <c r="B851" s="1">
        <v>8088.38</v>
      </c>
      <c r="C851" s="1">
        <v>8088.38</v>
      </c>
      <c r="D851" s="1">
        <v>7897.97</v>
      </c>
      <c r="E851" s="3">
        <v>7902.44</v>
      </c>
      <c r="F851" s="1">
        <v>4130200</v>
      </c>
    </row>
    <row r="852" spans="1:6">
      <c r="A852" s="2">
        <v>39622</v>
      </c>
      <c r="B852" s="1">
        <v>7767.59</v>
      </c>
      <c r="C852" s="1">
        <v>7916.92</v>
      </c>
      <c r="D852" s="1">
        <v>7749.62</v>
      </c>
      <c r="E852" s="3">
        <v>7876.49</v>
      </c>
      <c r="F852" s="1">
        <v>3589600</v>
      </c>
    </row>
    <row r="853" spans="1:6">
      <c r="A853" s="2">
        <v>39623</v>
      </c>
      <c r="B853" s="1">
        <v>7888.75</v>
      </c>
      <c r="C853" s="1">
        <v>7928.41</v>
      </c>
      <c r="D853" s="1">
        <v>7738.12</v>
      </c>
      <c r="E853" s="3">
        <v>7738.12</v>
      </c>
      <c r="F853" s="1">
        <v>3847200</v>
      </c>
    </row>
    <row r="854" spans="1:6">
      <c r="A854" s="2">
        <v>39624</v>
      </c>
      <c r="B854" s="1">
        <v>7751.12</v>
      </c>
      <c r="C854" s="1">
        <v>7855.06</v>
      </c>
      <c r="D854" s="1">
        <v>7679.08</v>
      </c>
      <c r="E854" s="3">
        <v>7855.06</v>
      </c>
      <c r="F854" s="1">
        <v>4147400</v>
      </c>
    </row>
    <row r="855" spans="1:6">
      <c r="A855" s="2">
        <v>39625</v>
      </c>
      <c r="B855" s="1">
        <v>7872.56</v>
      </c>
      <c r="C855" s="1">
        <v>7904.9</v>
      </c>
      <c r="D855" s="1">
        <v>7801.52</v>
      </c>
      <c r="E855" s="3">
        <v>7811.8</v>
      </c>
      <c r="F855" s="1">
        <v>3821200</v>
      </c>
    </row>
    <row r="856" spans="1:6">
      <c r="A856" s="2">
        <v>39626</v>
      </c>
      <c r="B856" s="1">
        <v>7489.97</v>
      </c>
      <c r="C856" s="1">
        <v>7586.5</v>
      </c>
      <c r="D856" s="1">
        <v>7466.2</v>
      </c>
      <c r="E856" s="3">
        <v>7548.76</v>
      </c>
      <c r="F856" s="1">
        <v>4494400</v>
      </c>
    </row>
    <row r="857" spans="1:6">
      <c r="A857" s="2">
        <v>39629</v>
      </c>
      <c r="B857" s="1">
        <v>7602.51</v>
      </c>
      <c r="C857" s="1">
        <v>7604.42</v>
      </c>
      <c r="D857" s="1">
        <v>7479.21</v>
      </c>
      <c r="E857" s="3">
        <v>7523.54</v>
      </c>
      <c r="F857" s="1">
        <v>3914600</v>
      </c>
    </row>
    <row r="858" spans="1:6">
      <c r="A858" s="2">
        <v>39630</v>
      </c>
      <c r="B858" s="1">
        <v>7528.54</v>
      </c>
      <c r="C858" s="1">
        <v>7569.18</v>
      </c>
      <c r="D858" s="1">
        <v>7407.98</v>
      </c>
      <c r="E858" s="3">
        <v>7407.98</v>
      </c>
      <c r="F858" s="1">
        <v>3657400</v>
      </c>
    </row>
    <row r="859" spans="1:6">
      <c r="A859" s="2">
        <v>39631</v>
      </c>
      <c r="B859" s="1">
        <v>7386.28</v>
      </c>
      <c r="C859" s="1">
        <v>7485.28</v>
      </c>
      <c r="D859" s="1">
        <v>7351.74</v>
      </c>
      <c r="E859" s="3">
        <v>7353.86</v>
      </c>
      <c r="F859" s="1">
        <v>4238600</v>
      </c>
    </row>
    <row r="860" spans="1:6">
      <c r="A860" s="2">
        <v>39632</v>
      </c>
      <c r="B860" s="1">
        <v>7190.75</v>
      </c>
      <c r="C860" s="1">
        <v>7439.47</v>
      </c>
      <c r="D860" s="1">
        <v>7115.07</v>
      </c>
      <c r="E860" s="3">
        <v>7394.1</v>
      </c>
      <c r="F860" s="1">
        <v>4977200</v>
      </c>
    </row>
    <row r="861" spans="1:6">
      <c r="A861" s="2">
        <v>39633</v>
      </c>
      <c r="B861" s="1">
        <v>7405.34</v>
      </c>
      <c r="C861" s="1">
        <v>7416.25</v>
      </c>
      <c r="D861" s="1">
        <v>7226.84</v>
      </c>
      <c r="E861" s="3">
        <v>7228.41</v>
      </c>
      <c r="F861" s="1">
        <v>4143200</v>
      </c>
    </row>
    <row r="862" spans="1:6">
      <c r="A862" s="2">
        <v>39636</v>
      </c>
      <c r="B862" s="1">
        <v>7207.92</v>
      </c>
      <c r="C862" s="1">
        <v>7343.63</v>
      </c>
      <c r="D862" s="1">
        <v>7179.24</v>
      </c>
      <c r="E862" s="3">
        <v>7341.11</v>
      </c>
      <c r="F862" s="1">
        <v>3441200</v>
      </c>
    </row>
    <row r="863" spans="1:6">
      <c r="A863" s="2">
        <v>39637</v>
      </c>
      <c r="B863" s="1">
        <v>7274.94</v>
      </c>
      <c r="C863" s="1">
        <v>7274.94</v>
      </c>
      <c r="D863" s="1">
        <v>7016.21</v>
      </c>
      <c r="E863" s="3">
        <v>7051.85</v>
      </c>
      <c r="F863" s="1">
        <v>4377000</v>
      </c>
    </row>
    <row r="864" spans="1:6">
      <c r="A864" s="2">
        <v>39638</v>
      </c>
      <c r="B864" s="1">
        <v>7153.68</v>
      </c>
      <c r="C864" s="1">
        <v>7225.6</v>
      </c>
      <c r="D864" s="1">
        <v>7042.46</v>
      </c>
      <c r="E864" s="3">
        <v>7048.25</v>
      </c>
      <c r="F864" s="1">
        <v>4629800</v>
      </c>
    </row>
    <row r="865" spans="1:6">
      <c r="A865" s="2">
        <v>39639</v>
      </c>
      <c r="B865" s="1">
        <v>7028.63</v>
      </c>
      <c r="C865" s="1">
        <v>7141.02</v>
      </c>
      <c r="D865" s="1">
        <v>6976.6</v>
      </c>
      <c r="E865" s="3">
        <v>7075.65</v>
      </c>
      <c r="F865" s="1">
        <v>3936000</v>
      </c>
    </row>
    <row r="866" spans="1:6">
      <c r="A866" s="2">
        <v>39640</v>
      </c>
      <c r="B866" s="1">
        <v>7095.76</v>
      </c>
      <c r="C866" s="1">
        <v>7258.31</v>
      </c>
      <c r="D866" s="1">
        <v>7044.48</v>
      </c>
      <c r="E866" s="3">
        <v>7244.76</v>
      </c>
      <c r="F866" s="1">
        <v>4526400</v>
      </c>
    </row>
    <row r="867" spans="1:6">
      <c r="A867" s="2">
        <v>39643</v>
      </c>
      <c r="B867" s="1">
        <v>7214.21</v>
      </c>
      <c r="C867" s="1">
        <v>7270.49</v>
      </c>
      <c r="D867" s="1">
        <v>7140.47</v>
      </c>
      <c r="E867" s="3">
        <v>7156.96</v>
      </c>
      <c r="F867" s="1">
        <v>3766400</v>
      </c>
    </row>
    <row r="868" spans="1:6">
      <c r="A868" s="2">
        <v>39644</v>
      </c>
      <c r="B868" s="1">
        <v>7022.98</v>
      </c>
      <c r="C868" s="1">
        <v>7036.42</v>
      </c>
      <c r="D868" s="1">
        <v>6832.3</v>
      </c>
      <c r="E868" s="3">
        <v>6834.24</v>
      </c>
      <c r="F868" s="1">
        <v>4275000</v>
      </c>
    </row>
    <row r="869" spans="1:6">
      <c r="A869" s="2">
        <v>39645</v>
      </c>
      <c r="B869" s="1">
        <v>6846.02</v>
      </c>
      <c r="C869" s="1">
        <v>6867.73</v>
      </c>
      <c r="D869" s="1">
        <v>6708.46</v>
      </c>
      <c r="E869" s="3">
        <v>6710.64</v>
      </c>
      <c r="F869" s="1">
        <v>4331600</v>
      </c>
    </row>
    <row r="870" spans="1:6">
      <c r="A870" s="2">
        <v>39646</v>
      </c>
      <c r="B870" s="1">
        <v>6892.35</v>
      </c>
      <c r="C870" s="1">
        <v>6976.96</v>
      </c>
      <c r="D870" s="1">
        <v>6859.97</v>
      </c>
      <c r="E870" s="3">
        <v>6974.51</v>
      </c>
      <c r="F870" s="1">
        <v>4572200</v>
      </c>
    </row>
    <row r="871" spans="1:6">
      <c r="A871" s="2">
        <v>39647</v>
      </c>
      <c r="B871" s="1">
        <v>7075.5</v>
      </c>
      <c r="C871" s="1">
        <v>7075.5</v>
      </c>
      <c r="D871" s="1">
        <v>6782.2</v>
      </c>
      <c r="E871" s="3">
        <v>6815.32</v>
      </c>
      <c r="F871" s="1">
        <v>5042000</v>
      </c>
    </row>
    <row r="872" spans="1:6">
      <c r="A872" s="2">
        <v>39650</v>
      </c>
      <c r="B872" s="1">
        <v>6991.71</v>
      </c>
      <c r="C872" s="1">
        <v>7097.65</v>
      </c>
      <c r="D872" s="1">
        <v>6991.71</v>
      </c>
      <c r="E872" s="3">
        <v>7085.67</v>
      </c>
      <c r="F872" s="1">
        <v>4139200</v>
      </c>
    </row>
    <row r="873" spans="1:6">
      <c r="A873" s="2">
        <v>39651</v>
      </c>
      <c r="B873" s="1">
        <v>7029.84</v>
      </c>
      <c r="C873" s="1">
        <v>7098.68</v>
      </c>
      <c r="D873" s="1">
        <v>6998.13</v>
      </c>
      <c r="E873" s="3">
        <v>7065.65</v>
      </c>
      <c r="F873" s="1">
        <v>3731800</v>
      </c>
    </row>
    <row r="874" spans="1:6">
      <c r="A874" s="2">
        <v>39652</v>
      </c>
      <c r="B874" s="1">
        <v>7194.22</v>
      </c>
      <c r="C874" s="1">
        <v>7330.83</v>
      </c>
      <c r="D874" s="1">
        <v>7177.73</v>
      </c>
      <c r="E874" s="3">
        <v>7309.83</v>
      </c>
      <c r="F874" s="1">
        <v>4987600</v>
      </c>
    </row>
    <row r="875" spans="1:6">
      <c r="A875" s="2">
        <v>39653</v>
      </c>
      <c r="B875" s="1">
        <v>7357.15</v>
      </c>
      <c r="C875" s="1">
        <v>7368.08</v>
      </c>
      <c r="D875" s="1">
        <v>7294.13</v>
      </c>
      <c r="E875" s="3">
        <v>7368.08</v>
      </c>
      <c r="F875" s="1">
        <v>4996800</v>
      </c>
    </row>
    <row r="876" spans="1:6">
      <c r="A876" s="2">
        <v>39654</v>
      </c>
      <c r="B876" s="1">
        <v>7213.32</v>
      </c>
      <c r="C876" s="1">
        <v>7234.12</v>
      </c>
      <c r="D876" s="1">
        <v>7170.36</v>
      </c>
      <c r="E876" s="3">
        <v>7233.62</v>
      </c>
      <c r="F876" s="1">
        <v>3616200</v>
      </c>
    </row>
    <row r="877" spans="1:6">
      <c r="A877" s="2">
        <v>39658</v>
      </c>
      <c r="B877" s="1">
        <v>7052.58</v>
      </c>
      <c r="C877" s="1">
        <v>7052.58</v>
      </c>
      <c r="D877" s="1">
        <v>6958.89</v>
      </c>
      <c r="E877" s="3">
        <v>7014.47</v>
      </c>
      <c r="F877" s="1">
        <v>4042800</v>
      </c>
    </row>
    <row r="878" spans="1:6">
      <c r="A878" s="2">
        <v>39659</v>
      </c>
      <c r="B878" s="1">
        <v>7147.26</v>
      </c>
      <c r="C878" s="1">
        <v>7151.33</v>
      </c>
      <c r="D878" s="1">
        <v>7049.58</v>
      </c>
      <c r="E878" s="3">
        <v>7070.35</v>
      </c>
      <c r="F878" s="1">
        <v>3467000</v>
      </c>
    </row>
    <row r="879" spans="1:6">
      <c r="A879" s="2">
        <v>39660</v>
      </c>
      <c r="B879" s="1">
        <v>7135.04</v>
      </c>
      <c r="C879" s="1">
        <v>7172.48</v>
      </c>
      <c r="D879" s="1">
        <v>6965.08</v>
      </c>
      <c r="E879" s="3">
        <v>7024.06</v>
      </c>
      <c r="F879" s="1">
        <v>3700600</v>
      </c>
    </row>
    <row r="880" spans="1:6">
      <c r="A880" s="2">
        <v>39661</v>
      </c>
      <c r="B880" s="1">
        <v>6920.75</v>
      </c>
      <c r="C880" s="1">
        <v>7008</v>
      </c>
      <c r="D880" s="1">
        <v>6903.85</v>
      </c>
      <c r="E880" s="3">
        <v>7002.54</v>
      </c>
      <c r="F880" s="1">
        <v>3308000</v>
      </c>
    </row>
    <row r="881" spans="1:6">
      <c r="A881" s="2">
        <v>39664</v>
      </c>
      <c r="B881" s="1">
        <v>6947.25</v>
      </c>
      <c r="C881" s="1">
        <v>7010.93</v>
      </c>
      <c r="D881" s="1">
        <v>6927.31</v>
      </c>
      <c r="E881" s="3">
        <v>6977.36</v>
      </c>
      <c r="F881" s="1">
        <v>3136600</v>
      </c>
    </row>
    <row r="882" spans="1:6">
      <c r="A882" s="2">
        <v>39665</v>
      </c>
      <c r="B882" s="1">
        <v>7005.17</v>
      </c>
      <c r="C882" s="1">
        <v>7005.17</v>
      </c>
      <c r="D882" s="1">
        <v>6809.96</v>
      </c>
      <c r="E882" s="3">
        <v>6813.4</v>
      </c>
      <c r="F882" s="1">
        <v>4177000</v>
      </c>
    </row>
    <row r="883" spans="1:6">
      <c r="A883" s="2">
        <v>39666</v>
      </c>
      <c r="B883" s="1">
        <v>6941.5</v>
      </c>
      <c r="C883" s="1">
        <v>7026.24</v>
      </c>
      <c r="D883" s="1">
        <v>6921.97</v>
      </c>
      <c r="E883" s="3">
        <v>7026.24</v>
      </c>
      <c r="F883" s="1">
        <v>4241600</v>
      </c>
    </row>
    <row r="884" spans="1:6">
      <c r="A884" s="2">
        <v>39667</v>
      </c>
      <c r="B884" s="1">
        <v>7022.28</v>
      </c>
      <c r="C884" s="1">
        <v>7082.36</v>
      </c>
      <c r="D884" s="1">
        <v>6993.2</v>
      </c>
      <c r="E884" s="3">
        <v>7024.58</v>
      </c>
      <c r="F884" s="1">
        <v>3941800</v>
      </c>
    </row>
    <row r="885" spans="1:6">
      <c r="A885" s="2">
        <v>39668</v>
      </c>
      <c r="B885" s="1">
        <v>7000.75</v>
      </c>
      <c r="C885" s="1">
        <v>7216.58</v>
      </c>
      <c r="D885" s="1">
        <v>7000.75</v>
      </c>
      <c r="E885" s="3">
        <v>7209.04</v>
      </c>
      <c r="F885" s="1">
        <v>4943200</v>
      </c>
    </row>
    <row r="886" spans="1:6">
      <c r="A886" s="2">
        <v>39671</v>
      </c>
      <c r="B886" s="1">
        <v>7313.08</v>
      </c>
      <c r="C886" s="1">
        <v>7357.69</v>
      </c>
      <c r="D886" s="1">
        <v>7278.9</v>
      </c>
      <c r="E886" s="3">
        <v>7325.62</v>
      </c>
      <c r="F886" s="1">
        <v>4737000</v>
      </c>
    </row>
    <row r="887" spans="1:6">
      <c r="A887" s="2">
        <v>39672</v>
      </c>
      <c r="B887" s="1">
        <v>7337.67</v>
      </c>
      <c r="C887" s="1">
        <v>7337.67</v>
      </c>
      <c r="D887" s="1">
        <v>7260.12</v>
      </c>
      <c r="E887" s="3">
        <v>7293.8</v>
      </c>
      <c r="F887" s="1">
        <v>4271800</v>
      </c>
    </row>
    <row r="888" spans="1:6">
      <c r="A888" s="2">
        <v>39673</v>
      </c>
      <c r="B888" s="1">
        <v>7272.49</v>
      </c>
      <c r="C888" s="1">
        <v>7311.3</v>
      </c>
      <c r="D888" s="1">
        <v>7213.11</v>
      </c>
      <c r="E888" s="3">
        <v>7292.34</v>
      </c>
      <c r="F888" s="1">
        <v>4123000</v>
      </c>
    </row>
    <row r="889" spans="1:6">
      <c r="A889" s="2">
        <v>39674</v>
      </c>
      <c r="B889" s="1">
        <v>7265.01</v>
      </c>
      <c r="C889" s="1">
        <v>7353.31</v>
      </c>
      <c r="D889" s="1">
        <v>7253.63</v>
      </c>
      <c r="E889" s="3">
        <v>7326.07</v>
      </c>
      <c r="F889" s="1">
        <v>4276400</v>
      </c>
    </row>
    <row r="890" spans="1:6">
      <c r="A890" s="2">
        <v>39675</v>
      </c>
      <c r="B890" s="1">
        <v>7374.38</v>
      </c>
      <c r="C890" s="1">
        <v>7376.69</v>
      </c>
      <c r="D890" s="1">
        <v>7181.69</v>
      </c>
      <c r="E890" s="3">
        <v>7196.5</v>
      </c>
      <c r="F890" s="1">
        <v>3853200</v>
      </c>
    </row>
    <row r="891" spans="1:6">
      <c r="A891" s="2">
        <v>39678</v>
      </c>
      <c r="B891" s="1">
        <v>7189.68</v>
      </c>
      <c r="C891" s="1">
        <v>7213.69</v>
      </c>
      <c r="D891" s="1">
        <v>6996.78</v>
      </c>
      <c r="E891" s="3">
        <v>7000.74</v>
      </c>
      <c r="F891" s="1">
        <v>3594600</v>
      </c>
    </row>
    <row r="892" spans="1:6">
      <c r="A892" s="2">
        <v>39679</v>
      </c>
      <c r="B892" s="1">
        <v>6876.23</v>
      </c>
      <c r="C892" s="1">
        <v>6998.24</v>
      </c>
      <c r="D892" s="1">
        <v>6849.83</v>
      </c>
      <c r="E892" s="3">
        <v>6978.6</v>
      </c>
      <c r="F892" s="1">
        <v>3468400</v>
      </c>
    </row>
    <row r="893" spans="1:6">
      <c r="A893" s="2">
        <v>39680</v>
      </c>
      <c r="B893" s="1">
        <v>6927.46</v>
      </c>
      <c r="C893" s="1">
        <v>7053.56</v>
      </c>
      <c r="D893" s="1">
        <v>6898.29</v>
      </c>
      <c r="E893" s="3">
        <v>7040.9</v>
      </c>
      <c r="F893" s="1">
        <v>3446000</v>
      </c>
    </row>
    <row r="894" spans="1:6">
      <c r="A894" s="2">
        <v>39681</v>
      </c>
      <c r="B894" s="1">
        <v>6989.94</v>
      </c>
      <c r="C894" s="1">
        <v>7017.1</v>
      </c>
      <c r="D894" s="1">
        <v>6918.48</v>
      </c>
      <c r="E894" s="3">
        <v>6918.48</v>
      </c>
      <c r="F894" s="1">
        <v>3318600</v>
      </c>
    </row>
    <row r="895" spans="1:6">
      <c r="A895" s="2">
        <v>39682</v>
      </c>
      <c r="B895" s="1">
        <v>6966.12</v>
      </c>
      <c r="C895" s="1">
        <v>6994.8</v>
      </c>
      <c r="D895" s="1">
        <v>6837.25</v>
      </c>
      <c r="E895" s="3">
        <v>6911.64</v>
      </c>
      <c r="F895" s="1">
        <v>3240400</v>
      </c>
    </row>
    <row r="896" spans="1:6">
      <c r="A896" s="2">
        <v>39685</v>
      </c>
      <c r="B896" s="1">
        <v>6974.07</v>
      </c>
      <c r="C896" s="1">
        <v>7050.31</v>
      </c>
      <c r="D896" s="1">
        <v>6935.59</v>
      </c>
      <c r="E896" s="3">
        <v>7030.72</v>
      </c>
      <c r="F896" s="1">
        <v>3047200</v>
      </c>
    </row>
    <row r="897" spans="1:6">
      <c r="A897" s="2">
        <v>39686</v>
      </c>
      <c r="B897" s="1">
        <v>6945.14</v>
      </c>
      <c r="C897" s="1">
        <v>6980.85</v>
      </c>
      <c r="D897" s="1">
        <v>6917.31</v>
      </c>
      <c r="E897" s="3">
        <v>6964.6</v>
      </c>
      <c r="F897" s="1">
        <v>2548200</v>
      </c>
    </row>
    <row r="898" spans="1:6">
      <c r="A898" s="2">
        <v>39687</v>
      </c>
      <c r="B898" s="1">
        <v>6950.88</v>
      </c>
      <c r="C898" s="1">
        <v>7106.64</v>
      </c>
      <c r="D898" s="1">
        <v>6929.87</v>
      </c>
      <c r="E898" s="3">
        <v>7080.97</v>
      </c>
      <c r="F898" s="1">
        <v>3440000</v>
      </c>
    </row>
    <row r="899" spans="1:6">
      <c r="A899" s="2">
        <v>39688</v>
      </c>
      <c r="B899" s="1">
        <v>7090.32</v>
      </c>
      <c r="C899" s="1">
        <v>7127.84</v>
      </c>
      <c r="D899" s="1">
        <v>7025.3</v>
      </c>
      <c r="E899" s="3">
        <v>7033.37</v>
      </c>
      <c r="F899" s="1">
        <v>3807800</v>
      </c>
    </row>
    <row r="900" spans="1:6">
      <c r="A900" s="2">
        <v>39689</v>
      </c>
      <c r="B900" s="1">
        <v>7092.85</v>
      </c>
      <c r="C900" s="1">
        <v>7111.7</v>
      </c>
      <c r="D900" s="1">
        <v>7021.32</v>
      </c>
      <c r="E900" s="3">
        <v>7046.11</v>
      </c>
      <c r="F900" s="1">
        <v>3494400</v>
      </c>
    </row>
    <row r="901" spans="1:6">
      <c r="A901" s="2">
        <v>39692</v>
      </c>
      <c r="B901" s="1">
        <v>6967.22</v>
      </c>
      <c r="C901" s="1">
        <v>6967.22</v>
      </c>
      <c r="D901" s="1">
        <v>6801.22</v>
      </c>
      <c r="E901" s="3">
        <v>6813.09</v>
      </c>
      <c r="F901" s="1">
        <v>3445000</v>
      </c>
    </row>
    <row r="902" spans="1:6">
      <c r="A902" s="2">
        <v>39693</v>
      </c>
      <c r="B902" s="1">
        <v>6802.96</v>
      </c>
      <c r="C902" s="1">
        <v>6811.57</v>
      </c>
      <c r="D902" s="1">
        <v>6675.09</v>
      </c>
      <c r="E902" s="3">
        <v>6699.82</v>
      </c>
      <c r="F902" s="1">
        <v>3458400</v>
      </c>
    </row>
    <row r="903" spans="1:6">
      <c r="A903" s="2">
        <v>39694</v>
      </c>
      <c r="B903" s="1">
        <v>6706.87</v>
      </c>
      <c r="C903" s="1">
        <v>6748.52</v>
      </c>
      <c r="D903" s="1">
        <v>6552.1</v>
      </c>
      <c r="E903" s="3">
        <v>6584.93</v>
      </c>
      <c r="F903" s="1">
        <v>3934800</v>
      </c>
    </row>
    <row r="904" spans="1:6">
      <c r="A904" s="2">
        <v>39695</v>
      </c>
      <c r="B904" s="1">
        <v>6534.67</v>
      </c>
      <c r="C904" s="1">
        <v>6603.1</v>
      </c>
      <c r="D904" s="1">
        <v>6384.14</v>
      </c>
      <c r="E904" s="3">
        <v>6412.63</v>
      </c>
      <c r="F904" s="1">
        <v>4126400</v>
      </c>
    </row>
    <row r="905" spans="1:6">
      <c r="A905" s="2">
        <v>39696</v>
      </c>
      <c r="B905" s="1">
        <v>6227.07</v>
      </c>
      <c r="C905" s="1">
        <v>6347.47</v>
      </c>
      <c r="D905" s="1">
        <v>6211.35</v>
      </c>
      <c r="E905" s="3">
        <v>6307.28</v>
      </c>
      <c r="F905" s="1">
        <v>3958400</v>
      </c>
    </row>
    <row r="906" spans="1:6">
      <c r="A906" s="2">
        <v>39699</v>
      </c>
      <c r="B906" s="1">
        <v>6560.73</v>
      </c>
      <c r="C906" s="1">
        <v>6668.45</v>
      </c>
      <c r="D906" s="1">
        <v>6548.36</v>
      </c>
      <c r="E906" s="3">
        <v>6658.69</v>
      </c>
      <c r="F906" s="1">
        <v>3317200</v>
      </c>
    </row>
    <row r="907" spans="1:6">
      <c r="A907" s="2">
        <v>39700</v>
      </c>
      <c r="B907" s="1">
        <v>6598.61</v>
      </c>
      <c r="C907" s="1">
        <v>6598.61</v>
      </c>
      <c r="D907" s="1">
        <v>6407.75</v>
      </c>
      <c r="E907" s="3">
        <v>6424.77</v>
      </c>
      <c r="F907" s="1">
        <v>3529400</v>
      </c>
    </row>
    <row r="908" spans="1:6">
      <c r="A908" s="2">
        <v>39701</v>
      </c>
      <c r="B908" s="1">
        <v>6396.28</v>
      </c>
      <c r="C908" s="1">
        <v>6497.72</v>
      </c>
      <c r="D908" s="1">
        <v>6396.28</v>
      </c>
      <c r="E908" s="3">
        <v>6458.01</v>
      </c>
      <c r="F908" s="1">
        <v>3995200</v>
      </c>
    </row>
    <row r="909" spans="1:6">
      <c r="A909" s="2">
        <v>39702</v>
      </c>
      <c r="B909" s="1">
        <v>6438.49</v>
      </c>
      <c r="C909" s="1">
        <v>6438.49</v>
      </c>
      <c r="D909" s="1">
        <v>6249.52</v>
      </c>
      <c r="E909" s="3">
        <v>6251.95</v>
      </c>
      <c r="F909" s="1">
        <v>3718000</v>
      </c>
    </row>
    <row r="910" spans="1:6">
      <c r="A910" s="2">
        <v>39703</v>
      </c>
      <c r="B910" s="1">
        <v>6338.61</v>
      </c>
      <c r="C910" s="1">
        <v>6354.68</v>
      </c>
      <c r="D910" s="1">
        <v>6171.35</v>
      </c>
      <c r="E910" s="3">
        <v>6310.68</v>
      </c>
      <c r="F910" s="1">
        <v>3648800</v>
      </c>
    </row>
    <row r="911" spans="1:6">
      <c r="A911" s="2">
        <v>39706</v>
      </c>
      <c r="B911" s="1">
        <v>6198.3</v>
      </c>
      <c r="C911" s="1">
        <v>6202.14</v>
      </c>
      <c r="D911" s="1">
        <v>6020.7</v>
      </c>
      <c r="E911" s="3">
        <v>6052.45</v>
      </c>
      <c r="F911" s="1">
        <v>3130600</v>
      </c>
    </row>
    <row r="912" spans="1:6">
      <c r="A912" s="2">
        <v>39707</v>
      </c>
      <c r="B912" s="1">
        <v>5748.17</v>
      </c>
      <c r="C912" s="1">
        <v>5851.9</v>
      </c>
      <c r="D912" s="1">
        <v>5724.52</v>
      </c>
      <c r="E912" s="3">
        <v>5756.59</v>
      </c>
      <c r="F912" s="1">
        <v>3532000</v>
      </c>
    </row>
    <row r="913" spans="1:6">
      <c r="A913" s="2">
        <v>39708</v>
      </c>
      <c r="B913" s="1">
        <v>5953.88</v>
      </c>
      <c r="C913" s="1">
        <v>6027.29</v>
      </c>
      <c r="D913" s="1">
        <v>5747.3</v>
      </c>
      <c r="E913" s="3">
        <v>5800.87</v>
      </c>
      <c r="F913" s="1">
        <v>4704800</v>
      </c>
    </row>
    <row r="914" spans="1:6">
      <c r="A914" s="2">
        <v>39709</v>
      </c>
      <c r="B914" s="1">
        <v>5558.05</v>
      </c>
      <c r="C914" s="1">
        <v>5681.83</v>
      </c>
      <c r="D914" s="1">
        <v>5530.19</v>
      </c>
      <c r="E914" s="3">
        <v>5641.95</v>
      </c>
      <c r="F914" s="1">
        <v>4143800</v>
      </c>
    </row>
    <row r="915" spans="1:6">
      <c r="A915" s="2">
        <v>39710</v>
      </c>
      <c r="B915" s="1">
        <v>5910.76</v>
      </c>
      <c r="C915" s="1">
        <v>5982.64</v>
      </c>
      <c r="D915" s="1">
        <v>5858.19</v>
      </c>
      <c r="E915" s="3">
        <v>5970.38</v>
      </c>
      <c r="F915" s="1">
        <v>4413200</v>
      </c>
    </row>
    <row r="916" spans="1:6">
      <c r="A916" s="2">
        <v>39713</v>
      </c>
      <c r="B916" s="1">
        <v>6156.86</v>
      </c>
      <c r="C916" s="1">
        <v>6156.86</v>
      </c>
      <c r="D916" s="1">
        <v>6032.16</v>
      </c>
      <c r="E916" s="3">
        <v>6110.6</v>
      </c>
      <c r="F916" s="1">
        <v>4353800</v>
      </c>
    </row>
    <row r="917" spans="1:6">
      <c r="A917" s="2">
        <v>39714</v>
      </c>
      <c r="B917" s="1">
        <v>6016.56</v>
      </c>
      <c r="C917" s="1">
        <v>6182.21</v>
      </c>
      <c r="D917" s="1">
        <v>6011.71</v>
      </c>
      <c r="E917" s="3">
        <v>6182.21</v>
      </c>
      <c r="F917" s="1">
        <v>4144000</v>
      </c>
    </row>
    <row r="918" spans="1:6">
      <c r="A918" s="2">
        <v>39715</v>
      </c>
      <c r="B918" s="1">
        <v>6136.98</v>
      </c>
      <c r="C918" s="1">
        <v>6198.48</v>
      </c>
      <c r="D918" s="1">
        <v>6100.33</v>
      </c>
      <c r="E918" s="3">
        <v>6132.6</v>
      </c>
      <c r="F918" s="1">
        <v>4209000</v>
      </c>
    </row>
    <row r="919" spans="1:6">
      <c r="A919" s="2">
        <v>39716</v>
      </c>
      <c r="B919" s="1">
        <v>6056.7</v>
      </c>
      <c r="C919" s="1">
        <v>6164.59</v>
      </c>
      <c r="D919" s="1">
        <v>6028.77</v>
      </c>
      <c r="E919" s="3">
        <v>6060.83</v>
      </c>
      <c r="F919" s="1">
        <v>3768200</v>
      </c>
    </row>
    <row r="920" spans="1:6">
      <c r="A920" s="2">
        <v>39717</v>
      </c>
      <c r="B920" s="1">
        <v>6095.14</v>
      </c>
      <c r="C920" s="1">
        <v>6095.14</v>
      </c>
      <c r="D920" s="1">
        <v>5881.58</v>
      </c>
      <c r="E920" s="3">
        <v>5929.63</v>
      </c>
      <c r="F920" s="1">
        <v>3924400</v>
      </c>
    </row>
    <row r="921" spans="1:6">
      <c r="A921" s="2">
        <v>39721</v>
      </c>
      <c r="B921" s="1">
        <v>5534.72</v>
      </c>
      <c r="C921" s="1">
        <v>5719.28</v>
      </c>
      <c r="D921" s="1">
        <v>5534.72</v>
      </c>
      <c r="E921" s="3">
        <v>5719.28</v>
      </c>
      <c r="F921" s="1">
        <v>2947000</v>
      </c>
    </row>
    <row r="922" spans="1:6">
      <c r="A922" s="2">
        <v>39722</v>
      </c>
      <c r="B922" s="1">
        <v>5854</v>
      </c>
      <c r="C922" s="1">
        <v>5854</v>
      </c>
      <c r="D922" s="1">
        <v>5727.72</v>
      </c>
      <c r="E922" s="3">
        <v>5764.01</v>
      </c>
      <c r="F922" s="1">
        <v>2825800</v>
      </c>
    </row>
    <row r="923" spans="1:6">
      <c r="A923" s="2">
        <v>39723</v>
      </c>
      <c r="B923" s="1">
        <v>5764.48</v>
      </c>
      <c r="C923" s="1">
        <v>5840.09</v>
      </c>
      <c r="D923" s="1">
        <v>5672.39</v>
      </c>
      <c r="E923" s="3">
        <v>5703.72</v>
      </c>
      <c r="F923" s="1">
        <v>3026800</v>
      </c>
    </row>
    <row r="924" spans="1:6">
      <c r="A924" s="2">
        <v>39724</v>
      </c>
      <c r="B924" s="1">
        <v>5611.51</v>
      </c>
      <c r="C924" s="1">
        <v>5747.73</v>
      </c>
      <c r="D924" s="1">
        <v>5558.35</v>
      </c>
      <c r="E924" s="3">
        <v>5742.23</v>
      </c>
      <c r="F924" s="1">
        <v>3179600</v>
      </c>
    </row>
    <row r="925" spans="1:6">
      <c r="A925" s="2">
        <v>39727</v>
      </c>
      <c r="B925" s="1">
        <v>5566.56</v>
      </c>
      <c r="C925" s="1">
        <v>5590.52</v>
      </c>
      <c r="D925" s="1">
        <v>5505.7</v>
      </c>
      <c r="E925" s="3">
        <v>5505.7</v>
      </c>
      <c r="F925" s="1">
        <v>2945200</v>
      </c>
    </row>
    <row r="926" spans="1:6">
      <c r="A926" s="2">
        <v>39728</v>
      </c>
      <c r="B926" s="1">
        <v>5352.9</v>
      </c>
      <c r="C926" s="1">
        <v>5539.31</v>
      </c>
      <c r="D926" s="1">
        <v>5352.08</v>
      </c>
      <c r="E926" s="3">
        <v>5524.66</v>
      </c>
      <c r="F926" s="1">
        <v>3008200</v>
      </c>
    </row>
    <row r="927" spans="1:6">
      <c r="A927" s="2">
        <v>39729</v>
      </c>
      <c r="B927" s="1">
        <v>5374.27</v>
      </c>
      <c r="C927" s="1">
        <v>5411.72</v>
      </c>
      <c r="D927" s="1">
        <v>5206.3999999999996</v>
      </c>
      <c r="E927" s="3">
        <v>5206.3999999999996</v>
      </c>
      <c r="F927" s="1">
        <v>3213800</v>
      </c>
    </row>
    <row r="928" spans="1:6">
      <c r="A928" s="2">
        <v>39730</v>
      </c>
      <c r="B928" s="1">
        <v>5183.43</v>
      </c>
      <c r="C928" s="1">
        <v>5295.05</v>
      </c>
      <c r="D928" s="1">
        <v>5130.71</v>
      </c>
      <c r="E928" s="3">
        <v>5130.71</v>
      </c>
      <c r="F928" s="1">
        <v>3804400</v>
      </c>
    </row>
    <row r="929" spans="1:6">
      <c r="A929" s="2">
        <v>39734</v>
      </c>
      <c r="B929" s="1">
        <v>4996.0600000000004</v>
      </c>
      <c r="C929" s="1">
        <v>5025.7299999999996</v>
      </c>
      <c r="D929" s="1">
        <v>4971.3599999999997</v>
      </c>
      <c r="E929" s="3">
        <v>5020.4399999999996</v>
      </c>
      <c r="F929" s="1">
        <v>2205000</v>
      </c>
    </row>
    <row r="930" spans="1:6">
      <c r="A930" s="2">
        <v>39735</v>
      </c>
      <c r="B930" s="1">
        <v>5321.25</v>
      </c>
      <c r="C930" s="1">
        <v>5321.25</v>
      </c>
      <c r="D930" s="1">
        <v>5277.3</v>
      </c>
      <c r="E930" s="3">
        <v>5291.56</v>
      </c>
      <c r="F930" s="1">
        <v>3236800</v>
      </c>
    </row>
    <row r="931" spans="1:6">
      <c r="A931" s="2">
        <v>39736</v>
      </c>
      <c r="B931" s="1">
        <v>5225.05</v>
      </c>
      <c r="C931" s="1">
        <v>5246.26</v>
      </c>
      <c r="D931" s="1">
        <v>5178.68</v>
      </c>
      <c r="E931" s="3">
        <v>5246.26</v>
      </c>
      <c r="F931" s="1">
        <v>2673600</v>
      </c>
    </row>
    <row r="932" spans="1:6">
      <c r="A932" s="2">
        <v>39737</v>
      </c>
      <c r="B932" s="1">
        <v>5069.07</v>
      </c>
      <c r="C932" s="1">
        <v>5085.97</v>
      </c>
      <c r="D932" s="1">
        <v>5069.07</v>
      </c>
      <c r="E932" s="3">
        <v>5075.97</v>
      </c>
      <c r="F932" s="1">
        <v>1698000</v>
      </c>
    </row>
    <row r="933" spans="1:6">
      <c r="A933" s="2">
        <v>39738</v>
      </c>
      <c r="B933" s="1">
        <v>4993.79</v>
      </c>
      <c r="C933" s="1">
        <v>5024.43</v>
      </c>
      <c r="D933" s="1">
        <v>4924.7299999999996</v>
      </c>
      <c r="E933" s="3">
        <v>4960.3999999999996</v>
      </c>
      <c r="F933" s="1">
        <v>3068400</v>
      </c>
    </row>
    <row r="934" spans="1:6">
      <c r="A934" s="2">
        <v>39741</v>
      </c>
      <c r="B934" s="1">
        <v>4845.3100000000004</v>
      </c>
      <c r="C934" s="1">
        <v>4931.84</v>
      </c>
      <c r="D934" s="1">
        <v>4805.68</v>
      </c>
      <c r="E934" s="3">
        <v>4931.84</v>
      </c>
      <c r="F934" s="1">
        <v>2195600</v>
      </c>
    </row>
    <row r="935" spans="1:6">
      <c r="A935" s="2">
        <v>39742</v>
      </c>
      <c r="B935" s="1">
        <v>4988.8500000000004</v>
      </c>
      <c r="C935" s="1">
        <v>5045.45</v>
      </c>
      <c r="D935" s="1">
        <v>4890.32</v>
      </c>
      <c r="E935" s="3">
        <v>4942.72</v>
      </c>
      <c r="F935" s="1">
        <v>3491800</v>
      </c>
    </row>
    <row r="936" spans="1:6">
      <c r="A936" s="2">
        <v>39743</v>
      </c>
      <c r="B936" s="1">
        <v>4843.71</v>
      </c>
      <c r="C936" s="1">
        <v>4955.6099999999997</v>
      </c>
      <c r="D936" s="1">
        <v>4839.17</v>
      </c>
      <c r="E936" s="3">
        <v>4862.59</v>
      </c>
      <c r="F936" s="1">
        <v>2598000</v>
      </c>
    </row>
    <row r="937" spans="1:6">
      <c r="A937" s="2">
        <v>39744</v>
      </c>
      <c r="B937" s="1">
        <v>4706.13</v>
      </c>
      <c r="C937" s="1">
        <v>4730.51</v>
      </c>
      <c r="D937" s="1">
        <v>4706.13</v>
      </c>
      <c r="E937" s="3">
        <v>4730.51</v>
      </c>
      <c r="F937" s="1">
        <v>1710800</v>
      </c>
    </row>
    <row r="938" spans="1:6">
      <c r="A938" s="2">
        <v>39745</v>
      </c>
      <c r="B938" s="1">
        <v>4599.13</v>
      </c>
      <c r="C938" s="1">
        <v>4603.5600000000004</v>
      </c>
      <c r="D938" s="1">
        <v>4579.62</v>
      </c>
      <c r="E938" s="3">
        <v>4579.62</v>
      </c>
      <c r="F938" s="1">
        <v>1659800</v>
      </c>
    </row>
    <row r="939" spans="1:6">
      <c r="A939" s="2">
        <v>39748</v>
      </c>
      <c r="B939" s="1">
        <v>4301.33</v>
      </c>
      <c r="C939" s="1">
        <v>4391.95</v>
      </c>
      <c r="D939" s="1">
        <v>4301.33</v>
      </c>
      <c r="E939" s="3">
        <v>4366.87</v>
      </c>
      <c r="F939" s="1">
        <v>2183600</v>
      </c>
    </row>
    <row r="940" spans="1:6">
      <c r="A940" s="2">
        <v>39749</v>
      </c>
      <c r="B940" s="1">
        <v>4160.53</v>
      </c>
      <c r="C940" s="1">
        <v>4425.8999999999996</v>
      </c>
      <c r="D940" s="1">
        <v>4110.09</v>
      </c>
      <c r="E940" s="3">
        <v>4399.97</v>
      </c>
      <c r="F940" s="1">
        <v>4329200</v>
      </c>
    </row>
    <row r="941" spans="1:6">
      <c r="A941" s="2">
        <v>39750</v>
      </c>
      <c r="B941" s="1">
        <v>4622.55</v>
      </c>
      <c r="C941" s="1">
        <v>4622.55</v>
      </c>
      <c r="D941" s="1">
        <v>4395.6099999999997</v>
      </c>
      <c r="E941" s="3">
        <v>4406.5200000000004</v>
      </c>
      <c r="F941" s="1">
        <v>4528000</v>
      </c>
    </row>
    <row r="942" spans="1:6">
      <c r="A942" s="2">
        <v>39751</v>
      </c>
      <c r="B942" s="1">
        <v>4448.51</v>
      </c>
      <c r="C942" s="1">
        <v>4684.1099999999997</v>
      </c>
      <c r="D942" s="1">
        <v>4448.51</v>
      </c>
      <c r="E942" s="3">
        <v>4683.6400000000003</v>
      </c>
      <c r="F942" s="1">
        <v>4037400</v>
      </c>
    </row>
    <row r="943" spans="1:6">
      <c r="A943" s="2">
        <v>39752</v>
      </c>
      <c r="B943" s="1">
        <v>4707.75</v>
      </c>
      <c r="C943" s="1">
        <v>4911.8</v>
      </c>
      <c r="D943" s="1">
        <v>4659.67</v>
      </c>
      <c r="E943" s="3">
        <v>4870.66</v>
      </c>
      <c r="F943" s="1">
        <v>4772600</v>
      </c>
    </row>
    <row r="944" spans="1:6">
      <c r="A944" s="2">
        <v>39755</v>
      </c>
      <c r="B944" s="1">
        <v>4925.74</v>
      </c>
      <c r="C944" s="1">
        <v>5010.57</v>
      </c>
      <c r="D944" s="1">
        <v>4836.51</v>
      </c>
      <c r="E944" s="3">
        <v>4995.0600000000004</v>
      </c>
      <c r="F944" s="1">
        <v>4325600</v>
      </c>
    </row>
    <row r="945" spans="1:6">
      <c r="A945" s="2">
        <v>39756</v>
      </c>
      <c r="B945" s="1">
        <v>4991.25</v>
      </c>
      <c r="C945" s="1">
        <v>5015.12</v>
      </c>
      <c r="D945" s="1">
        <v>4876</v>
      </c>
      <c r="E945" s="3">
        <v>4992.63</v>
      </c>
      <c r="F945" s="1">
        <v>4130200</v>
      </c>
    </row>
    <row r="946" spans="1:6">
      <c r="A946" s="2">
        <v>39757</v>
      </c>
      <c r="B946" s="1">
        <v>5077.01</v>
      </c>
      <c r="C946" s="1">
        <v>5095.9799999999996</v>
      </c>
      <c r="D946" s="1">
        <v>4965.3999999999996</v>
      </c>
      <c r="E946" s="3">
        <v>4978.26</v>
      </c>
      <c r="F946" s="1">
        <v>4516600</v>
      </c>
    </row>
    <row r="947" spans="1:6">
      <c r="A947" s="2">
        <v>39758</v>
      </c>
      <c r="B947" s="1">
        <v>4699.09</v>
      </c>
      <c r="C947" s="1">
        <v>4741.1400000000003</v>
      </c>
      <c r="D947" s="1">
        <v>4688.1099999999997</v>
      </c>
      <c r="E947" s="3">
        <v>4694.12</v>
      </c>
      <c r="F947" s="1">
        <v>3419000</v>
      </c>
    </row>
    <row r="948" spans="1:6">
      <c r="A948" s="2">
        <v>39759</v>
      </c>
      <c r="B948" s="1">
        <v>4468.08</v>
      </c>
      <c r="C948" s="1">
        <v>4777.2299999999996</v>
      </c>
      <c r="D948" s="1">
        <v>4468.08</v>
      </c>
      <c r="E948" s="3">
        <v>4742.33</v>
      </c>
      <c r="F948" s="1">
        <v>3785800</v>
      </c>
    </row>
    <row r="949" spans="1:6">
      <c r="A949" s="2">
        <v>39762</v>
      </c>
      <c r="B949" s="1">
        <v>4711.6099999999997</v>
      </c>
      <c r="C949" s="1">
        <v>4772.32</v>
      </c>
      <c r="D949" s="1">
        <v>4657.47</v>
      </c>
      <c r="E949" s="3">
        <v>4740.2700000000004</v>
      </c>
      <c r="F949" s="1">
        <v>3235200</v>
      </c>
    </row>
    <row r="950" spans="1:6">
      <c r="A950" s="2">
        <v>39763</v>
      </c>
      <c r="B950" s="1">
        <v>4652.63</v>
      </c>
      <c r="C950" s="1">
        <v>4706.18</v>
      </c>
      <c r="D950" s="1">
        <v>4593.8599999999997</v>
      </c>
      <c r="E950" s="3">
        <v>4638.57</v>
      </c>
      <c r="F950" s="1">
        <v>3284600</v>
      </c>
    </row>
    <row r="951" spans="1:6">
      <c r="A951" s="2">
        <v>39764</v>
      </c>
      <c r="B951" s="1">
        <v>4587.2</v>
      </c>
      <c r="C951" s="1">
        <v>4673.33</v>
      </c>
      <c r="D951" s="1">
        <v>4545.8599999999997</v>
      </c>
      <c r="E951" s="3">
        <v>4615.57</v>
      </c>
      <c r="F951" s="1">
        <v>2692800</v>
      </c>
    </row>
    <row r="952" spans="1:6">
      <c r="A952" s="2">
        <v>39765</v>
      </c>
      <c r="B952" s="1">
        <v>4425.25</v>
      </c>
      <c r="C952" s="1">
        <v>4438.82</v>
      </c>
      <c r="D952" s="1">
        <v>4374.6400000000003</v>
      </c>
      <c r="E952" s="3">
        <v>4437.83</v>
      </c>
      <c r="F952" s="1">
        <v>3261800</v>
      </c>
    </row>
    <row r="953" spans="1:6">
      <c r="A953" s="2">
        <v>39766</v>
      </c>
      <c r="B953" s="1">
        <v>4537.43</v>
      </c>
      <c r="C953" s="1">
        <v>4541.3500000000004</v>
      </c>
      <c r="D953" s="1">
        <v>4422.75</v>
      </c>
      <c r="E953" s="3">
        <v>4452.7</v>
      </c>
      <c r="F953" s="1">
        <v>3154600</v>
      </c>
    </row>
    <row r="954" spans="1:6">
      <c r="A954" s="2">
        <v>39769</v>
      </c>
      <c r="B954" s="1">
        <v>4362.53</v>
      </c>
      <c r="C954" s="1">
        <v>4475.93</v>
      </c>
      <c r="D954" s="1">
        <v>4362.53</v>
      </c>
      <c r="E954" s="3">
        <v>4439.8</v>
      </c>
      <c r="F954" s="1">
        <v>2769800</v>
      </c>
    </row>
    <row r="955" spans="1:6">
      <c r="A955" s="2">
        <v>39770</v>
      </c>
      <c r="B955" s="1">
        <v>4366.34</v>
      </c>
      <c r="C955" s="1">
        <v>4376.28</v>
      </c>
      <c r="D955" s="1">
        <v>4265.05</v>
      </c>
      <c r="E955" s="3">
        <v>4305.18</v>
      </c>
      <c r="F955" s="1">
        <v>3185400</v>
      </c>
    </row>
    <row r="956" spans="1:6">
      <c r="A956" s="2">
        <v>39771</v>
      </c>
      <c r="B956" s="1">
        <v>4266</v>
      </c>
      <c r="C956" s="1">
        <v>4320.8500000000004</v>
      </c>
      <c r="D956" s="1">
        <v>4226.49</v>
      </c>
      <c r="E956" s="3">
        <v>4284.09</v>
      </c>
      <c r="F956" s="1">
        <v>3091600</v>
      </c>
    </row>
    <row r="957" spans="1:6">
      <c r="A957" s="2">
        <v>39772</v>
      </c>
      <c r="B957" s="1">
        <v>4120.51</v>
      </c>
      <c r="C957" s="1">
        <v>4191.37</v>
      </c>
      <c r="D957" s="1">
        <v>4089.93</v>
      </c>
      <c r="E957" s="3">
        <v>4089.93</v>
      </c>
      <c r="F957" s="1">
        <v>3195600</v>
      </c>
    </row>
    <row r="958" spans="1:6">
      <c r="A958" s="2">
        <v>39773</v>
      </c>
      <c r="B958" s="1">
        <v>3962.69</v>
      </c>
      <c r="C958" s="1">
        <v>4194.71</v>
      </c>
      <c r="D958" s="1">
        <v>3955.43</v>
      </c>
      <c r="E958" s="3">
        <v>4171.1000000000004</v>
      </c>
      <c r="F958" s="1">
        <v>3333800</v>
      </c>
    </row>
    <row r="959" spans="1:6">
      <c r="A959" s="2">
        <v>39776</v>
      </c>
      <c r="B959" s="1">
        <v>4158.76</v>
      </c>
      <c r="C959" s="1">
        <v>4172.49</v>
      </c>
      <c r="D959" s="1">
        <v>4081.66</v>
      </c>
      <c r="E959" s="3">
        <v>4160.54</v>
      </c>
      <c r="F959" s="1">
        <v>2829600</v>
      </c>
    </row>
    <row r="960" spans="1:6">
      <c r="A960" s="2">
        <v>39777</v>
      </c>
      <c r="B960" s="1">
        <v>4280.43</v>
      </c>
      <c r="C960" s="1">
        <v>4323.9399999999996</v>
      </c>
      <c r="D960" s="1">
        <v>4220.97</v>
      </c>
      <c r="E960" s="3">
        <v>4266.49</v>
      </c>
      <c r="F960" s="1">
        <v>3618400</v>
      </c>
    </row>
    <row r="961" spans="1:6">
      <c r="A961" s="2">
        <v>39778</v>
      </c>
      <c r="B961" s="1">
        <v>4265.6499999999996</v>
      </c>
      <c r="C961" s="1">
        <v>4315.08</v>
      </c>
      <c r="D961" s="1">
        <v>4244.05</v>
      </c>
      <c r="E961" s="3">
        <v>4271.8</v>
      </c>
      <c r="F961" s="1">
        <v>2964600</v>
      </c>
    </row>
    <row r="962" spans="1:6">
      <c r="A962" s="2">
        <v>39779</v>
      </c>
      <c r="B962" s="1">
        <v>4348.49</v>
      </c>
      <c r="C962" s="1">
        <v>4472.07</v>
      </c>
      <c r="D962" s="1">
        <v>4348.49</v>
      </c>
      <c r="E962" s="3">
        <v>4453.75</v>
      </c>
      <c r="F962" s="1">
        <v>3900600</v>
      </c>
    </row>
    <row r="963" spans="1:6">
      <c r="A963" s="2">
        <v>39780</v>
      </c>
      <c r="B963" s="1">
        <v>4444.37</v>
      </c>
      <c r="C963" s="1">
        <v>4476.33</v>
      </c>
      <c r="D963" s="1">
        <v>4419.03</v>
      </c>
      <c r="E963" s="3">
        <v>4460.49</v>
      </c>
      <c r="F963" s="1">
        <v>3740400</v>
      </c>
    </row>
    <row r="964" spans="1:6">
      <c r="A964" s="2">
        <v>39783</v>
      </c>
      <c r="B964" s="1">
        <v>4436.12</v>
      </c>
      <c r="C964" s="1">
        <v>4567.76</v>
      </c>
      <c r="D964" s="1">
        <v>4418.24</v>
      </c>
      <c r="E964" s="3">
        <v>4518.43</v>
      </c>
      <c r="F964" s="1">
        <v>4199000</v>
      </c>
    </row>
    <row r="965" spans="1:6">
      <c r="A965" s="2">
        <v>39784</v>
      </c>
      <c r="B965" s="1">
        <v>4310.5</v>
      </c>
      <c r="C965" s="1">
        <v>4356.9799999999996</v>
      </c>
      <c r="D965" s="1">
        <v>4292.08</v>
      </c>
      <c r="E965" s="3">
        <v>4356.9799999999996</v>
      </c>
      <c r="F965" s="1">
        <v>3566600</v>
      </c>
    </row>
    <row r="966" spans="1:6">
      <c r="A966" s="2">
        <v>39785</v>
      </c>
      <c r="B966" s="1">
        <v>4346.05</v>
      </c>
      <c r="C966" s="1">
        <v>4379.25</v>
      </c>
      <c r="D966" s="1">
        <v>4289.13</v>
      </c>
      <c r="E966" s="3">
        <v>4307.26</v>
      </c>
      <c r="F966" s="1">
        <v>4004000</v>
      </c>
    </row>
    <row r="967" spans="1:6">
      <c r="A967" s="2">
        <v>39786</v>
      </c>
      <c r="B967" s="1">
        <v>4347.66</v>
      </c>
      <c r="C967" s="1">
        <v>4347.66</v>
      </c>
      <c r="D967" s="1">
        <v>4209.91</v>
      </c>
      <c r="E967" s="3">
        <v>4254.96</v>
      </c>
      <c r="F967" s="1">
        <v>3747400</v>
      </c>
    </row>
    <row r="968" spans="1:6">
      <c r="A968" s="2">
        <v>39787</v>
      </c>
      <c r="B968" s="1">
        <v>4213.07</v>
      </c>
      <c r="C968" s="1">
        <v>4261.32</v>
      </c>
      <c r="D968" s="1">
        <v>4190.0200000000004</v>
      </c>
      <c r="E968" s="3">
        <v>4225.07</v>
      </c>
      <c r="F968" s="1">
        <v>2784400</v>
      </c>
    </row>
    <row r="969" spans="1:6">
      <c r="A969" s="2">
        <v>39790</v>
      </c>
      <c r="B969" s="1">
        <v>4278.6099999999997</v>
      </c>
      <c r="C969" s="1">
        <v>4424.09</v>
      </c>
      <c r="D969" s="1">
        <v>4278.6099999999997</v>
      </c>
      <c r="E969" s="3">
        <v>4418.33</v>
      </c>
      <c r="F969" s="1">
        <v>3766800</v>
      </c>
    </row>
    <row r="970" spans="1:6">
      <c r="A970" s="2">
        <v>39791</v>
      </c>
      <c r="B970" s="1">
        <v>4479.1400000000003</v>
      </c>
      <c r="C970" s="1">
        <v>4524.38</v>
      </c>
      <c r="D970" s="1">
        <v>4456.4399999999996</v>
      </c>
      <c r="E970" s="3">
        <v>4472.66</v>
      </c>
      <c r="F970" s="1">
        <v>4553800</v>
      </c>
    </row>
    <row r="971" spans="1:6">
      <c r="A971" s="2">
        <v>39792</v>
      </c>
      <c r="B971" s="1">
        <v>4470.7299999999996</v>
      </c>
      <c r="C971" s="1">
        <v>4658.87</v>
      </c>
      <c r="D971" s="1">
        <v>4470.7299999999996</v>
      </c>
      <c r="E971" s="3">
        <v>4658.87</v>
      </c>
      <c r="F971" s="1">
        <v>5116600</v>
      </c>
    </row>
    <row r="972" spans="1:6">
      <c r="A972" s="2">
        <v>39793</v>
      </c>
      <c r="B972" s="1">
        <v>4665.04</v>
      </c>
      <c r="C972" s="1">
        <v>4694.3999999999996</v>
      </c>
      <c r="D972" s="1">
        <v>4617.17</v>
      </c>
      <c r="E972" s="3">
        <v>4655.57</v>
      </c>
      <c r="F972" s="1">
        <v>5446400</v>
      </c>
    </row>
    <row r="973" spans="1:6">
      <c r="A973" s="2">
        <v>39794</v>
      </c>
      <c r="B973" s="1">
        <v>4600.97</v>
      </c>
      <c r="C973" s="1">
        <v>4654.75</v>
      </c>
      <c r="D973" s="1">
        <v>4401.05</v>
      </c>
      <c r="E973" s="3">
        <v>4481.2700000000004</v>
      </c>
      <c r="F973" s="1">
        <v>5326000</v>
      </c>
    </row>
    <row r="974" spans="1:6">
      <c r="A974" s="2">
        <v>39797</v>
      </c>
      <c r="B974" s="1">
        <v>4604.5</v>
      </c>
      <c r="C974" s="1">
        <v>4676.46</v>
      </c>
      <c r="D974" s="1">
        <v>4588.1400000000003</v>
      </c>
      <c r="E974" s="3">
        <v>4613.72</v>
      </c>
      <c r="F974" s="1">
        <v>3884800</v>
      </c>
    </row>
    <row r="975" spans="1:6">
      <c r="A975" s="2">
        <v>39798</v>
      </c>
      <c r="B975" s="1">
        <v>4570.5200000000004</v>
      </c>
      <c r="C975" s="1">
        <v>4616.8900000000003</v>
      </c>
      <c r="D975" s="1">
        <v>4532.41</v>
      </c>
      <c r="E975" s="3">
        <v>4616.8900000000003</v>
      </c>
      <c r="F975" s="1">
        <v>3529400</v>
      </c>
    </row>
    <row r="976" spans="1:6">
      <c r="A976" s="2">
        <v>39799</v>
      </c>
      <c r="B976" s="1">
        <v>4706.2299999999996</v>
      </c>
      <c r="C976" s="1">
        <v>4725.0600000000004</v>
      </c>
      <c r="D976" s="1">
        <v>4628.22</v>
      </c>
      <c r="E976" s="3">
        <v>4648.0200000000004</v>
      </c>
      <c r="F976" s="1">
        <v>5395800</v>
      </c>
    </row>
    <row r="977" spans="1:6">
      <c r="A977" s="2">
        <v>39800</v>
      </c>
      <c r="B977" s="1">
        <v>4674.3599999999997</v>
      </c>
      <c r="C977" s="1">
        <v>4694.8100000000004</v>
      </c>
      <c r="D977" s="1">
        <v>4625.6899999999996</v>
      </c>
      <c r="E977" s="3">
        <v>4694.8100000000004</v>
      </c>
      <c r="F977" s="1">
        <v>4140400</v>
      </c>
    </row>
    <row r="978" spans="1:6">
      <c r="A978" s="2">
        <v>39801</v>
      </c>
      <c r="B978" s="1">
        <v>4661.6899999999996</v>
      </c>
      <c r="C978" s="1">
        <v>4723.7</v>
      </c>
      <c r="D978" s="1">
        <v>4622.49</v>
      </c>
      <c r="E978" s="3">
        <v>4694.5200000000004</v>
      </c>
      <c r="F978" s="1">
        <v>4417200</v>
      </c>
    </row>
    <row r="979" spans="1:6">
      <c r="A979" s="2">
        <v>39804</v>
      </c>
      <c r="B979" s="1">
        <v>4735.17</v>
      </c>
      <c r="C979" s="1">
        <v>4750.96</v>
      </c>
      <c r="D979" s="1">
        <v>4535.54</v>
      </c>
      <c r="E979" s="3">
        <v>4535.54</v>
      </c>
      <c r="F979" s="1">
        <v>4325600</v>
      </c>
    </row>
    <row r="980" spans="1:6">
      <c r="A980" s="2">
        <v>39805</v>
      </c>
      <c r="B980" s="1">
        <v>4517.05</v>
      </c>
      <c r="C980" s="1">
        <v>4523.13</v>
      </c>
      <c r="D980" s="1">
        <v>4359.55</v>
      </c>
      <c r="E980" s="3">
        <v>4405.8599999999997</v>
      </c>
      <c r="F980" s="1">
        <v>3253400</v>
      </c>
    </row>
    <row r="981" spans="1:6">
      <c r="A981" s="2">
        <v>39806</v>
      </c>
      <c r="B981" s="1">
        <v>4330.42</v>
      </c>
      <c r="C981" s="1">
        <v>4439.13</v>
      </c>
      <c r="D981" s="1">
        <v>4325.46</v>
      </c>
      <c r="E981" s="3">
        <v>4423.09</v>
      </c>
      <c r="F981" s="1">
        <v>3077800</v>
      </c>
    </row>
    <row r="982" spans="1:6">
      <c r="A982" s="2">
        <v>39807</v>
      </c>
      <c r="B982" s="1">
        <v>4430.1000000000004</v>
      </c>
      <c r="C982" s="1">
        <v>4434.43</v>
      </c>
      <c r="D982" s="1">
        <v>4385.78</v>
      </c>
      <c r="E982" s="3">
        <v>4413.45</v>
      </c>
      <c r="F982" s="1">
        <v>2211800</v>
      </c>
    </row>
    <row r="983" spans="1:6">
      <c r="A983" s="2">
        <v>39808</v>
      </c>
      <c r="B983" s="1">
        <v>4398.53</v>
      </c>
      <c r="C983" s="1">
        <v>4466.75</v>
      </c>
      <c r="D983" s="1">
        <v>4396.26</v>
      </c>
      <c r="E983" s="3">
        <v>4425.08</v>
      </c>
      <c r="F983" s="1">
        <v>2233200</v>
      </c>
    </row>
    <row r="984" spans="1:6">
      <c r="A984" s="2">
        <v>39811</v>
      </c>
      <c r="B984" s="1">
        <v>4429.3500000000004</v>
      </c>
      <c r="C984" s="1">
        <v>4429.3500000000004</v>
      </c>
      <c r="D984" s="1">
        <v>4381.49</v>
      </c>
      <c r="E984" s="3">
        <v>4416.16</v>
      </c>
      <c r="F984" s="1">
        <v>1828000</v>
      </c>
    </row>
    <row r="985" spans="1:6">
      <c r="A985" s="2">
        <v>39812</v>
      </c>
      <c r="B985" s="1">
        <v>4463.3</v>
      </c>
      <c r="C985" s="1">
        <v>4602.21</v>
      </c>
      <c r="D985" s="1">
        <v>4463.3</v>
      </c>
      <c r="E985" s="3">
        <v>4589.04</v>
      </c>
      <c r="F985" s="1">
        <v>3194800</v>
      </c>
    </row>
    <row r="986" spans="1:6">
      <c r="A986" s="2">
        <v>39813</v>
      </c>
      <c r="B986" s="1">
        <v>4627.9799999999996</v>
      </c>
      <c r="C986" s="1">
        <v>4627.9799999999996</v>
      </c>
      <c r="D986" s="1">
        <v>4537.5200000000004</v>
      </c>
      <c r="E986" s="3">
        <v>4591.22</v>
      </c>
      <c r="F986" s="1">
        <v>3320800</v>
      </c>
    </row>
    <row r="987" spans="1:6">
      <c r="A987" s="2">
        <v>39818</v>
      </c>
      <c r="B987" s="1">
        <v>4725.26</v>
      </c>
      <c r="C987" s="1">
        <v>4778.5200000000004</v>
      </c>
      <c r="D987" s="1">
        <v>4687.57</v>
      </c>
      <c r="E987" s="3">
        <v>4698.3100000000004</v>
      </c>
      <c r="F987" s="1">
        <v>3626800</v>
      </c>
    </row>
    <row r="988" spans="1:6">
      <c r="A988" s="2">
        <v>39819</v>
      </c>
      <c r="B988" s="1">
        <v>4719.54</v>
      </c>
      <c r="C988" s="1">
        <v>4754.88</v>
      </c>
      <c r="D988" s="1">
        <v>4679.43</v>
      </c>
      <c r="E988" s="3">
        <v>4727.26</v>
      </c>
      <c r="F988" s="1">
        <v>4336400</v>
      </c>
    </row>
    <row r="989" spans="1:6">
      <c r="A989" s="2">
        <v>39820</v>
      </c>
      <c r="B989" s="1">
        <v>4780.4399999999996</v>
      </c>
      <c r="C989" s="1">
        <v>4817.4399999999996</v>
      </c>
      <c r="D989" s="1">
        <v>4752.91</v>
      </c>
      <c r="E989" s="3">
        <v>4789.84</v>
      </c>
      <c r="F989" s="1">
        <v>4666800</v>
      </c>
    </row>
    <row r="990" spans="1:6">
      <c r="A990" s="2">
        <v>39821</v>
      </c>
      <c r="B990" s="1">
        <v>4670.62</v>
      </c>
      <c r="C990" s="1">
        <v>4687.3999999999996</v>
      </c>
      <c r="D990" s="1">
        <v>4532.74</v>
      </c>
      <c r="E990" s="3">
        <v>4535.79</v>
      </c>
      <c r="F990" s="1">
        <v>3958600</v>
      </c>
    </row>
    <row r="991" spans="1:6">
      <c r="A991" s="2">
        <v>39822</v>
      </c>
      <c r="B991" s="1">
        <v>4515.1000000000004</v>
      </c>
      <c r="C991" s="1">
        <v>4546.71</v>
      </c>
      <c r="D991" s="1">
        <v>4472.45</v>
      </c>
      <c r="E991" s="3">
        <v>4502.74</v>
      </c>
      <c r="F991" s="1">
        <v>3040600</v>
      </c>
    </row>
    <row r="992" spans="1:6">
      <c r="A992" s="2">
        <v>39825</v>
      </c>
      <c r="B992" s="1">
        <v>4487.68</v>
      </c>
      <c r="C992" s="1">
        <v>4523.01</v>
      </c>
      <c r="D992" s="1">
        <v>4431.04</v>
      </c>
      <c r="E992" s="3">
        <v>4453.8999999999996</v>
      </c>
      <c r="F992" s="1">
        <v>3008000</v>
      </c>
    </row>
    <row r="993" spans="1:6">
      <c r="A993" s="2">
        <v>39826</v>
      </c>
      <c r="B993" s="1">
        <v>4442.38</v>
      </c>
      <c r="C993" s="1">
        <v>4532.3599999999997</v>
      </c>
      <c r="D993" s="1">
        <v>4423.1400000000003</v>
      </c>
      <c r="E993" s="3">
        <v>4532.3599999999997</v>
      </c>
      <c r="F993" s="1">
        <v>2691200</v>
      </c>
    </row>
    <row r="994" spans="1:6">
      <c r="A994" s="2">
        <v>39827</v>
      </c>
      <c r="B994" s="1">
        <v>4538.25</v>
      </c>
      <c r="C994" s="1">
        <v>4579.24</v>
      </c>
      <c r="D994" s="1">
        <v>4521.47</v>
      </c>
      <c r="E994" s="3">
        <v>4521.47</v>
      </c>
      <c r="F994" s="1">
        <v>3055800</v>
      </c>
    </row>
    <row r="995" spans="1:6">
      <c r="A995" s="2">
        <v>39828</v>
      </c>
      <c r="B995" s="1">
        <v>4350.49</v>
      </c>
      <c r="C995" s="1">
        <v>4351.47</v>
      </c>
      <c r="D995" s="1">
        <v>4315.62</v>
      </c>
      <c r="E995" s="3">
        <v>4320.7700000000004</v>
      </c>
      <c r="F995" s="1">
        <v>2904600</v>
      </c>
    </row>
    <row r="996" spans="1:6">
      <c r="A996" s="2">
        <v>39829</v>
      </c>
      <c r="B996" s="1">
        <v>4374.78</v>
      </c>
      <c r="C996" s="1">
        <v>4382.43</v>
      </c>
      <c r="D996" s="1">
        <v>4313.1899999999996</v>
      </c>
      <c r="E996" s="3">
        <v>4353.7</v>
      </c>
      <c r="F996" s="1">
        <v>2642200</v>
      </c>
    </row>
    <row r="997" spans="1:6">
      <c r="A997" s="2">
        <v>39832</v>
      </c>
      <c r="B997" s="1">
        <v>4389.08</v>
      </c>
      <c r="C997" s="1">
        <v>4398.53</v>
      </c>
      <c r="D997" s="1">
        <v>4366.1899999999996</v>
      </c>
      <c r="E997" s="3">
        <v>4366.76</v>
      </c>
      <c r="F997" s="1">
        <v>2035000</v>
      </c>
    </row>
    <row r="998" spans="1:6">
      <c r="A998" s="2">
        <v>39833</v>
      </c>
      <c r="B998" s="1">
        <v>4304.3500000000004</v>
      </c>
      <c r="C998" s="1">
        <v>4304.3500000000004</v>
      </c>
      <c r="D998" s="1">
        <v>4242.6099999999997</v>
      </c>
      <c r="E998" s="3">
        <v>4242.6099999999997</v>
      </c>
      <c r="F998" s="1">
        <v>2569600</v>
      </c>
    </row>
    <row r="999" spans="1:6">
      <c r="A999" s="2">
        <v>39834</v>
      </c>
      <c r="B999" s="1">
        <v>4164.68</v>
      </c>
      <c r="C999" s="1">
        <v>4265.33</v>
      </c>
      <c r="D999" s="1">
        <v>4164.1899999999996</v>
      </c>
      <c r="E999" s="3">
        <v>4247.97</v>
      </c>
      <c r="F999" s="1">
        <v>2581800</v>
      </c>
    </row>
    <row r="1000" spans="1:6">
      <c r="A1000" s="2">
        <v>39846</v>
      </c>
      <c r="B1000" s="1">
        <v>4277.1000000000004</v>
      </c>
      <c r="C1000" s="1">
        <v>4285.12</v>
      </c>
      <c r="D1000" s="1">
        <v>4240.08</v>
      </c>
      <c r="E1000" s="3">
        <v>4259.9799999999996</v>
      </c>
      <c r="F1000" s="1">
        <v>2399800</v>
      </c>
    </row>
    <row r="1001" spans="1:6">
      <c r="A1001" s="2">
        <v>39847</v>
      </c>
      <c r="B1001" s="1">
        <v>4300.5600000000004</v>
      </c>
      <c r="C1001" s="1">
        <v>4389.87</v>
      </c>
      <c r="D1001" s="1">
        <v>4295.26</v>
      </c>
      <c r="E1001" s="3">
        <v>4372.8100000000004</v>
      </c>
      <c r="F1001" s="1">
        <v>2919000</v>
      </c>
    </row>
    <row r="1002" spans="1:6">
      <c r="A1002" s="2">
        <v>39848</v>
      </c>
      <c r="B1002" s="1">
        <v>4422.5600000000004</v>
      </c>
      <c r="C1002" s="1">
        <v>4422.5600000000004</v>
      </c>
      <c r="D1002" s="1">
        <v>4366.41</v>
      </c>
      <c r="E1002" s="3">
        <v>4389.97</v>
      </c>
      <c r="F1002" s="1">
        <v>3048800</v>
      </c>
    </row>
    <row r="1003" spans="1:6">
      <c r="A1003" s="2">
        <v>39849</v>
      </c>
      <c r="B1003" s="1">
        <v>4380.8</v>
      </c>
      <c r="C1003" s="1">
        <v>4422.41</v>
      </c>
      <c r="D1003" s="1">
        <v>4363.25</v>
      </c>
      <c r="E1003" s="3">
        <v>4363.25</v>
      </c>
      <c r="F1003" s="1">
        <v>2846200</v>
      </c>
    </row>
    <row r="1004" spans="1:6">
      <c r="A1004" s="2">
        <v>39850</v>
      </c>
      <c r="B1004" s="1">
        <v>4438.3</v>
      </c>
      <c r="C1004" s="1">
        <v>4507.3</v>
      </c>
      <c r="D1004" s="1">
        <v>4432.16</v>
      </c>
      <c r="E1004" s="3">
        <v>4471.25</v>
      </c>
      <c r="F1004" s="1">
        <v>3491000</v>
      </c>
    </row>
    <row r="1005" spans="1:6">
      <c r="A1005" s="2">
        <v>39853</v>
      </c>
      <c r="B1005" s="1">
        <v>4562.68</v>
      </c>
      <c r="C1005" s="1">
        <v>4574.74</v>
      </c>
      <c r="D1005" s="1">
        <v>4494.59</v>
      </c>
      <c r="E1005" s="3">
        <v>4494.59</v>
      </c>
      <c r="F1005" s="1">
        <v>3619200</v>
      </c>
    </row>
    <row r="1006" spans="1:6">
      <c r="A1006" s="2">
        <v>39854</v>
      </c>
      <c r="B1006" s="1">
        <v>4524.05</v>
      </c>
      <c r="C1006" s="1">
        <v>4533.95</v>
      </c>
      <c r="D1006" s="1">
        <v>4491.84</v>
      </c>
      <c r="E1006" s="3">
        <v>4526.1000000000004</v>
      </c>
      <c r="F1006" s="1">
        <v>2979600</v>
      </c>
    </row>
    <row r="1007" spans="1:6">
      <c r="A1007" s="2">
        <v>39855</v>
      </c>
      <c r="B1007" s="1">
        <v>4448.24</v>
      </c>
      <c r="C1007" s="1">
        <v>4575.95</v>
      </c>
      <c r="D1007" s="1">
        <v>4448.24</v>
      </c>
      <c r="E1007" s="3">
        <v>4575.95</v>
      </c>
      <c r="F1007" s="1">
        <v>3746400</v>
      </c>
    </row>
    <row r="1008" spans="1:6">
      <c r="A1008" s="2">
        <v>39856</v>
      </c>
      <c r="B1008" s="1">
        <v>4581.3</v>
      </c>
      <c r="C1008" s="1">
        <v>4594.75</v>
      </c>
      <c r="D1008" s="1">
        <v>4466.42</v>
      </c>
      <c r="E1008" s="3">
        <v>4466.42</v>
      </c>
      <c r="F1008" s="1">
        <v>3957400</v>
      </c>
    </row>
    <row r="1009" spans="1:6">
      <c r="A1009" s="2">
        <v>39857</v>
      </c>
      <c r="B1009" s="1">
        <v>4504.71</v>
      </c>
      <c r="C1009" s="1">
        <v>4599.6099999999997</v>
      </c>
      <c r="D1009" s="1">
        <v>4504.71</v>
      </c>
      <c r="E1009" s="3">
        <v>4592.5</v>
      </c>
      <c r="F1009" s="1">
        <v>3611600</v>
      </c>
    </row>
    <row r="1010" spans="1:6">
      <c r="A1010" s="2">
        <v>39860</v>
      </c>
      <c r="B1010" s="1">
        <v>4605.7700000000004</v>
      </c>
      <c r="C1010" s="1">
        <v>4607.97</v>
      </c>
      <c r="D1010" s="1">
        <v>4575.9799999999996</v>
      </c>
      <c r="E1010" s="3">
        <v>4591.26</v>
      </c>
      <c r="F1010" s="1">
        <v>3384600</v>
      </c>
    </row>
    <row r="1011" spans="1:6">
      <c r="A1011" s="2">
        <v>39861</v>
      </c>
      <c r="B1011" s="1">
        <v>4572.97</v>
      </c>
      <c r="C1011" s="1">
        <v>4585.28</v>
      </c>
      <c r="D1011" s="1">
        <v>4475.17</v>
      </c>
      <c r="E1011" s="3">
        <v>4491.78</v>
      </c>
      <c r="F1011" s="1">
        <v>3134600</v>
      </c>
    </row>
    <row r="1012" spans="1:6">
      <c r="A1012" s="2">
        <v>39862</v>
      </c>
      <c r="B1012" s="1">
        <v>4455.75</v>
      </c>
      <c r="C1012" s="1">
        <v>4520.67</v>
      </c>
      <c r="D1012" s="1">
        <v>4428.29</v>
      </c>
      <c r="E1012" s="3">
        <v>4498.37</v>
      </c>
      <c r="F1012" s="1">
        <v>3217000</v>
      </c>
    </row>
    <row r="1013" spans="1:6">
      <c r="A1013" s="2">
        <v>39863</v>
      </c>
      <c r="B1013" s="1">
        <v>4475.16</v>
      </c>
      <c r="C1013" s="1">
        <v>4571.3100000000004</v>
      </c>
      <c r="D1013" s="1">
        <v>4433.43</v>
      </c>
      <c r="E1013" s="3">
        <v>4528.87</v>
      </c>
      <c r="F1013" s="1">
        <v>3394200</v>
      </c>
    </row>
    <row r="1014" spans="1:6">
      <c r="A1014" s="2">
        <v>39864</v>
      </c>
      <c r="B1014" s="1">
        <v>4483.91</v>
      </c>
      <c r="C1014" s="1">
        <v>4513.99</v>
      </c>
      <c r="D1014" s="1">
        <v>4436.9399999999996</v>
      </c>
      <c r="E1014" s="3">
        <v>4436.9399999999996</v>
      </c>
      <c r="F1014" s="1">
        <v>3045400</v>
      </c>
    </row>
    <row r="1015" spans="1:6">
      <c r="A1015" s="2">
        <v>39867</v>
      </c>
      <c r="B1015" s="1">
        <v>4420.43</v>
      </c>
      <c r="C1015" s="1">
        <v>4485.3599999999997</v>
      </c>
      <c r="D1015" s="1">
        <v>4371.0200000000004</v>
      </c>
      <c r="E1015" s="3">
        <v>4477.78</v>
      </c>
      <c r="F1015" s="1">
        <v>2863800</v>
      </c>
    </row>
    <row r="1016" spans="1:6">
      <c r="A1016" s="2">
        <v>39868</v>
      </c>
      <c r="B1016" s="1">
        <v>4407.95</v>
      </c>
      <c r="C1016" s="1">
        <v>4452.96</v>
      </c>
      <c r="D1016" s="1">
        <v>4394.76</v>
      </c>
      <c r="E1016" s="3">
        <v>4430.18</v>
      </c>
      <c r="F1016" s="1">
        <v>2839200</v>
      </c>
    </row>
    <row r="1017" spans="1:6">
      <c r="A1017" s="2">
        <v>39869</v>
      </c>
      <c r="B1017" s="1">
        <v>4498.91</v>
      </c>
      <c r="C1017" s="1">
        <v>4549.32</v>
      </c>
      <c r="D1017" s="1">
        <v>4488.07</v>
      </c>
      <c r="E1017" s="3">
        <v>4493.74</v>
      </c>
      <c r="F1017" s="1">
        <v>3580600</v>
      </c>
    </row>
    <row r="1018" spans="1:6">
      <c r="A1018" s="2">
        <v>39870</v>
      </c>
      <c r="B1018" s="1">
        <v>4548.53</v>
      </c>
      <c r="C1018" s="1">
        <v>4556.82</v>
      </c>
      <c r="D1018" s="1">
        <v>4492.7</v>
      </c>
      <c r="E1018" s="3">
        <v>4518.5600000000004</v>
      </c>
      <c r="F1018" s="1">
        <v>3066200</v>
      </c>
    </row>
    <row r="1019" spans="1:6">
      <c r="A1019" s="2">
        <v>39871</v>
      </c>
      <c r="B1019" s="1">
        <v>4523.5600000000004</v>
      </c>
      <c r="C1019" s="1">
        <v>4564.32</v>
      </c>
      <c r="D1019" s="1">
        <v>4507.3900000000003</v>
      </c>
      <c r="E1019" s="3">
        <v>4557.1499999999996</v>
      </c>
      <c r="F1019" s="1">
        <v>3303400</v>
      </c>
    </row>
    <row r="1020" spans="1:6">
      <c r="A1020" s="2">
        <v>39874</v>
      </c>
      <c r="B1020" s="1">
        <v>4528.2700000000004</v>
      </c>
      <c r="C1020" s="1">
        <v>4528.2700000000004</v>
      </c>
      <c r="D1020" s="1">
        <v>4408.51</v>
      </c>
      <c r="E1020" s="3">
        <v>4425.83</v>
      </c>
      <c r="F1020" s="1">
        <v>3906800</v>
      </c>
    </row>
    <row r="1021" spans="1:6">
      <c r="A1021" s="2">
        <v>39875</v>
      </c>
      <c r="B1021" s="1">
        <v>4364.37</v>
      </c>
      <c r="C1021" s="1">
        <v>4435.34</v>
      </c>
      <c r="D1021" s="1">
        <v>4328.05</v>
      </c>
      <c r="E1021" s="3">
        <v>4435.34</v>
      </c>
      <c r="F1021" s="1">
        <v>3511000</v>
      </c>
    </row>
    <row r="1022" spans="1:6">
      <c r="A1022" s="2">
        <v>39876</v>
      </c>
      <c r="B1022" s="1">
        <v>4442.71</v>
      </c>
      <c r="C1022" s="1">
        <v>4549.9799999999996</v>
      </c>
      <c r="D1022" s="1">
        <v>4429.51</v>
      </c>
      <c r="E1022" s="3">
        <v>4541.42</v>
      </c>
      <c r="F1022" s="1">
        <v>4128200</v>
      </c>
    </row>
    <row r="1023" spans="1:6">
      <c r="A1023" s="2">
        <v>39877</v>
      </c>
      <c r="B1023" s="1">
        <v>4628.54</v>
      </c>
      <c r="C1023" s="1">
        <v>4677.8900000000003</v>
      </c>
      <c r="D1023" s="1">
        <v>4598.8</v>
      </c>
      <c r="E1023" s="3">
        <v>4637.2</v>
      </c>
      <c r="F1023" s="1">
        <v>5018400</v>
      </c>
    </row>
    <row r="1024" spans="1:6">
      <c r="A1024" s="2">
        <v>39878</v>
      </c>
      <c r="B1024" s="1">
        <v>4604.84</v>
      </c>
      <c r="C1024" s="1">
        <v>4662.3599999999997</v>
      </c>
      <c r="D1024" s="1">
        <v>4597.8900000000003</v>
      </c>
      <c r="E1024" s="3">
        <v>4653.63</v>
      </c>
      <c r="F1024" s="1">
        <v>4139200</v>
      </c>
    </row>
    <row r="1025" spans="1:6">
      <c r="A1025" s="2">
        <v>39881</v>
      </c>
      <c r="B1025" s="1">
        <v>4643.62</v>
      </c>
      <c r="C1025" s="1">
        <v>4660.13</v>
      </c>
      <c r="D1025" s="1">
        <v>4578.05</v>
      </c>
      <c r="E1025" s="3">
        <v>4628.24</v>
      </c>
      <c r="F1025" s="1">
        <v>3938200</v>
      </c>
    </row>
    <row r="1026" spans="1:6">
      <c r="A1026" s="2">
        <v>39882</v>
      </c>
      <c r="B1026" s="1">
        <v>4605.92</v>
      </c>
      <c r="C1026" s="1">
        <v>4688.63</v>
      </c>
      <c r="D1026" s="1">
        <v>4605.92</v>
      </c>
      <c r="E1026" s="3">
        <v>4671.0200000000004</v>
      </c>
      <c r="F1026" s="1">
        <v>4484400</v>
      </c>
    </row>
    <row r="1027" spans="1:6">
      <c r="A1027" s="2">
        <v>39883</v>
      </c>
      <c r="B1027" s="1">
        <v>4789.8</v>
      </c>
      <c r="C1027" s="1">
        <v>4798.0600000000004</v>
      </c>
      <c r="D1027" s="1">
        <v>4747.8900000000003</v>
      </c>
      <c r="E1027" s="3">
        <v>4759.96</v>
      </c>
      <c r="F1027" s="1">
        <v>5713200</v>
      </c>
    </row>
    <row r="1028" spans="1:6">
      <c r="A1028" s="2">
        <v>39884</v>
      </c>
      <c r="B1028" s="1">
        <v>4782.21</v>
      </c>
      <c r="C1028" s="1">
        <v>4794.9399999999996</v>
      </c>
      <c r="D1028" s="1">
        <v>4743.76</v>
      </c>
      <c r="E1028" s="3">
        <v>4754.6499999999996</v>
      </c>
      <c r="F1028" s="1">
        <v>4327000</v>
      </c>
    </row>
    <row r="1029" spans="1:6">
      <c r="A1029" s="2">
        <v>39885</v>
      </c>
      <c r="B1029" s="1">
        <v>4844.97</v>
      </c>
      <c r="C1029" s="1">
        <v>4923.57</v>
      </c>
      <c r="D1029" s="1">
        <v>4830.17</v>
      </c>
      <c r="E1029" s="3">
        <v>4897.3900000000003</v>
      </c>
      <c r="F1029" s="1">
        <v>5976000</v>
      </c>
    </row>
    <row r="1030" spans="1:6">
      <c r="A1030" s="2">
        <v>39888</v>
      </c>
      <c r="B1030" s="1">
        <v>4940.8500000000004</v>
      </c>
      <c r="C1030" s="1">
        <v>4991.59</v>
      </c>
      <c r="D1030" s="1">
        <v>4915.3999999999996</v>
      </c>
      <c r="E1030" s="3">
        <v>4971.32</v>
      </c>
      <c r="F1030" s="1">
        <v>5243200</v>
      </c>
    </row>
    <row r="1031" spans="1:6">
      <c r="A1031" s="2">
        <v>39889</v>
      </c>
      <c r="B1031" s="1">
        <v>4998.8999999999996</v>
      </c>
      <c r="C1031" s="1">
        <v>5050.63</v>
      </c>
      <c r="D1031" s="1">
        <v>4954.5</v>
      </c>
      <c r="E1031" s="3">
        <v>5041.3900000000003</v>
      </c>
      <c r="F1031" s="1">
        <v>5435200</v>
      </c>
    </row>
    <row r="1032" spans="1:6">
      <c r="A1032" s="2">
        <v>39890</v>
      </c>
      <c r="B1032" s="1">
        <v>5074.63</v>
      </c>
      <c r="C1032" s="1">
        <v>5083.55</v>
      </c>
      <c r="D1032" s="1">
        <v>5021.4799999999996</v>
      </c>
      <c r="E1032" s="3">
        <v>5047.54</v>
      </c>
      <c r="F1032" s="1">
        <v>5605000</v>
      </c>
    </row>
    <row r="1033" spans="1:6">
      <c r="A1033" s="2">
        <v>39891</v>
      </c>
      <c r="B1033" s="1">
        <v>5090.5</v>
      </c>
      <c r="C1033" s="1">
        <v>5125.3999999999996</v>
      </c>
      <c r="D1033" s="1">
        <v>5035.82</v>
      </c>
      <c r="E1033" s="3">
        <v>5035.93</v>
      </c>
      <c r="F1033" s="1">
        <v>6125000</v>
      </c>
    </row>
    <row r="1034" spans="1:6">
      <c r="A1034" s="2">
        <v>39892</v>
      </c>
      <c r="B1034" s="1">
        <v>5060.25</v>
      </c>
      <c r="C1034" s="1">
        <v>5069.42</v>
      </c>
      <c r="D1034" s="1">
        <v>4961.62</v>
      </c>
      <c r="E1034" s="3">
        <v>4961.62</v>
      </c>
      <c r="F1034" s="1">
        <v>5149600</v>
      </c>
    </row>
    <row r="1035" spans="1:6">
      <c r="A1035" s="2">
        <v>39895</v>
      </c>
      <c r="B1035" s="1">
        <v>5022.6000000000004</v>
      </c>
      <c r="C1035" s="1">
        <v>5124.18</v>
      </c>
      <c r="D1035" s="1">
        <v>5015.82</v>
      </c>
      <c r="E1035" s="3">
        <v>5124.18</v>
      </c>
      <c r="F1035" s="1">
        <v>4549600</v>
      </c>
    </row>
    <row r="1036" spans="1:6">
      <c r="A1036" s="2">
        <v>39896</v>
      </c>
      <c r="B1036" s="1">
        <v>5237.78</v>
      </c>
      <c r="C1036" s="1">
        <v>5264.94</v>
      </c>
      <c r="D1036" s="1">
        <v>5205.9399999999996</v>
      </c>
      <c r="E1036" s="3">
        <v>5242.18</v>
      </c>
      <c r="F1036" s="1">
        <v>6609200</v>
      </c>
    </row>
    <row r="1037" spans="1:6">
      <c r="A1037" s="2">
        <v>39897</v>
      </c>
      <c r="B1037" s="1">
        <v>5248.78</v>
      </c>
      <c r="C1037" s="1">
        <v>5365.81</v>
      </c>
      <c r="D1037" s="1">
        <v>5226.49</v>
      </c>
      <c r="E1037" s="3">
        <v>5346.38</v>
      </c>
      <c r="F1037" s="1">
        <v>7001400</v>
      </c>
    </row>
    <row r="1038" spans="1:6">
      <c r="A1038" s="2">
        <v>39898</v>
      </c>
      <c r="B1038" s="1">
        <v>5374.77</v>
      </c>
      <c r="C1038" s="1">
        <v>5422.95</v>
      </c>
      <c r="D1038" s="1">
        <v>5335.35</v>
      </c>
      <c r="E1038" s="3">
        <v>5386.56</v>
      </c>
      <c r="F1038" s="1">
        <v>7339800</v>
      </c>
    </row>
    <row r="1039" spans="1:6">
      <c r="A1039" s="2">
        <v>39899</v>
      </c>
      <c r="B1039" s="1">
        <v>5468.49</v>
      </c>
      <c r="C1039" s="1">
        <v>5468.49</v>
      </c>
      <c r="D1039" s="1">
        <v>5367.99</v>
      </c>
      <c r="E1039" s="3">
        <v>5390.7</v>
      </c>
      <c r="F1039" s="1">
        <v>7301000</v>
      </c>
    </row>
    <row r="1040" spans="1:6">
      <c r="A1040" s="2">
        <v>39902</v>
      </c>
      <c r="B1040" s="1">
        <v>5362.9</v>
      </c>
      <c r="C1040" s="1">
        <v>5362.9</v>
      </c>
      <c r="D1040" s="1">
        <v>5166.87</v>
      </c>
      <c r="E1040" s="3">
        <v>5206.05</v>
      </c>
      <c r="F1040" s="1">
        <v>6138600</v>
      </c>
    </row>
    <row r="1041" spans="1:6">
      <c r="A1041" s="2">
        <v>39903</v>
      </c>
      <c r="B1041" s="1">
        <v>5214.96</v>
      </c>
      <c r="C1041" s="1">
        <v>5286.45</v>
      </c>
      <c r="D1041" s="1">
        <v>5194.93</v>
      </c>
      <c r="E1041" s="3">
        <v>5210.84</v>
      </c>
      <c r="F1041" s="1">
        <v>5029000</v>
      </c>
    </row>
    <row r="1042" spans="1:6">
      <c r="A1042" s="2">
        <v>39904</v>
      </c>
      <c r="B1042" s="1">
        <v>5271.83</v>
      </c>
      <c r="C1042" s="1">
        <v>5341.31</v>
      </c>
      <c r="D1042" s="1">
        <v>5271.83</v>
      </c>
      <c r="E1042" s="3">
        <v>5314.45</v>
      </c>
      <c r="F1042" s="1">
        <v>5232400</v>
      </c>
    </row>
    <row r="1043" spans="1:6">
      <c r="A1043" s="2">
        <v>39905</v>
      </c>
      <c r="B1043" s="1">
        <v>5428.92</v>
      </c>
      <c r="C1043" s="1">
        <v>5477.97</v>
      </c>
      <c r="D1043" s="1">
        <v>5401.3</v>
      </c>
      <c r="E1043" s="3">
        <v>5473.78</v>
      </c>
      <c r="F1043" s="1">
        <v>7837800</v>
      </c>
    </row>
    <row r="1044" spans="1:6">
      <c r="A1044" s="2">
        <v>39906</v>
      </c>
      <c r="B1044" s="1">
        <v>5541.34</v>
      </c>
      <c r="C1044" s="1">
        <v>5567.15</v>
      </c>
      <c r="D1044" s="1">
        <v>5482.18</v>
      </c>
      <c r="E1044" s="3">
        <v>5529.63</v>
      </c>
      <c r="F1044" s="1">
        <v>8533200</v>
      </c>
    </row>
    <row r="1045" spans="1:6">
      <c r="A1045" s="2">
        <v>39909</v>
      </c>
      <c r="B1045" s="1">
        <v>5590.7</v>
      </c>
      <c r="C1045" s="1">
        <v>5624.28</v>
      </c>
      <c r="D1045" s="1">
        <v>5521.88</v>
      </c>
      <c r="E1045" s="3">
        <v>5556.22</v>
      </c>
      <c r="F1045" s="1">
        <v>7273200</v>
      </c>
    </row>
    <row r="1046" spans="1:6">
      <c r="A1046" s="2">
        <v>39910</v>
      </c>
      <c r="B1046" s="1">
        <v>5497.88</v>
      </c>
      <c r="C1046" s="1">
        <v>5576.85</v>
      </c>
      <c r="D1046" s="1">
        <v>5484.89</v>
      </c>
      <c r="E1046" s="3">
        <v>5576.85</v>
      </c>
      <c r="F1046" s="1">
        <v>5954800</v>
      </c>
    </row>
    <row r="1047" spans="1:6">
      <c r="A1047" s="2">
        <v>39911</v>
      </c>
      <c r="B1047" s="1">
        <v>5534.58</v>
      </c>
      <c r="C1047" s="1">
        <v>5608.96</v>
      </c>
      <c r="D1047" s="1">
        <v>5435.04</v>
      </c>
      <c r="E1047" s="3">
        <v>5443.56</v>
      </c>
      <c r="F1047" s="1">
        <v>7470600</v>
      </c>
    </row>
    <row r="1048" spans="1:6">
      <c r="A1048" s="2">
        <v>39912</v>
      </c>
      <c r="B1048" s="1">
        <v>5532.99</v>
      </c>
      <c r="C1048" s="1">
        <v>5667.8</v>
      </c>
      <c r="D1048" s="1">
        <v>5526.13</v>
      </c>
      <c r="E1048" s="3">
        <v>5667.8</v>
      </c>
      <c r="F1048" s="1">
        <v>7002600</v>
      </c>
    </row>
    <row r="1049" spans="1:6">
      <c r="A1049" s="2">
        <v>39913</v>
      </c>
      <c r="B1049" s="1">
        <v>5784.9</v>
      </c>
      <c r="C1049" s="1">
        <v>5788.21</v>
      </c>
      <c r="D1049" s="1">
        <v>5696.56</v>
      </c>
      <c r="E1049" s="3">
        <v>5781.96</v>
      </c>
      <c r="F1049" s="1">
        <v>7954400</v>
      </c>
    </row>
    <row r="1050" spans="1:6">
      <c r="A1050" s="2">
        <v>39916</v>
      </c>
      <c r="B1050" s="1">
        <v>5814.17</v>
      </c>
      <c r="C1050" s="1">
        <v>5861.11</v>
      </c>
      <c r="D1050" s="1">
        <v>5784.1</v>
      </c>
      <c r="E1050" s="3">
        <v>5857.64</v>
      </c>
      <c r="F1050" s="1">
        <v>7212600</v>
      </c>
    </row>
    <row r="1051" spans="1:6">
      <c r="A1051" s="2">
        <v>39917</v>
      </c>
      <c r="B1051" s="1">
        <v>5814.42</v>
      </c>
      <c r="C1051" s="1">
        <v>5898.76</v>
      </c>
      <c r="D1051" s="1">
        <v>5765.81</v>
      </c>
      <c r="E1051" s="3">
        <v>5892.68</v>
      </c>
      <c r="F1051" s="1">
        <v>6466800</v>
      </c>
    </row>
    <row r="1052" spans="1:6">
      <c r="A1052" s="2">
        <v>39918</v>
      </c>
      <c r="B1052" s="1">
        <v>5879.86</v>
      </c>
      <c r="C1052" s="1">
        <v>5904.28</v>
      </c>
      <c r="D1052" s="1">
        <v>5798.62</v>
      </c>
      <c r="E1052" s="3">
        <v>5875.19</v>
      </c>
      <c r="F1052" s="1">
        <v>6486200</v>
      </c>
    </row>
    <row r="1053" spans="1:6">
      <c r="A1053" s="2">
        <v>39919</v>
      </c>
      <c r="B1053" s="1">
        <v>6009.67</v>
      </c>
      <c r="C1053" s="1">
        <v>6025.85</v>
      </c>
      <c r="D1053" s="1">
        <v>5965.48</v>
      </c>
      <c r="E1053" s="3">
        <v>5997.17</v>
      </c>
      <c r="F1053" s="1">
        <v>7799200</v>
      </c>
    </row>
    <row r="1054" spans="1:6">
      <c r="A1054" s="2">
        <v>39920</v>
      </c>
      <c r="B1054" s="1">
        <v>6068.55</v>
      </c>
      <c r="C1054" s="1">
        <v>6071.06</v>
      </c>
      <c r="D1054" s="1">
        <v>5706.03</v>
      </c>
      <c r="E1054" s="3">
        <v>5755.38</v>
      </c>
      <c r="F1054" s="1">
        <v>10438800</v>
      </c>
    </row>
    <row r="1055" spans="1:6">
      <c r="A1055" s="2">
        <v>39923</v>
      </c>
      <c r="B1055" s="1">
        <v>5764.48</v>
      </c>
      <c r="C1055" s="1">
        <v>5797.63</v>
      </c>
      <c r="D1055" s="1">
        <v>5648.1</v>
      </c>
      <c r="E1055" s="3">
        <v>5781.66</v>
      </c>
      <c r="F1055" s="1">
        <v>6013800</v>
      </c>
    </row>
    <row r="1056" spans="1:6">
      <c r="A1056" s="2">
        <v>39924</v>
      </c>
      <c r="B1056" s="1">
        <v>5665.94</v>
      </c>
      <c r="C1056" s="1">
        <v>5881.41</v>
      </c>
      <c r="D1056" s="1">
        <v>5663.56</v>
      </c>
      <c r="E1056" s="3">
        <v>5881.41</v>
      </c>
      <c r="F1056" s="1">
        <v>5742200</v>
      </c>
    </row>
    <row r="1057" spans="1:6">
      <c r="A1057" s="2">
        <v>39925</v>
      </c>
      <c r="B1057" s="1">
        <v>5887.48</v>
      </c>
      <c r="C1057" s="1">
        <v>5925.92</v>
      </c>
      <c r="D1057" s="1">
        <v>5856.13</v>
      </c>
      <c r="E1057" s="3">
        <v>5886.11</v>
      </c>
      <c r="F1057" s="1">
        <v>6273800</v>
      </c>
    </row>
    <row r="1058" spans="1:6">
      <c r="A1058" s="2">
        <v>39926</v>
      </c>
      <c r="B1058" s="1">
        <v>5900.45</v>
      </c>
      <c r="C1058" s="1">
        <v>5903.47</v>
      </c>
      <c r="D1058" s="1">
        <v>5789.27</v>
      </c>
      <c r="E1058" s="3">
        <v>5875.24</v>
      </c>
      <c r="F1058" s="1">
        <v>6048800</v>
      </c>
    </row>
    <row r="1059" spans="1:6">
      <c r="A1059" s="2">
        <v>39927</v>
      </c>
      <c r="B1059" s="1">
        <v>5913.13</v>
      </c>
      <c r="C1059" s="1">
        <v>5987.23</v>
      </c>
      <c r="D1059" s="1">
        <v>5824.42</v>
      </c>
      <c r="E1059" s="3">
        <v>5880.77</v>
      </c>
      <c r="F1059" s="1">
        <v>6519600</v>
      </c>
    </row>
    <row r="1060" spans="1:6">
      <c r="A1060" s="2">
        <v>39930</v>
      </c>
      <c r="B1060" s="1">
        <v>5931.87</v>
      </c>
      <c r="C1060" s="1">
        <v>5946.97</v>
      </c>
      <c r="D1060" s="1">
        <v>5672.25</v>
      </c>
      <c r="E1060" s="3">
        <v>5705.05</v>
      </c>
      <c r="F1060" s="1">
        <v>6312600</v>
      </c>
    </row>
    <row r="1061" spans="1:6">
      <c r="A1061" s="2">
        <v>39931</v>
      </c>
      <c r="B1061" s="1">
        <v>5744.77</v>
      </c>
      <c r="C1061" s="1">
        <v>5773.53</v>
      </c>
      <c r="D1061" s="1">
        <v>5596.73</v>
      </c>
      <c r="E1061" s="3">
        <v>5596.73</v>
      </c>
      <c r="F1061" s="1">
        <v>5991400</v>
      </c>
    </row>
    <row r="1062" spans="1:6">
      <c r="A1062" s="2">
        <v>39932</v>
      </c>
      <c r="B1062" s="1">
        <v>5627.54</v>
      </c>
      <c r="C1062" s="1">
        <v>5649.24</v>
      </c>
      <c r="D1062" s="1">
        <v>5571.93</v>
      </c>
      <c r="E1062" s="3">
        <v>5614.06</v>
      </c>
      <c r="F1062" s="1">
        <v>5284400</v>
      </c>
    </row>
    <row r="1063" spans="1:6">
      <c r="A1063" s="2">
        <v>39933</v>
      </c>
      <c r="B1063" s="1">
        <v>5964.03</v>
      </c>
      <c r="C1063" s="1">
        <v>5995.12</v>
      </c>
      <c r="D1063" s="1">
        <v>5932.03</v>
      </c>
      <c r="E1063" s="3">
        <v>5992.57</v>
      </c>
      <c r="F1063" s="1">
        <v>5619800</v>
      </c>
    </row>
    <row r="1064" spans="1:6">
      <c r="A1064" s="2">
        <v>39937</v>
      </c>
      <c r="B1064" s="1">
        <v>6285.6</v>
      </c>
      <c r="C1064" s="1">
        <v>6356.29</v>
      </c>
      <c r="D1064" s="1">
        <v>6256.29</v>
      </c>
      <c r="E1064" s="3">
        <v>6330.4</v>
      </c>
      <c r="F1064" s="1">
        <v>6844800</v>
      </c>
    </row>
    <row r="1065" spans="1:6">
      <c r="A1065" s="2">
        <v>39938</v>
      </c>
      <c r="B1065" s="1">
        <v>6557.75</v>
      </c>
      <c r="C1065" s="1">
        <v>6562.77</v>
      </c>
      <c r="D1065" s="1">
        <v>6326.76</v>
      </c>
      <c r="E1065" s="3">
        <v>6379.94</v>
      </c>
      <c r="F1065" s="1">
        <v>9164800</v>
      </c>
    </row>
    <row r="1066" spans="1:6">
      <c r="A1066" s="2">
        <v>39939</v>
      </c>
      <c r="B1066" s="1">
        <v>6389.55</v>
      </c>
      <c r="C1066" s="1">
        <v>6570.5</v>
      </c>
      <c r="D1066" s="1">
        <v>6372.94</v>
      </c>
      <c r="E1066" s="3">
        <v>6566.7</v>
      </c>
      <c r="F1066" s="1">
        <v>9475600</v>
      </c>
    </row>
    <row r="1067" spans="1:6">
      <c r="A1067" s="2">
        <v>39940</v>
      </c>
      <c r="B1067" s="1">
        <v>6603.52</v>
      </c>
      <c r="C1067" s="1">
        <v>6628.54</v>
      </c>
      <c r="D1067" s="1">
        <v>6455.23</v>
      </c>
      <c r="E1067" s="3">
        <v>6572.87</v>
      </c>
      <c r="F1067" s="1">
        <v>10118400</v>
      </c>
    </row>
    <row r="1068" spans="1:6">
      <c r="A1068" s="2">
        <v>39941</v>
      </c>
      <c r="B1068" s="1">
        <v>6510.22</v>
      </c>
      <c r="C1068" s="1">
        <v>6587.62</v>
      </c>
      <c r="D1068" s="1">
        <v>6483.21</v>
      </c>
      <c r="E1068" s="3">
        <v>6583.87</v>
      </c>
      <c r="F1068" s="1">
        <v>7952800</v>
      </c>
    </row>
    <row r="1069" spans="1:6">
      <c r="A1069" s="2">
        <v>39944</v>
      </c>
      <c r="B1069" s="1">
        <v>6581.7</v>
      </c>
      <c r="C1069" s="1">
        <v>6680.97</v>
      </c>
      <c r="D1069" s="1">
        <v>6571.41</v>
      </c>
      <c r="E1069" s="3">
        <v>6647.5</v>
      </c>
      <c r="F1069" s="1">
        <v>7872200</v>
      </c>
    </row>
    <row r="1070" spans="1:6">
      <c r="A1070" s="2">
        <v>39945</v>
      </c>
      <c r="B1070" s="1">
        <v>6550.28</v>
      </c>
      <c r="C1070" s="1">
        <v>6553.69</v>
      </c>
      <c r="D1070" s="1">
        <v>6404.93</v>
      </c>
      <c r="E1070" s="3">
        <v>6432.55</v>
      </c>
      <c r="F1070" s="1">
        <v>6936000</v>
      </c>
    </row>
    <row r="1071" spans="1:6">
      <c r="A1071" s="2">
        <v>39946</v>
      </c>
      <c r="B1071" s="1">
        <v>6449.46</v>
      </c>
      <c r="C1071" s="1">
        <v>6512.07</v>
      </c>
      <c r="D1071" s="1">
        <v>6435.49</v>
      </c>
      <c r="E1071" s="3">
        <v>6485.14</v>
      </c>
      <c r="F1071" s="1">
        <v>6229200</v>
      </c>
    </row>
    <row r="1072" spans="1:6">
      <c r="A1072" s="2">
        <v>39947</v>
      </c>
      <c r="B1072" s="1">
        <v>6362.77</v>
      </c>
      <c r="C1072" s="1">
        <v>6435.41</v>
      </c>
      <c r="D1072" s="1">
        <v>6339.47</v>
      </c>
      <c r="E1072" s="3">
        <v>6364.17</v>
      </c>
      <c r="F1072" s="1">
        <v>6386600</v>
      </c>
    </row>
    <row r="1073" spans="1:6">
      <c r="A1073" s="2">
        <v>39948</v>
      </c>
      <c r="B1073" s="1">
        <v>6446.4</v>
      </c>
      <c r="C1073" s="1">
        <v>6520.04</v>
      </c>
      <c r="D1073" s="1">
        <v>6427.63</v>
      </c>
      <c r="E1073" s="3">
        <v>6489.09</v>
      </c>
      <c r="F1073" s="1">
        <v>6753200</v>
      </c>
    </row>
    <row r="1074" spans="1:6">
      <c r="A1074" s="2">
        <v>39951</v>
      </c>
      <c r="B1074" s="1">
        <v>6516.13</v>
      </c>
      <c r="C1074" s="1">
        <v>6577.81</v>
      </c>
      <c r="D1074" s="1">
        <v>6457.14</v>
      </c>
      <c r="E1074" s="3">
        <v>6577.81</v>
      </c>
      <c r="F1074" s="1">
        <v>6952000</v>
      </c>
    </row>
    <row r="1075" spans="1:6">
      <c r="A1075" s="2">
        <v>39952</v>
      </c>
      <c r="B1075" s="1">
        <v>6750.04</v>
      </c>
      <c r="C1075" s="1">
        <v>6784.26</v>
      </c>
      <c r="D1075" s="1">
        <v>6620.53</v>
      </c>
      <c r="E1075" s="3">
        <v>6655.59</v>
      </c>
      <c r="F1075" s="1">
        <v>8821200</v>
      </c>
    </row>
    <row r="1076" spans="1:6">
      <c r="A1076" s="2">
        <v>39953</v>
      </c>
      <c r="B1076" s="1">
        <v>6708.54</v>
      </c>
      <c r="C1076" s="1">
        <v>6740.75</v>
      </c>
      <c r="D1076" s="1">
        <v>6590.79</v>
      </c>
      <c r="E1076" s="3">
        <v>6703.62</v>
      </c>
      <c r="F1076" s="1">
        <v>7998600</v>
      </c>
    </row>
    <row r="1077" spans="1:6">
      <c r="A1077" s="2">
        <v>39954</v>
      </c>
      <c r="B1077" s="1">
        <v>6690.85</v>
      </c>
      <c r="C1077" s="1">
        <v>6746.1</v>
      </c>
      <c r="D1077" s="1">
        <v>6650.33</v>
      </c>
      <c r="E1077" s="3">
        <v>6718.81</v>
      </c>
      <c r="F1077" s="1">
        <v>7550800</v>
      </c>
    </row>
    <row r="1078" spans="1:6">
      <c r="A1078" s="2">
        <v>39955</v>
      </c>
      <c r="B1078" s="1">
        <v>6650.51</v>
      </c>
      <c r="C1078" s="1">
        <v>6781.14</v>
      </c>
      <c r="D1078" s="1">
        <v>6650.51</v>
      </c>
      <c r="E1078" s="3">
        <v>6737.29</v>
      </c>
      <c r="F1078" s="1">
        <v>7378800</v>
      </c>
    </row>
    <row r="1079" spans="1:6">
      <c r="A1079" s="2">
        <v>39958</v>
      </c>
      <c r="B1079" s="1">
        <v>6838.7</v>
      </c>
      <c r="C1079" s="1">
        <v>6878.66</v>
      </c>
      <c r="D1079" s="1">
        <v>6708.19</v>
      </c>
      <c r="E1079" s="3">
        <v>6734.46</v>
      </c>
      <c r="F1079" s="1">
        <v>7459200</v>
      </c>
    </row>
    <row r="1080" spans="1:6">
      <c r="A1080" s="2">
        <v>39959</v>
      </c>
      <c r="B1080" s="1">
        <v>6780.37</v>
      </c>
      <c r="C1080" s="1">
        <v>6830.24</v>
      </c>
      <c r="D1080" s="1">
        <v>6649.95</v>
      </c>
      <c r="E1080" s="3">
        <v>6683.11</v>
      </c>
      <c r="F1080" s="1">
        <v>8110400</v>
      </c>
    </row>
    <row r="1081" spans="1:6">
      <c r="A1081" s="2">
        <v>39960</v>
      </c>
      <c r="B1081" s="1">
        <v>6800.56</v>
      </c>
      <c r="C1081" s="1">
        <v>6930.59</v>
      </c>
      <c r="D1081" s="1">
        <v>6743.39</v>
      </c>
      <c r="E1081" s="3">
        <v>6890.44</v>
      </c>
      <c r="F1081" s="1">
        <v>8228800</v>
      </c>
    </row>
    <row r="1082" spans="1:6">
      <c r="A1082" s="2">
        <v>39965</v>
      </c>
      <c r="B1082" s="1">
        <v>7033.33</v>
      </c>
      <c r="C1082" s="1">
        <v>7033.33</v>
      </c>
      <c r="D1082" s="1">
        <v>6892.69</v>
      </c>
      <c r="E1082" s="3">
        <v>6954.1</v>
      </c>
      <c r="F1082" s="1">
        <v>7423000</v>
      </c>
    </row>
    <row r="1083" spans="1:6">
      <c r="A1083" s="2">
        <v>39966</v>
      </c>
      <c r="B1083" s="1">
        <v>7058.12</v>
      </c>
      <c r="C1083" s="1">
        <v>7084.83</v>
      </c>
      <c r="D1083" s="1">
        <v>6899.98</v>
      </c>
      <c r="E1083" s="3">
        <v>6949.08</v>
      </c>
      <c r="F1083" s="1">
        <v>8740600</v>
      </c>
    </row>
    <row r="1084" spans="1:6">
      <c r="A1084" s="2">
        <v>39967</v>
      </c>
      <c r="B1084" s="1">
        <v>6915</v>
      </c>
      <c r="C1084" s="1">
        <v>6931.29</v>
      </c>
      <c r="D1084" s="1">
        <v>6847.76</v>
      </c>
      <c r="E1084" s="3">
        <v>6893.14</v>
      </c>
      <c r="F1084" s="1">
        <v>5761400</v>
      </c>
    </row>
    <row r="1085" spans="1:6">
      <c r="A1085" s="2">
        <v>39968</v>
      </c>
      <c r="B1085" s="1">
        <v>6887.88</v>
      </c>
      <c r="C1085" s="1">
        <v>6907.87</v>
      </c>
      <c r="D1085" s="1">
        <v>6716.33</v>
      </c>
      <c r="E1085" s="3">
        <v>6786.06</v>
      </c>
      <c r="F1085" s="1">
        <v>5706000</v>
      </c>
    </row>
    <row r="1086" spans="1:6">
      <c r="A1086" s="2">
        <v>39969</v>
      </c>
      <c r="B1086" s="1">
        <v>6825.73</v>
      </c>
      <c r="C1086" s="1">
        <v>6829.66</v>
      </c>
      <c r="D1086" s="1">
        <v>6743.15</v>
      </c>
      <c r="E1086" s="3">
        <v>6767.1</v>
      </c>
      <c r="F1086" s="1">
        <v>4586200</v>
      </c>
    </row>
    <row r="1087" spans="1:6">
      <c r="A1087" s="2">
        <v>39972</v>
      </c>
      <c r="B1087" s="1">
        <v>6907.32</v>
      </c>
      <c r="C1087" s="1">
        <v>6907.32</v>
      </c>
      <c r="D1087" s="1">
        <v>6628.02</v>
      </c>
      <c r="E1087" s="3">
        <v>6628.02</v>
      </c>
      <c r="F1087" s="1">
        <v>5640800</v>
      </c>
    </row>
    <row r="1088" spans="1:6">
      <c r="A1088" s="2">
        <v>39973</v>
      </c>
      <c r="B1088" s="1">
        <v>6636.84</v>
      </c>
      <c r="C1088" s="1">
        <v>6640.44</v>
      </c>
      <c r="D1088" s="1">
        <v>6394.34</v>
      </c>
      <c r="E1088" s="3">
        <v>6414.39</v>
      </c>
      <c r="F1088" s="1">
        <v>5955800</v>
      </c>
    </row>
    <row r="1089" spans="1:6">
      <c r="A1089" s="2">
        <v>39974</v>
      </c>
      <c r="B1089" s="1">
        <v>6478.46</v>
      </c>
      <c r="C1089" s="1">
        <v>6512.22</v>
      </c>
      <c r="D1089" s="1">
        <v>6389.94</v>
      </c>
      <c r="E1089" s="3">
        <v>6462.27</v>
      </c>
      <c r="F1089" s="1">
        <v>4270400</v>
      </c>
    </row>
    <row r="1090" spans="1:6">
      <c r="A1090" s="2">
        <v>39975</v>
      </c>
      <c r="B1090" s="1">
        <v>6458.62</v>
      </c>
      <c r="C1090" s="1">
        <v>6567.37</v>
      </c>
      <c r="D1090" s="1">
        <v>6353.78</v>
      </c>
      <c r="E1090" s="3">
        <v>6567.37</v>
      </c>
      <c r="F1090" s="1">
        <v>4319400</v>
      </c>
    </row>
    <row r="1091" spans="1:6">
      <c r="A1091" s="2">
        <v>39976</v>
      </c>
      <c r="B1091" s="1">
        <v>6552.58</v>
      </c>
      <c r="C1091" s="1">
        <v>6586.2</v>
      </c>
      <c r="D1091" s="1">
        <v>6443.86</v>
      </c>
      <c r="E1091" s="3">
        <v>6448.23</v>
      </c>
      <c r="F1091" s="1">
        <v>4737200</v>
      </c>
    </row>
    <row r="1092" spans="1:6">
      <c r="A1092" s="2">
        <v>39979</v>
      </c>
      <c r="B1092" s="1">
        <v>6362.22</v>
      </c>
      <c r="C1092" s="1">
        <v>6383.98</v>
      </c>
      <c r="D1092" s="1">
        <v>6188.7</v>
      </c>
      <c r="E1092" s="3">
        <v>6225.56</v>
      </c>
      <c r="F1092" s="1">
        <v>4354600</v>
      </c>
    </row>
    <row r="1093" spans="1:6">
      <c r="A1093" s="2">
        <v>39980</v>
      </c>
      <c r="B1093" s="1">
        <v>6220.54</v>
      </c>
      <c r="C1093" s="1">
        <v>6257.13</v>
      </c>
      <c r="D1093" s="1">
        <v>6143.24</v>
      </c>
      <c r="E1093" s="3">
        <v>6220.81</v>
      </c>
      <c r="F1093" s="1">
        <v>4067200</v>
      </c>
    </row>
    <row r="1094" spans="1:6">
      <c r="A1094" s="2">
        <v>39981</v>
      </c>
      <c r="B1094" s="1">
        <v>6239.51</v>
      </c>
      <c r="C1094" s="1">
        <v>6306.46</v>
      </c>
      <c r="D1094" s="1">
        <v>6191.58</v>
      </c>
      <c r="E1094" s="3">
        <v>6195.91</v>
      </c>
      <c r="F1094" s="1">
        <v>3744200</v>
      </c>
    </row>
    <row r="1095" spans="1:6">
      <c r="A1095" s="2">
        <v>39982</v>
      </c>
      <c r="B1095" s="1">
        <v>6246.85</v>
      </c>
      <c r="C1095" s="1">
        <v>6279.36</v>
      </c>
      <c r="D1095" s="1">
        <v>6100.08</v>
      </c>
      <c r="E1095" s="3">
        <v>6144.53</v>
      </c>
      <c r="F1095" s="1">
        <v>3694000</v>
      </c>
    </row>
    <row r="1096" spans="1:6">
      <c r="A1096" s="2">
        <v>39983</v>
      </c>
      <c r="B1096" s="1">
        <v>6187.97</v>
      </c>
      <c r="C1096" s="1">
        <v>6231.88</v>
      </c>
      <c r="D1096" s="1">
        <v>6151.51</v>
      </c>
      <c r="E1096" s="3">
        <v>6231.15</v>
      </c>
      <c r="F1096" s="1">
        <v>3203200</v>
      </c>
    </row>
    <row r="1097" spans="1:6">
      <c r="A1097" s="2">
        <v>39986</v>
      </c>
      <c r="B1097" s="1">
        <v>6256.38</v>
      </c>
      <c r="C1097" s="1">
        <v>6348.74</v>
      </c>
      <c r="D1097" s="1">
        <v>6193.09</v>
      </c>
      <c r="E1097" s="3">
        <v>6341.21</v>
      </c>
      <c r="F1097" s="1">
        <v>3511800</v>
      </c>
    </row>
    <row r="1098" spans="1:6">
      <c r="A1098" s="2">
        <v>39987</v>
      </c>
      <c r="B1098" s="1">
        <v>6206.31</v>
      </c>
      <c r="C1098" s="1">
        <v>6262.29</v>
      </c>
      <c r="D1098" s="1">
        <v>6197.47</v>
      </c>
      <c r="E1098" s="3">
        <v>6197.47</v>
      </c>
      <c r="F1098" s="1">
        <v>3407200</v>
      </c>
    </row>
    <row r="1099" spans="1:6">
      <c r="A1099" s="2">
        <v>39988</v>
      </c>
      <c r="B1099" s="1">
        <v>6230.76</v>
      </c>
      <c r="C1099" s="1">
        <v>6511.97</v>
      </c>
      <c r="D1099" s="1">
        <v>6191.63</v>
      </c>
      <c r="E1099" s="3">
        <v>6380.08</v>
      </c>
      <c r="F1099" s="1">
        <v>5013200</v>
      </c>
    </row>
    <row r="1100" spans="1:6">
      <c r="A1100" s="2">
        <v>39989</v>
      </c>
      <c r="B1100" s="1">
        <v>6427.88</v>
      </c>
      <c r="C1100" s="1">
        <v>6497.38</v>
      </c>
      <c r="D1100" s="1">
        <v>6404.38</v>
      </c>
      <c r="E1100" s="3">
        <v>6457.61</v>
      </c>
      <c r="F1100" s="1">
        <v>4859200</v>
      </c>
    </row>
    <row r="1101" spans="1:6">
      <c r="A1101" s="2">
        <v>39990</v>
      </c>
      <c r="B1101" s="1">
        <v>6515.64</v>
      </c>
      <c r="C1101" s="1">
        <v>6527.86</v>
      </c>
      <c r="D1101" s="1">
        <v>6460.91</v>
      </c>
      <c r="E1101" s="3">
        <v>6463.56</v>
      </c>
      <c r="F1101" s="1">
        <v>4081400</v>
      </c>
    </row>
    <row r="1102" spans="1:6">
      <c r="A1102" s="2">
        <v>39993</v>
      </c>
      <c r="B1102" s="1">
        <v>6512.42</v>
      </c>
      <c r="C1102" s="1">
        <v>6522.13</v>
      </c>
      <c r="D1102" s="1">
        <v>6391.15</v>
      </c>
      <c r="E1102" s="3">
        <v>6391.15</v>
      </c>
      <c r="F1102" s="1">
        <v>3634600</v>
      </c>
    </row>
    <row r="1103" spans="1:6">
      <c r="A1103" s="2">
        <v>39994</v>
      </c>
      <c r="B1103" s="1">
        <v>6485.33</v>
      </c>
      <c r="C1103" s="1">
        <v>6503.98</v>
      </c>
      <c r="D1103" s="1">
        <v>6381.42</v>
      </c>
      <c r="E1103" s="3">
        <v>6432.16</v>
      </c>
      <c r="F1103" s="1">
        <v>3719800</v>
      </c>
    </row>
    <row r="1104" spans="1:6">
      <c r="A1104" s="2">
        <v>39995</v>
      </c>
      <c r="B1104" s="1">
        <v>6445.85</v>
      </c>
      <c r="C1104" s="1">
        <v>6593.78</v>
      </c>
      <c r="D1104" s="1">
        <v>6433.69</v>
      </c>
      <c r="E1104" s="3">
        <v>6578.97</v>
      </c>
      <c r="F1104" s="1">
        <v>3790000</v>
      </c>
    </row>
    <row r="1105" spans="1:6">
      <c r="A1105" s="2">
        <v>39996</v>
      </c>
      <c r="B1105" s="1">
        <v>6613.72</v>
      </c>
      <c r="C1105" s="1">
        <v>6686.7</v>
      </c>
      <c r="D1105" s="1">
        <v>6600.91</v>
      </c>
      <c r="E1105" s="3">
        <v>6667.53</v>
      </c>
      <c r="F1105" s="1">
        <v>5084600</v>
      </c>
    </row>
    <row r="1106" spans="1:6">
      <c r="A1106" s="2">
        <v>39997</v>
      </c>
      <c r="B1106" s="1">
        <v>6632.98</v>
      </c>
      <c r="C1106" s="1">
        <v>6685.28</v>
      </c>
      <c r="D1106" s="1">
        <v>6607.62</v>
      </c>
      <c r="E1106" s="3">
        <v>6665.4</v>
      </c>
      <c r="F1106" s="1">
        <v>4293000</v>
      </c>
    </row>
    <row r="1107" spans="1:6">
      <c r="A1107" s="2">
        <v>40000</v>
      </c>
      <c r="B1107" s="1">
        <v>6691.02</v>
      </c>
      <c r="C1107" s="1">
        <v>6693.44</v>
      </c>
      <c r="D1107" s="1">
        <v>6615.9</v>
      </c>
      <c r="E1107" s="3">
        <v>6649.91</v>
      </c>
      <c r="F1107" s="1">
        <v>3910000</v>
      </c>
    </row>
    <row r="1108" spans="1:6">
      <c r="A1108" s="2">
        <v>40001</v>
      </c>
      <c r="B1108" s="1">
        <v>6675.81</v>
      </c>
      <c r="C1108" s="1">
        <v>6745.31</v>
      </c>
      <c r="D1108" s="1">
        <v>6656.89</v>
      </c>
      <c r="E1108" s="3">
        <v>6715.22</v>
      </c>
      <c r="F1108" s="1">
        <v>4519000</v>
      </c>
    </row>
    <row r="1109" spans="1:6">
      <c r="A1109" s="2">
        <v>40002</v>
      </c>
      <c r="B1109" s="1">
        <v>6667.98</v>
      </c>
      <c r="C1109" s="1">
        <v>6692.76</v>
      </c>
      <c r="D1109" s="1">
        <v>6629.83</v>
      </c>
      <c r="E1109" s="3">
        <v>6668.14</v>
      </c>
      <c r="F1109" s="1">
        <v>4213200</v>
      </c>
    </row>
    <row r="1110" spans="1:6">
      <c r="A1110" s="2">
        <v>40003</v>
      </c>
      <c r="B1110" s="1">
        <v>6696.72</v>
      </c>
      <c r="C1110" s="1">
        <v>6803.83</v>
      </c>
      <c r="D1110" s="1">
        <v>6696.72</v>
      </c>
      <c r="E1110" s="3">
        <v>6748.18</v>
      </c>
      <c r="F1110" s="1">
        <v>5196000</v>
      </c>
    </row>
    <row r="1111" spans="1:6">
      <c r="A1111" s="2">
        <v>40004</v>
      </c>
      <c r="B1111" s="1">
        <v>6807.46</v>
      </c>
      <c r="C1111" s="1">
        <v>6807.46</v>
      </c>
      <c r="D1111" s="1">
        <v>6739.05</v>
      </c>
      <c r="E1111" s="3">
        <v>6769.86</v>
      </c>
      <c r="F1111" s="1">
        <v>3974800</v>
      </c>
    </row>
    <row r="1112" spans="1:6">
      <c r="A1112" s="2">
        <v>40007</v>
      </c>
      <c r="B1112" s="1">
        <v>6795.23</v>
      </c>
      <c r="C1112" s="1">
        <v>6797.72</v>
      </c>
      <c r="D1112" s="1">
        <v>6525.9</v>
      </c>
      <c r="E1112" s="3">
        <v>6530.82</v>
      </c>
      <c r="F1112" s="1">
        <v>4624600</v>
      </c>
    </row>
    <row r="1113" spans="1:6">
      <c r="A1113" s="2">
        <v>40008</v>
      </c>
      <c r="B1113" s="1">
        <v>6584.9</v>
      </c>
      <c r="C1113" s="1">
        <v>6657.17</v>
      </c>
      <c r="D1113" s="1">
        <v>6568.91</v>
      </c>
      <c r="E1113" s="3">
        <v>6639.41</v>
      </c>
      <c r="F1113" s="1">
        <v>3484400</v>
      </c>
    </row>
    <row r="1114" spans="1:6">
      <c r="A1114" s="2">
        <v>40009</v>
      </c>
      <c r="B1114" s="1">
        <v>6672.28</v>
      </c>
      <c r="C1114" s="1">
        <v>6774.28</v>
      </c>
      <c r="D1114" s="1">
        <v>6651.86</v>
      </c>
      <c r="E1114" s="3">
        <v>6738.6</v>
      </c>
      <c r="F1114" s="1">
        <v>4834400</v>
      </c>
    </row>
    <row r="1115" spans="1:6">
      <c r="A1115" s="2">
        <v>40010</v>
      </c>
      <c r="B1115" s="1">
        <v>6863.86</v>
      </c>
      <c r="C1115" s="1">
        <v>6878.68</v>
      </c>
      <c r="D1115" s="1">
        <v>6770.51</v>
      </c>
      <c r="E1115" s="3">
        <v>6780.3</v>
      </c>
      <c r="F1115" s="1">
        <v>5189000</v>
      </c>
    </row>
    <row r="1116" spans="1:6">
      <c r="A1116" s="2">
        <v>40011</v>
      </c>
      <c r="B1116" s="1">
        <v>6851.96</v>
      </c>
      <c r="C1116" s="1">
        <v>6870.58</v>
      </c>
      <c r="D1116" s="1">
        <v>6791.75</v>
      </c>
      <c r="E1116" s="3">
        <v>6850.99</v>
      </c>
      <c r="F1116" s="1">
        <v>4515600</v>
      </c>
    </row>
    <row r="1117" spans="1:6">
      <c r="A1117" s="2">
        <v>40014</v>
      </c>
      <c r="B1117" s="1">
        <v>6921.64</v>
      </c>
      <c r="C1117" s="1">
        <v>6961.45</v>
      </c>
      <c r="D1117" s="1">
        <v>6861.02</v>
      </c>
      <c r="E1117" s="3">
        <v>6938.86</v>
      </c>
      <c r="F1117" s="1">
        <v>5191200</v>
      </c>
    </row>
    <row r="1118" spans="1:6">
      <c r="A1118" s="2">
        <v>40015</v>
      </c>
      <c r="B1118" s="1">
        <v>6995.5</v>
      </c>
      <c r="C1118" s="1">
        <v>7002.32</v>
      </c>
      <c r="D1118" s="1">
        <v>6904.88</v>
      </c>
      <c r="E1118" s="3">
        <v>6953.34</v>
      </c>
      <c r="F1118" s="1">
        <v>5426600</v>
      </c>
    </row>
    <row r="1119" spans="1:6">
      <c r="A1119" s="2">
        <v>40016</v>
      </c>
      <c r="B1119" s="1">
        <v>6979.41</v>
      </c>
      <c r="C1119" s="1">
        <v>7030.13</v>
      </c>
      <c r="D1119" s="1">
        <v>6955.37</v>
      </c>
      <c r="E1119" s="3">
        <v>6985.32</v>
      </c>
      <c r="F1119" s="1">
        <v>5753600</v>
      </c>
    </row>
    <row r="1120" spans="1:6">
      <c r="A1120" s="2">
        <v>40017</v>
      </c>
      <c r="B1120" s="1">
        <v>6987.79</v>
      </c>
      <c r="C1120" s="1">
        <v>7023.67</v>
      </c>
      <c r="D1120" s="1">
        <v>6926.27</v>
      </c>
      <c r="E1120" s="3">
        <v>6980.88</v>
      </c>
      <c r="F1120" s="1">
        <v>5020600</v>
      </c>
    </row>
    <row r="1121" spans="1:6">
      <c r="A1121" s="2">
        <v>40018</v>
      </c>
      <c r="B1121" s="1">
        <v>7046.46</v>
      </c>
      <c r="C1121" s="1">
        <v>7046.46</v>
      </c>
      <c r="D1121" s="1">
        <v>6950.92</v>
      </c>
      <c r="E1121" s="3">
        <v>6973.28</v>
      </c>
      <c r="F1121" s="1">
        <v>5299200</v>
      </c>
    </row>
    <row r="1122" spans="1:6">
      <c r="A1122" s="2">
        <v>40021</v>
      </c>
      <c r="B1122" s="1">
        <v>7008.18</v>
      </c>
      <c r="C1122" s="1">
        <v>7059.46</v>
      </c>
      <c r="D1122" s="1">
        <v>6954.3</v>
      </c>
      <c r="E1122" s="3">
        <v>7028.43</v>
      </c>
      <c r="F1122" s="1">
        <v>4144400</v>
      </c>
    </row>
    <row r="1123" spans="1:6">
      <c r="A1123" s="2">
        <v>40022</v>
      </c>
      <c r="B1123" s="1">
        <v>7038.73</v>
      </c>
      <c r="C1123" s="1">
        <v>7142.63</v>
      </c>
      <c r="D1123" s="1">
        <v>7038.73</v>
      </c>
      <c r="E1123" s="3">
        <v>7142.63</v>
      </c>
      <c r="F1123" s="1">
        <v>5615400</v>
      </c>
    </row>
    <row r="1124" spans="1:6">
      <c r="A1124" s="2">
        <v>40023</v>
      </c>
      <c r="B1124" s="1">
        <v>7185.52</v>
      </c>
      <c r="C1124" s="1">
        <v>7185.52</v>
      </c>
      <c r="D1124" s="1">
        <v>7070.72</v>
      </c>
      <c r="E1124" s="3">
        <v>7083.63</v>
      </c>
      <c r="F1124" s="1">
        <v>5961400</v>
      </c>
    </row>
    <row r="1125" spans="1:6">
      <c r="A1125" s="2">
        <v>40024</v>
      </c>
      <c r="B1125" s="1">
        <v>7063.47</v>
      </c>
      <c r="C1125" s="1">
        <v>7068.43</v>
      </c>
      <c r="D1125" s="1">
        <v>6944.5</v>
      </c>
      <c r="E1125" s="3">
        <v>7027.11</v>
      </c>
      <c r="F1125" s="1">
        <v>5035400</v>
      </c>
    </row>
    <row r="1126" spans="1:6">
      <c r="A1126" s="2">
        <v>40025</v>
      </c>
      <c r="B1126" s="1">
        <v>7111.15</v>
      </c>
      <c r="C1126" s="1">
        <v>7132.11</v>
      </c>
      <c r="D1126" s="1">
        <v>7044.7</v>
      </c>
      <c r="E1126" s="3">
        <v>7077.71</v>
      </c>
      <c r="F1126" s="1">
        <v>5679600</v>
      </c>
    </row>
    <row r="1127" spans="1:6">
      <c r="A1127" s="2">
        <v>40028</v>
      </c>
      <c r="B1127" s="1">
        <v>7036.47</v>
      </c>
      <c r="C1127" s="1">
        <v>7084.59</v>
      </c>
      <c r="D1127" s="1">
        <v>6986.29</v>
      </c>
      <c r="E1127" s="3">
        <v>7056.71</v>
      </c>
      <c r="F1127" s="1">
        <v>5150200</v>
      </c>
    </row>
    <row r="1128" spans="1:6">
      <c r="A1128" s="2">
        <v>40029</v>
      </c>
      <c r="B1128" s="1">
        <v>7129.43</v>
      </c>
      <c r="C1128" s="1">
        <v>7138.94</v>
      </c>
      <c r="D1128" s="1">
        <v>6921.04</v>
      </c>
      <c r="E1128" s="3">
        <v>6955.87</v>
      </c>
      <c r="F1128" s="1">
        <v>6550000</v>
      </c>
    </row>
    <row r="1129" spans="1:6">
      <c r="A1129" s="2">
        <v>40030</v>
      </c>
      <c r="B1129" s="1">
        <v>6979.73</v>
      </c>
      <c r="C1129" s="1">
        <v>7013.6</v>
      </c>
      <c r="D1129" s="1">
        <v>6827.16</v>
      </c>
      <c r="E1129" s="3">
        <v>6848.24</v>
      </c>
      <c r="F1129" s="1">
        <v>4982800</v>
      </c>
    </row>
    <row r="1130" spans="1:6">
      <c r="A1130" s="2">
        <v>40031</v>
      </c>
      <c r="B1130" s="1">
        <v>6886.7</v>
      </c>
      <c r="C1130" s="1">
        <v>6888.09</v>
      </c>
      <c r="D1130" s="1">
        <v>6775.87</v>
      </c>
      <c r="E1130" s="3">
        <v>6868.65</v>
      </c>
      <c r="F1130" s="1">
        <v>5078400</v>
      </c>
    </row>
    <row r="1131" spans="1:6">
      <c r="A1131" s="2">
        <v>40035</v>
      </c>
      <c r="B1131" s="1">
        <v>6858.87</v>
      </c>
      <c r="C1131" s="1">
        <v>6909.16</v>
      </c>
      <c r="D1131" s="1">
        <v>6836.96</v>
      </c>
      <c r="E1131" s="3">
        <v>6882.87</v>
      </c>
      <c r="F1131" s="1">
        <v>3538400</v>
      </c>
    </row>
    <row r="1132" spans="1:6">
      <c r="A1132" s="2">
        <v>40036</v>
      </c>
      <c r="B1132" s="1">
        <v>6904.45</v>
      </c>
      <c r="C1132" s="1">
        <v>6921.85</v>
      </c>
      <c r="D1132" s="1">
        <v>6812.06</v>
      </c>
      <c r="E1132" s="3">
        <v>6909.02</v>
      </c>
      <c r="F1132" s="1">
        <v>3696000</v>
      </c>
    </row>
    <row r="1133" spans="1:6">
      <c r="A1133" s="2">
        <v>40037</v>
      </c>
      <c r="B1133" s="1">
        <v>6878.34</v>
      </c>
      <c r="C1133" s="1">
        <v>6933.51</v>
      </c>
      <c r="D1133" s="1">
        <v>6864.91</v>
      </c>
      <c r="E1133" s="3">
        <v>6898.9</v>
      </c>
      <c r="F1133" s="1">
        <v>3640000</v>
      </c>
    </row>
    <row r="1134" spans="1:6">
      <c r="A1134" s="2">
        <v>40038</v>
      </c>
      <c r="B1134" s="1">
        <v>6949.5</v>
      </c>
      <c r="C1134" s="1">
        <v>7037.47</v>
      </c>
      <c r="D1134" s="1">
        <v>6931.55</v>
      </c>
      <c r="E1134" s="3">
        <v>7034.96</v>
      </c>
      <c r="F1134" s="1">
        <v>4410000</v>
      </c>
    </row>
    <row r="1135" spans="1:6">
      <c r="A1135" s="2">
        <v>40039</v>
      </c>
      <c r="B1135" s="1">
        <v>7091.82</v>
      </c>
      <c r="C1135" s="1">
        <v>7132.33</v>
      </c>
      <c r="D1135" s="1">
        <v>7062.49</v>
      </c>
      <c r="E1135" s="3">
        <v>7069.51</v>
      </c>
      <c r="F1135" s="1">
        <v>4547600</v>
      </c>
    </row>
    <row r="1136" spans="1:6">
      <c r="A1136" s="2">
        <v>40042</v>
      </c>
      <c r="B1136" s="1">
        <v>7034.27</v>
      </c>
      <c r="C1136" s="1">
        <v>7051.78</v>
      </c>
      <c r="D1136" s="1">
        <v>6931.8</v>
      </c>
      <c r="E1136" s="3">
        <v>6931.8</v>
      </c>
      <c r="F1136" s="1">
        <v>3537400</v>
      </c>
    </row>
    <row r="1137" spans="1:6">
      <c r="A1137" s="2">
        <v>40043</v>
      </c>
      <c r="B1137" s="1">
        <v>6843.27</v>
      </c>
      <c r="C1137" s="1">
        <v>6904.64</v>
      </c>
      <c r="D1137" s="1">
        <v>6746.3</v>
      </c>
      <c r="E1137" s="3">
        <v>6789.77</v>
      </c>
      <c r="F1137" s="1">
        <v>4096400</v>
      </c>
    </row>
    <row r="1138" spans="1:6">
      <c r="A1138" s="2">
        <v>40044</v>
      </c>
      <c r="B1138" s="1">
        <v>6843.69</v>
      </c>
      <c r="C1138" s="1">
        <v>6854.59</v>
      </c>
      <c r="D1138" s="1">
        <v>6786.79</v>
      </c>
      <c r="E1138" s="3">
        <v>6788.58</v>
      </c>
      <c r="F1138" s="1">
        <v>2661000</v>
      </c>
    </row>
    <row r="1139" spans="1:6">
      <c r="A1139" s="2">
        <v>40045</v>
      </c>
      <c r="B1139" s="1">
        <v>6784.91</v>
      </c>
      <c r="C1139" s="1">
        <v>6784.91</v>
      </c>
      <c r="D1139" s="1">
        <v>6647.32</v>
      </c>
      <c r="E1139" s="3">
        <v>6733.23</v>
      </c>
      <c r="F1139" s="1">
        <v>3529000</v>
      </c>
    </row>
    <row r="1140" spans="1:6">
      <c r="A1140" s="2">
        <v>40046</v>
      </c>
      <c r="B1140" s="1">
        <v>6785.7</v>
      </c>
      <c r="C1140" s="1">
        <v>6824.65</v>
      </c>
      <c r="D1140" s="1">
        <v>6629.1</v>
      </c>
      <c r="E1140" s="3">
        <v>6654.8</v>
      </c>
      <c r="F1140" s="1">
        <v>3871400</v>
      </c>
    </row>
    <row r="1141" spans="1:6">
      <c r="A1141" s="2">
        <v>40049</v>
      </c>
      <c r="B1141" s="1">
        <v>6766.76</v>
      </c>
      <c r="C1141" s="1">
        <v>6859.79</v>
      </c>
      <c r="D1141" s="1">
        <v>6762.68</v>
      </c>
      <c r="E1141" s="3">
        <v>6838.25</v>
      </c>
      <c r="F1141" s="1">
        <v>3082400</v>
      </c>
    </row>
    <row r="1142" spans="1:6">
      <c r="A1142" s="2">
        <v>40050</v>
      </c>
      <c r="B1142" s="1">
        <v>6840.27</v>
      </c>
      <c r="C1142" s="1">
        <v>6865.92</v>
      </c>
      <c r="D1142" s="1">
        <v>6800.35</v>
      </c>
      <c r="E1142" s="3">
        <v>6809.41</v>
      </c>
      <c r="F1142" s="1">
        <v>2951200</v>
      </c>
    </row>
    <row r="1143" spans="1:6">
      <c r="A1143" s="2">
        <v>40051</v>
      </c>
      <c r="B1143" s="1">
        <v>6816.42</v>
      </c>
      <c r="C1143" s="1">
        <v>6827.89</v>
      </c>
      <c r="D1143" s="1">
        <v>6663.84</v>
      </c>
      <c r="E1143" s="3">
        <v>6719.21</v>
      </c>
      <c r="F1143" s="1">
        <v>3765600</v>
      </c>
    </row>
    <row r="1144" spans="1:6">
      <c r="A1144" s="2">
        <v>40052</v>
      </c>
      <c r="B1144" s="1">
        <v>6678.24</v>
      </c>
      <c r="C1144" s="1">
        <v>6753.73</v>
      </c>
      <c r="D1144" s="1">
        <v>6658.73</v>
      </c>
      <c r="E1144" s="3">
        <v>6690.75</v>
      </c>
      <c r="F1144" s="1">
        <v>3009200</v>
      </c>
    </row>
    <row r="1145" spans="1:6">
      <c r="A1145" s="2">
        <v>40053</v>
      </c>
      <c r="B1145" s="1">
        <v>6727.42</v>
      </c>
      <c r="C1145" s="1">
        <v>6824.65</v>
      </c>
      <c r="D1145" s="1">
        <v>6711.16</v>
      </c>
      <c r="E1145" s="3">
        <v>6809.86</v>
      </c>
      <c r="F1145" s="1">
        <v>3223200</v>
      </c>
    </row>
    <row r="1146" spans="1:6">
      <c r="A1146" s="2">
        <v>40056</v>
      </c>
      <c r="B1146" s="1">
        <v>6844.91</v>
      </c>
      <c r="C1146" s="1">
        <v>6848.96</v>
      </c>
      <c r="D1146" s="1">
        <v>6760.05</v>
      </c>
      <c r="E1146" s="3">
        <v>6825.95</v>
      </c>
      <c r="F1146" s="1">
        <v>3066000</v>
      </c>
    </row>
    <row r="1147" spans="1:6">
      <c r="A1147" s="2">
        <v>40057</v>
      </c>
      <c r="B1147" s="1">
        <v>6834.63</v>
      </c>
      <c r="C1147" s="1">
        <v>7019.75</v>
      </c>
      <c r="D1147" s="1">
        <v>6807.62</v>
      </c>
      <c r="E1147" s="3">
        <v>7019.75</v>
      </c>
      <c r="F1147" s="1">
        <v>4414000</v>
      </c>
    </row>
    <row r="1148" spans="1:6">
      <c r="A1148" s="2">
        <v>40058</v>
      </c>
      <c r="B1148" s="1">
        <v>6966.18</v>
      </c>
      <c r="C1148" s="1">
        <v>7057.01</v>
      </c>
      <c r="D1148" s="1">
        <v>6961.01</v>
      </c>
      <c r="E1148" s="3">
        <v>7039.77</v>
      </c>
      <c r="F1148" s="1">
        <v>4190000</v>
      </c>
    </row>
    <row r="1149" spans="1:6">
      <c r="A1149" s="2">
        <v>40059</v>
      </c>
      <c r="B1149" s="1">
        <v>7060.66</v>
      </c>
      <c r="C1149" s="1">
        <v>7131.31</v>
      </c>
      <c r="D1149" s="1">
        <v>7011.36</v>
      </c>
      <c r="E1149" s="3">
        <v>7104.65</v>
      </c>
      <c r="F1149" s="1">
        <v>4667200</v>
      </c>
    </row>
    <row r="1150" spans="1:6">
      <c r="A1150" s="2">
        <v>40060</v>
      </c>
      <c r="B1150" s="1">
        <v>7167.24</v>
      </c>
      <c r="C1150" s="1">
        <v>7178.54</v>
      </c>
      <c r="D1150" s="1">
        <v>7121.21</v>
      </c>
      <c r="E1150" s="3">
        <v>7153.13</v>
      </c>
      <c r="F1150" s="1">
        <v>4596200</v>
      </c>
    </row>
    <row r="1151" spans="1:6">
      <c r="A1151" s="2">
        <v>40063</v>
      </c>
      <c r="B1151" s="1">
        <v>7192.16</v>
      </c>
      <c r="C1151" s="1">
        <v>7240.34</v>
      </c>
      <c r="D1151" s="1">
        <v>7169.4</v>
      </c>
      <c r="E1151" s="3">
        <v>7224.59</v>
      </c>
      <c r="F1151" s="1">
        <v>4238800</v>
      </c>
    </row>
    <row r="1152" spans="1:6">
      <c r="A1152" s="2">
        <v>40064</v>
      </c>
      <c r="B1152" s="1">
        <v>7263.23</v>
      </c>
      <c r="C1152" s="1">
        <v>7350.88</v>
      </c>
      <c r="D1152" s="1">
        <v>7202.69</v>
      </c>
      <c r="E1152" s="3">
        <v>7313.99</v>
      </c>
      <c r="F1152" s="1">
        <v>5261400</v>
      </c>
    </row>
    <row r="1153" spans="1:6">
      <c r="A1153" s="2">
        <v>40065</v>
      </c>
      <c r="B1153" s="1">
        <v>7344.26</v>
      </c>
      <c r="C1153" s="1">
        <v>7363.11</v>
      </c>
      <c r="D1153" s="1">
        <v>7250.72</v>
      </c>
      <c r="E1153" s="3">
        <v>7250.72</v>
      </c>
      <c r="F1153" s="1">
        <v>4678400</v>
      </c>
    </row>
    <row r="1154" spans="1:6">
      <c r="A1154" s="2">
        <v>40066</v>
      </c>
      <c r="B1154" s="1">
        <v>7507.49</v>
      </c>
      <c r="C1154" s="1">
        <v>7507.49</v>
      </c>
      <c r="D1154" s="1">
        <v>7286.82</v>
      </c>
      <c r="E1154" s="3">
        <v>7332.08</v>
      </c>
      <c r="F1154" s="1">
        <v>5713400</v>
      </c>
    </row>
    <row r="1155" spans="1:6">
      <c r="A1155" s="2">
        <v>40067</v>
      </c>
      <c r="B1155" s="1">
        <v>7300.01</v>
      </c>
      <c r="C1155" s="1">
        <v>7355.96</v>
      </c>
      <c r="D1155" s="1">
        <v>7295.85</v>
      </c>
      <c r="E1155" s="3">
        <v>7337.14</v>
      </c>
      <c r="F1155" s="1">
        <v>3511000</v>
      </c>
    </row>
    <row r="1156" spans="1:6">
      <c r="A1156" s="2">
        <v>40070</v>
      </c>
      <c r="B1156" s="1">
        <v>7337.04</v>
      </c>
      <c r="C1156" s="1">
        <v>7350.92</v>
      </c>
      <c r="D1156" s="1">
        <v>7218.18</v>
      </c>
      <c r="E1156" s="3">
        <v>7256.95</v>
      </c>
      <c r="F1156" s="1">
        <v>3366800</v>
      </c>
    </row>
    <row r="1157" spans="1:6">
      <c r="A1157" s="2">
        <v>40071</v>
      </c>
      <c r="B1157" s="1">
        <v>7269.9</v>
      </c>
      <c r="C1157" s="1">
        <v>7362.16</v>
      </c>
      <c r="D1157" s="1">
        <v>7252.33</v>
      </c>
      <c r="E1157" s="3">
        <v>7346.26</v>
      </c>
      <c r="F1157" s="1">
        <v>3504400</v>
      </c>
    </row>
    <row r="1158" spans="1:6">
      <c r="A1158" s="2">
        <v>40072</v>
      </c>
      <c r="B1158" s="1">
        <v>7414.96</v>
      </c>
      <c r="C1158" s="1">
        <v>7457.4</v>
      </c>
      <c r="D1158" s="1">
        <v>7391.84</v>
      </c>
      <c r="E1158" s="3">
        <v>7440.24</v>
      </c>
      <c r="F1158" s="1">
        <v>4713200</v>
      </c>
    </row>
    <row r="1159" spans="1:6">
      <c r="A1159" s="2">
        <v>40073</v>
      </c>
      <c r="B1159" s="1">
        <v>7502.69</v>
      </c>
      <c r="C1159" s="1">
        <v>7513.73</v>
      </c>
      <c r="D1159" s="1">
        <v>7451.3</v>
      </c>
      <c r="E1159" s="3">
        <v>7477.3</v>
      </c>
      <c r="F1159" s="1">
        <v>5246000</v>
      </c>
    </row>
    <row r="1160" spans="1:6">
      <c r="A1160" s="2">
        <v>40074</v>
      </c>
      <c r="B1160" s="1">
        <v>7463.39</v>
      </c>
      <c r="C1160" s="1">
        <v>7526.55</v>
      </c>
      <c r="D1160" s="1">
        <v>7434.83</v>
      </c>
      <c r="E1160" s="3">
        <v>7526.55</v>
      </c>
      <c r="F1160" s="1">
        <v>4007200</v>
      </c>
    </row>
    <row r="1161" spans="1:6">
      <c r="A1161" s="2">
        <v>40077</v>
      </c>
      <c r="B1161" s="1">
        <v>7523</v>
      </c>
      <c r="C1161" s="1">
        <v>7558.88</v>
      </c>
      <c r="D1161" s="1">
        <v>7439.03</v>
      </c>
      <c r="E1161" s="3">
        <v>7502.46</v>
      </c>
      <c r="F1161" s="1">
        <v>4405600</v>
      </c>
    </row>
    <row r="1162" spans="1:6">
      <c r="A1162" s="2">
        <v>40078</v>
      </c>
      <c r="B1162" s="1">
        <v>7522.83</v>
      </c>
      <c r="C1162" s="1">
        <v>7526.23</v>
      </c>
      <c r="D1162" s="1">
        <v>7463.41</v>
      </c>
      <c r="E1162" s="3">
        <v>7469.03</v>
      </c>
      <c r="F1162" s="1">
        <v>4144200</v>
      </c>
    </row>
    <row r="1163" spans="1:6">
      <c r="A1163" s="2">
        <v>40079</v>
      </c>
      <c r="B1163" s="1">
        <v>7493.98</v>
      </c>
      <c r="C1163" s="1">
        <v>7534.66</v>
      </c>
      <c r="D1163" s="1">
        <v>7352.23</v>
      </c>
      <c r="E1163" s="3">
        <v>7376.76</v>
      </c>
      <c r="F1163" s="1">
        <v>4639400</v>
      </c>
    </row>
    <row r="1164" spans="1:6">
      <c r="A1164" s="2">
        <v>40080</v>
      </c>
      <c r="B1164" s="1">
        <v>7372.11</v>
      </c>
      <c r="C1164" s="1">
        <v>7386.99</v>
      </c>
      <c r="D1164" s="1">
        <v>7280.04</v>
      </c>
      <c r="E1164" s="3">
        <v>7324.22</v>
      </c>
      <c r="F1164" s="1">
        <v>3257400</v>
      </c>
    </row>
    <row r="1165" spans="1:6">
      <c r="A1165" s="2">
        <v>40081</v>
      </c>
      <c r="B1165" s="1">
        <v>7298.37</v>
      </c>
      <c r="C1165" s="1">
        <v>7361.93</v>
      </c>
      <c r="D1165" s="1">
        <v>7284.33</v>
      </c>
      <c r="E1165" s="3">
        <v>7345.22</v>
      </c>
      <c r="F1165" s="1">
        <v>3383600</v>
      </c>
    </row>
    <row r="1166" spans="1:6">
      <c r="A1166" s="2">
        <v>40084</v>
      </c>
      <c r="B1166" s="1">
        <v>7332.49</v>
      </c>
      <c r="C1166" s="1">
        <v>7354.8</v>
      </c>
      <c r="D1166" s="1">
        <v>7257.63</v>
      </c>
      <c r="E1166" s="3">
        <v>7284.61</v>
      </c>
      <c r="F1166" s="1">
        <v>2706200</v>
      </c>
    </row>
    <row r="1167" spans="1:6">
      <c r="A1167" s="2">
        <v>40085</v>
      </c>
      <c r="B1167" s="1">
        <v>7385.84</v>
      </c>
      <c r="C1167" s="1">
        <v>7436.29</v>
      </c>
      <c r="D1167" s="1">
        <v>7378.97</v>
      </c>
      <c r="E1167" s="3">
        <v>7429.98</v>
      </c>
      <c r="F1167" s="1">
        <v>3576200</v>
      </c>
    </row>
    <row r="1168" spans="1:6">
      <c r="A1168" s="2">
        <v>40086</v>
      </c>
      <c r="B1168" s="1">
        <v>7456.57</v>
      </c>
      <c r="C1168" s="1">
        <v>7534.55</v>
      </c>
      <c r="D1168" s="1">
        <v>7443.88</v>
      </c>
      <c r="E1168" s="3">
        <v>7509.17</v>
      </c>
      <c r="F1168" s="1">
        <v>4198800</v>
      </c>
    </row>
    <row r="1169" spans="1:6">
      <c r="A1169" s="2">
        <v>40087</v>
      </c>
      <c r="B1169" s="1">
        <v>7581.38</v>
      </c>
      <c r="C1169" s="1">
        <v>7599.62</v>
      </c>
      <c r="D1169" s="1">
        <v>7492.62</v>
      </c>
      <c r="E1169" s="3">
        <v>7545.29</v>
      </c>
      <c r="F1169" s="1">
        <v>4968000</v>
      </c>
    </row>
    <row r="1170" spans="1:6">
      <c r="A1170" s="2">
        <v>40088</v>
      </c>
      <c r="B1170" s="1">
        <v>7415.16</v>
      </c>
      <c r="C1170" s="1">
        <v>7483.43</v>
      </c>
      <c r="D1170" s="1">
        <v>7391.63</v>
      </c>
      <c r="E1170" s="3">
        <v>7411.88</v>
      </c>
      <c r="F1170" s="1">
        <v>4034400</v>
      </c>
    </row>
    <row r="1171" spans="1:6">
      <c r="A1171" s="2">
        <v>40091</v>
      </c>
      <c r="B1171" s="1">
        <v>7424.24</v>
      </c>
      <c r="C1171" s="1">
        <v>7437.98</v>
      </c>
      <c r="D1171" s="1">
        <v>7381.02</v>
      </c>
      <c r="E1171" s="3">
        <v>7437.98</v>
      </c>
      <c r="F1171" s="1">
        <v>3274000</v>
      </c>
    </row>
    <row r="1172" spans="1:6">
      <c r="A1172" s="2">
        <v>40092</v>
      </c>
      <c r="B1172" s="1">
        <v>7479.51</v>
      </c>
      <c r="C1172" s="1">
        <v>7566.88</v>
      </c>
      <c r="D1172" s="1">
        <v>7447.54</v>
      </c>
      <c r="E1172" s="3">
        <v>7536.05</v>
      </c>
      <c r="F1172" s="1">
        <v>4920600</v>
      </c>
    </row>
    <row r="1173" spans="1:6">
      <c r="A1173" s="2">
        <v>40093</v>
      </c>
      <c r="B1173" s="1">
        <v>7617.79</v>
      </c>
      <c r="C1173" s="1">
        <v>7619.03</v>
      </c>
      <c r="D1173" s="1">
        <v>7562.9</v>
      </c>
      <c r="E1173" s="3">
        <v>7608.66</v>
      </c>
      <c r="F1173" s="1">
        <v>5540000</v>
      </c>
    </row>
    <row r="1174" spans="1:6">
      <c r="A1174" s="2">
        <v>40094</v>
      </c>
      <c r="B1174" s="1">
        <v>7615.61</v>
      </c>
      <c r="C1174" s="1">
        <v>7635.66</v>
      </c>
      <c r="D1174" s="1">
        <v>7500.32</v>
      </c>
      <c r="E1174" s="3">
        <v>7503.31</v>
      </c>
      <c r="F1174" s="1">
        <v>5664000</v>
      </c>
    </row>
    <row r="1175" spans="1:6">
      <c r="A1175" s="2">
        <v>40095</v>
      </c>
      <c r="B1175" s="1">
        <v>7572.79</v>
      </c>
      <c r="C1175" s="1">
        <v>7597.79</v>
      </c>
      <c r="D1175" s="1">
        <v>7506.77</v>
      </c>
      <c r="E1175" s="3">
        <v>7571.96</v>
      </c>
      <c r="F1175" s="1">
        <v>4741200</v>
      </c>
    </row>
    <row r="1176" spans="1:6">
      <c r="A1176" s="2">
        <v>40098</v>
      </c>
      <c r="B1176" s="1">
        <v>7620.17</v>
      </c>
      <c r="C1176" s="1">
        <v>7620.17</v>
      </c>
      <c r="D1176" s="1">
        <v>7537.2</v>
      </c>
      <c r="E1176" s="3">
        <v>7599.88</v>
      </c>
      <c r="F1176" s="1">
        <v>4193400</v>
      </c>
    </row>
    <row r="1177" spans="1:6">
      <c r="A1177" s="2">
        <v>40099</v>
      </c>
      <c r="B1177" s="1">
        <v>7484.46</v>
      </c>
      <c r="C1177" s="1">
        <v>7607.41</v>
      </c>
      <c r="D1177" s="1">
        <v>7471.53</v>
      </c>
      <c r="E1177" s="3">
        <v>7596.6</v>
      </c>
      <c r="F1177" s="1">
        <v>4785600</v>
      </c>
    </row>
    <row r="1178" spans="1:6">
      <c r="A1178" s="2">
        <v>40100</v>
      </c>
      <c r="B1178" s="1">
        <v>7649.07</v>
      </c>
      <c r="C1178" s="1">
        <v>7700.42</v>
      </c>
      <c r="D1178" s="1">
        <v>7618.79</v>
      </c>
      <c r="E1178" s="3">
        <v>7695.75</v>
      </c>
      <c r="F1178" s="1">
        <v>5239000</v>
      </c>
    </row>
    <row r="1179" spans="1:6">
      <c r="A1179" s="2">
        <v>40101</v>
      </c>
      <c r="B1179" s="1">
        <v>7778.35</v>
      </c>
      <c r="C1179" s="1">
        <v>7780.66</v>
      </c>
      <c r="D1179" s="1">
        <v>7692.58</v>
      </c>
      <c r="E1179" s="3">
        <v>7710.4</v>
      </c>
      <c r="F1179" s="1">
        <v>6033800</v>
      </c>
    </row>
    <row r="1180" spans="1:6">
      <c r="A1180" s="2">
        <v>40102</v>
      </c>
      <c r="B1180" s="1">
        <v>7712.03</v>
      </c>
      <c r="C1180" s="1">
        <v>7738.04</v>
      </c>
      <c r="D1180" s="1">
        <v>7691.39</v>
      </c>
      <c r="E1180" s="3">
        <v>7715.1</v>
      </c>
      <c r="F1180" s="1">
        <v>4219000</v>
      </c>
    </row>
    <row r="1181" spans="1:6">
      <c r="A1181" s="2">
        <v>40105</v>
      </c>
      <c r="B1181" s="1">
        <v>7712.33</v>
      </c>
      <c r="C1181" s="1">
        <v>7758.13</v>
      </c>
      <c r="D1181" s="1">
        <v>7691.21</v>
      </c>
      <c r="E1181" s="3">
        <v>7751.32</v>
      </c>
      <c r="F1181" s="1">
        <v>4011000</v>
      </c>
    </row>
    <row r="1182" spans="1:6">
      <c r="A1182" s="2">
        <v>40106</v>
      </c>
      <c r="B1182" s="1">
        <v>7808.03</v>
      </c>
      <c r="C1182" s="1">
        <v>7811.92</v>
      </c>
      <c r="D1182" s="1">
        <v>7753.52</v>
      </c>
      <c r="E1182" s="3">
        <v>7753.52</v>
      </c>
      <c r="F1182" s="1">
        <v>4478600</v>
      </c>
    </row>
    <row r="1183" spans="1:6">
      <c r="A1183" s="2">
        <v>40107</v>
      </c>
      <c r="B1183" s="1">
        <v>7751.75</v>
      </c>
      <c r="C1183" s="1">
        <v>7774.4</v>
      </c>
      <c r="D1183" s="1">
        <v>7675.61</v>
      </c>
      <c r="E1183" s="3">
        <v>7701.5</v>
      </c>
      <c r="F1183" s="1">
        <v>4621000</v>
      </c>
    </row>
    <row r="1184" spans="1:6">
      <c r="A1184" s="2">
        <v>40108</v>
      </c>
      <c r="B1184" s="1">
        <v>7692.75</v>
      </c>
      <c r="C1184" s="1">
        <v>7710.82</v>
      </c>
      <c r="D1184" s="1">
        <v>7577.89</v>
      </c>
      <c r="E1184" s="3">
        <v>7607.93</v>
      </c>
      <c r="F1184" s="1">
        <v>4868600</v>
      </c>
    </row>
    <row r="1185" spans="1:6">
      <c r="A1185" s="2">
        <v>40109</v>
      </c>
      <c r="B1185" s="1">
        <v>7651.64</v>
      </c>
      <c r="C1185" s="1">
        <v>7671.91</v>
      </c>
      <c r="D1185" s="1">
        <v>7614.75</v>
      </c>
      <c r="E1185" s="3">
        <v>7649.28</v>
      </c>
      <c r="F1185" s="1">
        <v>3945200</v>
      </c>
    </row>
    <row r="1186" spans="1:6">
      <c r="A1186" s="2">
        <v>40112</v>
      </c>
      <c r="B1186" s="1">
        <v>7701.19</v>
      </c>
      <c r="C1186" s="1">
        <v>7751.68</v>
      </c>
      <c r="D1186" s="1">
        <v>7658.22</v>
      </c>
      <c r="E1186" s="3">
        <v>7668.4</v>
      </c>
      <c r="F1186" s="1">
        <v>3758000</v>
      </c>
    </row>
    <row r="1187" spans="1:6">
      <c r="A1187" s="2">
        <v>40113</v>
      </c>
      <c r="B1187" s="1">
        <v>7635.09</v>
      </c>
      <c r="C1187" s="1">
        <v>7657.34</v>
      </c>
      <c r="D1187" s="1">
        <v>7586.53</v>
      </c>
      <c r="E1187" s="3">
        <v>7657.34</v>
      </c>
      <c r="F1187" s="1">
        <v>3260600</v>
      </c>
    </row>
    <row r="1188" spans="1:6">
      <c r="A1188" s="2">
        <v>40114</v>
      </c>
      <c r="B1188" s="1">
        <v>7637.44</v>
      </c>
      <c r="C1188" s="1">
        <v>7675.15</v>
      </c>
      <c r="D1188" s="1">
        <v>7533.95</v>
      </c>
      <c r="E1188" s="3">
        <v>7533.95</v>
      </c>
      <c r="F1188" s="1">
        <v>3735200</v>
      </c>
    </row>
    <row r="1189" spans="1:6">
      <c r="A1189" s="2">
        <v>40115</v>
      </c>
      <c r="B1189" s="1">
        <v>7417.13</v>
      </c>
      <c r="C1189" s="1">
        <v>7426.47</v>
      </c>
      <c r="D1189" s="1">
        <v>7233.63</v>
      </c>
      <c r="E1189" s="3">
        <v>7355.69</v>
      </c>
      <c r="F1189" s="1">
        <v>5153800</v>
      </c>
    </row>
    <row r="1190" spans="1:6">
      <c r="A1190" s="2">
        <v>40116</v>
      </c>
      <c r="B1190" s="1">
        <v>7428.72</v>
      </c>
      <c r="C1190" s="1">
        <v>7433.21</v>
      </c>
      <c r="D1190" s="1">
        <v>7340.08</v>
      </c>
      <c r="E1190" s="3">
        <v>7340.08</v>
      </c>
      <c r="F1190" s="1">
        <v>3621000</v>
      </c>
    </row>
    <row r="1191" spans="1:6">
      <c r="A1191" s="2">
        <v>40119</v>
      </c>
      <c r="B1191" s="1">
        <v>7238.3</v>
      </c>
      <c r="C1191" s="1">
        <v>7336.65</v>
      </c>
      <c r="D1191" s="1">
        <v>7218.89</v>
      </c>
      <c r="E1191" s="3">
        <v>7335.18</v>
      </c>
      <c r="F1191" s="1">
        <v>3131000</v>
      </c>
    </row>
    <row r="1192" spans="1:6">
      <c r="A1192" s="2">
        <v>40120</v>
      </c>
      <c r="B1192" s="1">
        <v>7339.36</v>
      </c>
      <c r="C1192" s="1">
        <v>7368.28</v>
      </c>
      <c r="D1192" s="1">
        <v>7314.97</v>
      </c>
      <c r="E1192" s="3">
        <v>7322.93</v>
      </c>
      <c r="F1192" s="1">
        <v>2929000</v>
      </c>
    </row>
    <row r="1193" spans="1:6">
      <c r="A1193" s="2">
        <v>40121</v>
      </c>
      <c r="B1193" s="1">
        <v>7375.82</v>
      </c>
      <c r="C1193" s="1">
        <v>7467.04</v>
      </c>
      <c r="D1193" s="1">
        <v>7365.26</v>
      </c>
      <c r="E1193" s="3">
        <v>7467.04</v>
      </c>
      <c r="F1193" s="1">
        <v>3706800</v>
      </c>
    </row>
    <row r="1194" spans="1:6">
      <c r="A1194" s="2">
        <v>40122</v>
      </c>
      <c r="B1194" s="1">
        <v>7471.61</v>
      </c>
      <c r="C1194" s="1">
        <v>7481.58</v>
      </c>
      <c r="D1194" s="1">
        <v>7412.74</v>
      </c>
      <c r="E1194" s="3">
        <v>7417.46</v>
      </c>
      <c r="F1194" s="1">
        <v>3193400</v>
      </c>
    </row>
    <row r="1195" spans="1:6">
      <c r="A1195" s="2">
        <v>40123</v>
      </c>
      <c r="B1195" s="1">
        <v>7516.4</v>
      </c>
      <c r="C1195" s="1">
        <v>7521.01</v>
      </c>
      <c r="D1195" s="1">
        <v>7450.68</v>
      </c>
      <c r="E1195" s="3">
        <v>7463.05</v>
      </c>
      <c r="F1195" s="1">
        <v>3327200</v>
      </c>
    </row>
    <row r="1196" spans="1:6">
      <c r="A1196" s="2">
        <v>40126</v>
      </c>
      <c r="B1196" s="1">
        <v>7562.59</v>
      </c>
      <c r="C1196" s="1">
        <v>7562.59</v>
      </c>
      <c r="D1196" s="1">
        <v>7512.5</v>
      </c>
      <c r="E1196" s="3">
        <v>7536.7</v>
      </c>
      <c r="F1196" s="1">
        <v>2950400</v>
      </c>
    </row>
    <row r="1197" spans="1:6">
      <c r="A1197" s="2">
        <v>40127</v>
      </c>
      <c r="B1197" s="1">
        <v>7613.34</v>
      </c>
      <c r="C1197" s="1">
        <v>7614.54</v>
      </c>
      <c r="D1197" s="1">
        <v>7576.28</v>
      </c>
      <c r="E1197" s="3">
        <v>7593.49</v>
      </c>
      <c r="F1197" s="1">
        <v>3245200</v>
      </c>
    </row>
    <row r="1198" spans="1:6">
      <c r="A1198" s="2">
        <v>40128</v>
      </c>
      <c r="B1198" s="1">
        <v>7603.68</v>
      </c>
      <c r="C1198" s="1">
        <v>7670.76</v>
      </c>
      <c r="D1198" s="1">
        <v>7555.83</v>
      </c>
      <c r="E1198" s="3">
        <v>7668.06</v>
      </c>
      <c r="F1198" s="1">
        <v>3483200</v>
      </c>
    </row>
    <row r="1199" spans="1:6">
      <c r="A1199" s="2">
        <v>40129</v>
      </c>
      <c r="B1199" s="1">
        <v>7682.75</v>
      </c>
      <c r="C1199" s="1">
        <v>7709.89</v>
      </c>
      <c r="D1199" s="1">
        <v>7658.6</v>
      </c>
      <c r="E1199" s="3">
        <v>7670.93</v>
      </c>
      <c r="F1199" s="1">
        <v>4008400</v>
      </c>
    </row>
    <row r="1200" spans="1:6">
      <c r="A1200" s="2">
        <v>40130</v>
      </c>
      <c r="B1200" s="1">
        <v>7651.13</v>
      </c>
      <c r="C1200" s="1">
        <v>7695.11</v>
      </c>
      <c r="D1200" s="1">
        <v>7639.57</v>
      </c>
      <c r="E1200" s="3">
        <v>7665.63</v>
      </c>
      <c r="F1200" s="1">
        <v>3472400</v>
      </c>
    </row>
    <row r="1201" spans="1:6">
      <c r="A1201" s="2">
        <v>40133</v>
      </c>
      <c r="B1201" s="1">
        <v>7701.97</v>
      </c>
      <c r="C1201" s="1">
        <v>7792.68</v>
      </c>
      <c r="D1201" s="1">
        <v>7699.32</v>
      </c>
      <c r="E1201" s="3">
        <v>7792.68</v>
      </c>
      <c r="F1201" s="1">
        <v>4253800</v>
      </c>
    </row>
    <row r="1202" spans="1:6">
      <c r="A1202" s="2">
        <v>40134</v>
      </c>
      <c r="B1202" s="1">
        <v>7875.48</v>
      </c>
      <c r="C1202" s="1">
        <v>7875.48</v>
      </c>
      <c r="D1202" s="1">
        <v>7733.21</v>
      </c>
      <c r="E1202" s="3">
        <v>7733.21</v>
      </c>
      <c r="F1202" s="1">
        <v>5580800</v>
      </c>
    </row>
    <row r="1203" spans="1:6">
      <c r="A1203" s="2">
        <v>40135</v>
      </c>
      <c r="B1203" s="1">
        <v>7766.68</v>
      </c>
      <c r="C1203" s="1">
        <v>7803.36</v>
      </c>
      <c r="D1203" s="1">
        <v>7737.59</v>
      </c>
      <c r="E1203" s="3">
        <v>7766.69</v>
      </c>
      <c r="F1203" s="1">
        <v>4668200</v>
      </c>
    </row>
    <row r="1204" spans="1:6">
      <c r="A1204" s="2">
        <v>40136</v>
      </c>
      <c r="B1204" s="1">
        <v>7767.98</v>
      </c>
      <c r="C1204" s="1">
        <v>7797.41</v>
      </c>
      <c r="D1204" s="1">
        <v>7751.06</v>
      </c>
      <c r="E1204" s="3">
        <v>7759.98</v>
      </c>
      <c r="F1204" s="1">
        <v>4462200</v>
      </c>
    </row>
    <row r="1205" spans="1:6">
      <c r="A1205" s="2">
        <v>40137</v>
      </c>
      <c r="B1205" s="1">
        <v>7741.72</v>
      </c>
      <c r="C1205" s="1">
        <v>7741.72</v>
      </c>
      <c r="D1205" s="1">
        <v>7649.19</v>
      </c>
      <c r="E1205" s="3">
        <v>7682.97</v>
      </c>
      <c r="F1205" s="1">
        <v>4312200</v>
      </c>
    </row>
    <row r="1206" spans="1:6">
      <c r="A1206" s="2">
        <v>40140</v>
      </c>
      <c r="B1206" s="1">
        <v>7694.9</v>
      </c>
      <c r="C1206" s="1">
        <v>7714.7</v>
      </c>
      <c r="D1206" s="1">
        <v>7671.54</v>
      </c>
      <c r="E1206" s="3">
        <v>7687.15</v>
      </c>
      <c r="F1206" s="1">
        <v>3229800</v>
      </c>
    </row>
    <row r="1207" spans="1:6">
      <c r="A1207" s="2">
        <v>40141</v>
      </c>
      <c r="B1207" s="1">
        <v>7723.13</v>
      </c>
      <c r="C1207" s="1">
        <v>7735.91</v>
      </c>
      <c r="D1207" s="1">
        <v>7696.1</v>
      </c>
      <c r="E1207" s="3">
        <v>7714.56</v>
      </c>
      <c r="F1207" s="1">
        <v>3854600</v>
      </c>
    </row>
    <row r="1208" spans="1:6">
      <c r="A1208" s="2">
        <v>40142</v>
      </c>
      <c r="B1208" s="1">
        <v>7718.78</v>
      </c>
      <c r="C1208" s="1">
        <v>7784.28</v>
      </c>
      <c r="D1208" s="1">
        <v>7716.36</v>
      </c>
      <c r="E1208" s="3">
        <v>7756.31</v>
      </c>
      <c r="F1208" s="1">
        <v>4332400</v>
      </c>
    </row>
    <row r="1209" spans="1:6">
      <c r="A1209" s="2">
        <v>40143</v>
      </c>
      <c r="B1209" s="1">
        <v>7795.26</v>
      </c>
      <c r="C1209" s="1">
        <v>7818</v>
      </c>
      <c r="D1209" s="1">
        <v>7733.75</v>
      </c>
      <c r="E1209" s="3">
        <v>7739.16</v>
      </c>
      <c r="F1209" s="1">
        <v>4478000</v>
      </c>
    </row>
    <row r="1210" spans="1:6">
      <c r="A1210" s="2">
        <v>40144</v>
      </c>
      <c r="B1210" s="1">
        <v>7614.41</v>
      </c>
      <c r="C1210" s="1">
        <v>7633.5</v>
      </c>
      <c r="D1210" s="1">
        <v>7490.91</v>
      </c>
      <c r="E1210" s="3">
        <v>7490.91</v>
      </c>
      <c r="F1210" s="1">
        <v>5113000</v>
      </c>
    </row>
    <row r="1211" spans="1:6">
      <c r="A1211" s="2">
        <v>40147</v>
      </c>
      <c r="B1211" s="1">
        <v>7582.69</v>
      </c>
      <c r="C1211" s="1">
        <v>7604.55</v>
      </c>
      <c r="D1211" s="1">
        <v>7569.24</v>
      </c>
      <c r="E1211" s="3">
        <v>7582.21</v>
      </c>
      <c r="F1211" s="1">
        <v>3368600</v>
      </c>
    </row>
    <row r="1212" spans="1:6">
      <c r="A1212" s="2">
        <v>40148</v>
      </c>
      <c r="B1212" s="1">
        <v>7615.95</v>
      </c>
      <c r="C1212" s="1">
        <v>7659.82</v>
      </c>
      <c r="D1212" s="1">
        <v>7549.01</v>
      </c>
      <c r="E1212" s="3">
        <v>7649.23</v>
      </c>
      <c r="F1212" s="1">
        <v>4044400</v>
      </c>
    </row>
    <row r="1213" spans="1:6">
      <c r="A1213" s="2">
        <v>40149</v>
      </c>
      <c r="B1213" s="1">
        <v>7715.64</v>
      </c>
      <c r="C1213" s="1">
        <v>7741.85</v>
      </c>
      <c r="D1213" s="1">
        <v>7671.99</v>
      </c>
      <c r="E1213" s="3">
        <v>7677.62</v>
      </c>
      <c r="F1213" s="1">
        <v>4569600</v>
      </c>
    </row>
    <row r="1214" spans="1:6">
      <c r="A1214" s="2">
        <v>40150</v>
      </c>
      <c r="B1214" s="1">
        <v>7733.51</v>
      </c>
      <c r="C1214" s="1">
        <v>7738.03</v>
      </c>
      <c r="D1214" s="1">
        <v>7658.51</v>
      </c>
      <c r="E1214" s="3">
        <v>7684.67</v>
      </c>
      <c r="F1214" s="1">
        <v>3625600</v>
      </c>
    </row>
    <row r="1215" spans="1:6">
      <c r="A1215" s="2">
        <v>40151</v>
      </c>
      <c r="B1215" s="1">
        <v>7685.14</v>
      </c>
      <c r="C1215" s="1">
        <v>7707.11</v>
      </c>
      <c r="D1215" s="1">
        <v>7650.77</v>
      </c>
      <c r="E1215" s="3">
        <v>7650.91</v>
      </c>
      <c r="F1215" s="1">
        <v>3648400</v>
      </c>
    </row>
    <row r="1216" spans="1:6">
      <c r="A1216" s="2">
        <v>40154</v>
      </c>
      <c r="B1216" s="1">
        <v>7704.69</v>
      </c>
      <c r="C1216" s="1">
        <v>7783.2</v>
      </c>
      <c r="D1216" s="1">
        <v>7704.69</v>
      </c>
      <c r="E1216" s="3">
        <v>7775.64</v>
      </c>
      <c r="F1216" s="1">
        <v>4278400</v>
      </c>
    </row>
    <row r="1217" spans="1:6">
      <c r="A1217" s="2">
        <v>40155</v>
      </c>
      <c r="B1217" s="1">
        <v>7802.27</v>
      </c>
      <c r="C1217" s="1">
        <v>7802.27</v>
      </c>
      <c r="D1217" s="1">
        <v>7731.01</v>
      </c>
      <c r="E1217" s="3">
        <v>7768.71</v>
      </c>
      <c r="F1217" s="1">
        <v>4230200</v>
      </c>
    </row>
    <row r="1218" spans="1:6">
      <c r="A1218" s="2">
        <v>40156</v>
      </c>
      <c r="B1218" s="1">
        <v>7747.6</v>
      </c>
      <c r="C1218" s="1">
        <v>7797.42</v>
      </c>
      <c r="D1218" s="1">
        <v>7742.92</v>
      </c>
      <c r="E1218" s="3">
        <v>7797.42</v>
      </c>
      <c r="F1218" s="1">
        <v>4522800</v>
      </c>
    </row>
    <row r="1219" spans="1:6">
      <c r="A1219" s="2">
        <v>40157</v>
      </c>
      <c r="B1219" s="1">
        <v>7822.66</v>
      </c>
      <c r="C1219" s="1">
        <v>7829.41</v>
      </c>
      <c r="D1219" s="1">
        <v>7631.06</v>
      </c>
      <c r="E1219" s="3">
        <v>7677.91</v>
      </c>
      <c r="F1219" s="1">
        <v>5702200</v>
      </c>
    </row>
    <row r="1220" spans="1:6">
      <c r="A1220" s="2">
        <v>40158</v>
      </c>
      <c r="B1220" s="1">
        <v>7709.96</v>
      </c>
      <c r="C1220" s="1">
        <v>7795.07</v>
      </c>
      <c r="D1220" s="1">
        <v>7700.76</v>
      </c>
      <c r="E1220" s="3">
        <v>7795.07</v>
      </c>
      <c r="F1220" s="1">
        <v>4659000</v>
      </c>
    </row>
    <row r="1221" spans="1:6">
      <c r="A1221" s="2">
        <v>40161</v>
      </c>
      <c r="B1221" s="1">
        <v>7793.14</v>
      </c>
      <c r="C1221" s="1">
        <v>7841.51</v>
      </c>
      <c r="D1221" s="1">
        <v>7770.2</v>
      </c>
      <c r="E1221" s="3">
        <v>7819.13</v>
      </c>
      <c r="F1221" s="1">
        <v>4857800</v>
      </c>
    </row>
    <row r="1222" spans="1:6">
      <c r="A1222" s="2">
        <v>40162</v>
      </c>
      <c r="B1222" s="1">
        <v>7838.53</v>
      </c>
      <c r="C1222" s="1">
        <v>7846.78</v>
      </c>
      <c r="D1222" s="1">
        <v>7792.56</v>
      </c>
      <c r="E1222" s="3">
        <v>7807.62</v>
      </c>
      <c r="F1222" s="1">
        <v>4637400</v>
      </c>
    </row>
    <row r="1223" spans="1:6">
      <c r="A1223" s="2">
        <v>40163</v>
      </c>
      <c r="B1223" s="1">
        <v>7801.3</v>
      </c>
      <c r="C1223" s="1">
        <v>7801.3</v>
      </c>
      <c r="D1223" s="1">
        <v>7724.58</v>
      </c>
      <c r="E1223" s="3">
        <v>7751.6</v>
      </c>
      <c r="F1223" s="1">
        <v>3958400</v>
      </c>
    </row>
    <row r="1224" spans="1:6">
      <c r="A1224" s="2">
        <v>40164</v>
      </c>
      <c r="B1224" s="1">
        <v>7804.7</v>
      </c>
      <c r="C1224" s="1">
        <v>7836.43</v>
      </c>
      <c r="D1224" s="1">
        <v>7728.88</v>
      </c>
      <c r="E1224" s="3">
        <v>7742.17</v>
      </c>
      <c r="F1224" s="1">
        <v>4446200</v>
      </c>
    </row>
    <row r="1225" spans="1:6">
      <c r="A1225" s="2">
        <v>40165</v>
      </c>
      <c r="B1225" s="1">
        <v>7690.44</v>
      </c>
      <c r="C1225" s="1">
        <v>7753.63</v>
      </c>
      <c r="D1225" s="1">
        <v>7688</v>
      </c>
      <c r="E1225" s="3">
        <v>7753.63</v>
      </c>
      <c r="F1225" s="1">
        <v>3473600</v>
      </c>
    </row>
    <row r="1226" spans="1:6">
      <c r="A1226" s="2">
        <v>40168</v>
      </c>
      <c r="B1226" s="1">
        <v>7797.65</v>
      </c>
      <c r="C1226" s="1">
        <v>7827.14</v>
      </c>
      <c r="D1226" s="1">
        <v>7787.27</v>
      </c>
      <c r="E1226" s="3">
        <v>7787.27</v>
      </c>
      <c r="F1226" s="1">
        <v>3749600</v>
      </c>
    </row>
    <row r="1227" spans="1:6">
      <c r="A1227" s="2">
        <v>40169</v>
      </c>
      <c r="B1227" s="1">
        <v>7850.05</v>
      </c>
      <c r="C1227" s="1">
        <v>7871.59</v>
      </c>
      <c r="D1227" s="1">
        <v>7823.34</v>
      </c>
      <c r="E1227" s="3">
        <v>7856</v>
      </c>
      <c r="F1227" s="1">
        <v>3844600</v>
      </c>
    </row>
    <row r="1228" spans="1:6">
      <c r="A1228" s="2">
        <v>40170</v>
      </c>
      <c r="B1228" s="1">
        <v>7892.75</v>
      </c>
      <c r="C1228" s="1">
        <v>7910.88</v>
      </c>
      <c r="D1228" s="1">
        <v>7873.22</v>
      </c>
      <c r="E1228" s="3">
        <v>7901.5</v>
      </c>
      <c r="F1228" s="1">
        <v>4158200</v>
      </c>
    </row>
    <row r="1229" spans="1:6">
      <c r="A1229" s="2">
        <v>40171</v>
      </c>
      <c r="B1229" s="1">
        <v>7935.34</v>
      </c>
      <c r="C1229" s="1">
        <v>7988.15</v>
      </c>
      <c r="D1229" s="1">
        <v>7928.09</v>
      </c>
      <c r="E1229" s="3">
        <v>7963.54</v>
      </c>
      <c r="F1229" s="1">
        <v>4802600</v>
      </c>
    </row>
    <row r="1230" spans="1:6">
      <c r="A1230" s="2">
        <v>40172</v>
      </c>
      <c r="B1230" s="1">
        <v>8007.5</v>
      </c>
      <c r="C1230" s="1">
        <v>8009</v>
      </c>
      <c r="D1230" s="1">
        <v>7965.37</v>
      </c>
      <c r="E1230" s="3">
        <v>7972.59</v>
      </c>
      <c r="F1230" s="1">
        <v>4429400</v>
      </c>
    </row>
    <row r="1231" spans="1:6">
      <c r="A1231" s="2">
        <v>40175</v>
      </c>
      <c r="B1231" s="1">
        <v>8007.54</v>
      </c>
      <c r="C1231" s="1">
        <v>8079.62</v>
      </c>
      <c r="D1231" s="1">
        <v>8007.54</v>
      </c>
      <c r="E1231" s="3">
        <v>8057.49</v>
      </c>
      <c r="F1231" s="1">
        <v>5306400</v>
      </c>
    </row>
    <row r="1232" spans="1:6">
      <c r="A1232" s="2">
        <v>40176</v>
      </c>
      <c r="B1232" s="1">
        <v>8088.01</v>
      </c>
      <c r="C1232" s="1">
        <v>8088.01</v>
      </c>
      <c r="D1232" s="1">
        <v>8031.49</v>
      </c>
      <c r="E1232" s="3">
        <v>8053.83</v>
      </c>
      <c r="F1232" s="1">
        <v>4764000</v>
      </c>
    </row>
    <row r="1233" spans="1:6">
      <c r="A1233" s="2">
        <v>40177</v>
      </c>
      <c r="B1233" s="1">
        <v>8078.91</v>
      </c>
      <c r="C1233" s="1">
        <v>8118.63</v>
      </c>
      <c r="D1233" s="1">
        <v>8060.33</v>
      </c>
      <c r="E1233" s="3">
        <v>8112.28</v>
      </c>
      <c r="F1233" s="1">
        <v>5184200</v>
      </c>
    </row>
    <row r="1234" spans="1:6">
      <c r="A1234" s="2">
        <v>40178</v>
      </c>
      <c r="B1234" s="1">
        <v>8155.17</v>
      </c>
      <c r="C1234" s="1">
        <v>8188.8</v>
      </c>
      <c r="D1234" s="1">
        <v>8138.58</v>
      </c>
      <c r="E1234" s="3">
        <v>8188.11</v>
      </c>
      <c r="F1234" s="1">
        <v>5857800</v>
      </c>
    </row>
    <row r="1235" spans="1:6">
      <c r="A1235" s="2">
        <v>40182</v>
      </c>
      <c r="B1235" s="1">
        <v>8222.42</v>
      </c>
      <c r="C1235" s="1">
        <v>8240.4500000000007</v>
      </c>
      <c r="D1235" s="1">
        <v>8143.45</v>
      </c>
      <c r="E1235" s="3">
        <v>8207.85</v>
      </c>
      <c r="F1235" s="1">
        <v>6429400</v>
      </c>
    </row>
    <row r="1236" spans="1:6">
      <c r="A1236" s="2">
        <v>40183</v>
      </c>
      <c r="B1236" s="1">
        <v>8277.7099999999991</v>
      </c>
      <c r="C1236" s="1">
        <v>8283.64</v>
      </c>
      <c r="D1236" s="1">
        <v>8162.54</v>
      </c>
      <c r="E1236" s="3">
        <v>8211.4</v>
      </c>
      <c r="F1236" s="1">
        <v>6762000</v>
      </c>
    </row>
    <row r="1237" spans="1:6">
      <c r="A1237" s="2">
        <v>40184</v>
      </c>
      <c r="B1237" s="1">
        <v>8237.1</v>
      </c>
      <c r="C1237" s="1">
        <v>8327.8700000000008</v>
      </c>
      <c r="D1237" s="1">
        <v>8216.92</v>
      </c>
      <c r="E1237" s="3">
        <v>8327.6200000000008</v>
      </c>
      <c r="F1237" s="1">
        <v>6421600</v>
      </c>
    </row>
    <row r="1238" spans="1:6">
      <c r="A1238" s="2">
        <v>40185</v>
      </c>
      <c r="B1238" s="1">
        <v>8344.56</v>
      </c>
      <c r="C1238" s="1">
        <v>8369.5499999999993</v>
      </c>
      <c r="D1238" s="1">
        <v>8233.59</v>
      </c>
      <c r="E1238" s="3">
        <v>8237.42</v>
      </c>
      <c r="F1238" s="1">
        <v>7133000</v>
      </c>
    </row>
    <row r="1239" spans="1:6">
      <c r="A1239" s="2">
        <v>40186</v>
      </c>
      <c r="B1239" s="1">
        <v>8266.8700000000008</v>
      </c>
      <c r="C1239" s="1">
        <v>8290.66</v>
      </c>
      <c r="D1239" s="1">
        <v>8178.93</v>
      </c>
      <c r="E1239" s="3">
        <v>8280.9</v>
      </c>
      <c r="F1239" s="1">
        <v>5764400</v>
      </c>
    </row>
    <row r="1240" spans="1:6">
      <c r="A1240" s="2">
        <v>40189</v>
      </c>
      <c r="B1240" s="1">
        <v>8291.52</v>
      </c>
      <c r="C1240" s="1">
        <v>8357.9</v>
      </c>
      <c r="D1240" s="1">
        <v>8281.7199999999993</v>
      </c>
      <c r="E1240" s="3">
        <v>8323.82</v>
      </c>
      <c r="F1240" s="1">
        <v>5857000</v>
      </c>
    </row>
    <row r="1241" spans="1:6">
      <c r="A1241" s="2">
        <v>40190</v>
      </c>
      <c r="B1241" s="1">
        <v>8343.73</v>
      </c>
      <c r="C1241" s="1">
        <v>8356.9699999999993</v>
      </c>
      <c r="D1241" s="1">
        <v>8262.58</v>
      </c>
      <c r="E1241" s="3">
        <v>8309.3700000000008</v>
      </c>
      <c r="F1241" s="1">
        <v>5246000</v>
      </c>
    </row>
    <row r="1242" spans="1:6">
      <c r="A1242" s="2">
        <v>40191</v>
      </c>
      <c r="B1242" s="1">
        <v>8229.25</v>
      </c>
      <c r="C1242" s="1">
        <v>8257.83</v>
      </c>
      <c r="D1242" s="1">
        <v>8194.81</v>
      </c>
      <c r="E1242" s="3">
        <v>8196.56</v>
      </c>
      <c r="F1242" s="1">
        <v>4925600</v>
      </c>
    </row>
    <row r="1243" spans="1:6">
      <c r="A1243" s="2">
        <v>40192</v>
      </c>
      <c r="B1243" s="1">
        <v>8245.86</v>
      </c>
      <c r="C1243" s="1">
        <v>8313.94</v>
      </c>
      <c r="D1243" s="1">
        <v>8237.67</v>
      </c>
      <c r="E1243" s="3">
        <v>8289.98</v>
      </c>
      <c r="F1243" s="1">
        <v>4837200</v>
      </c>
    </row>
    <row r="1244" spans="1:6">
      <c r="A1244" s="2">
        <v>40193</v>
      </c>
      <c r="B1244" s="1">
        <v>8340.6</v>
      </c>
      <c r="C1244" s="1">
        <v>8380.23</v>
      </c>
      <c r="D1244" s="1">
        <v>8325.82</v>
      </c>
      <c r="E1244" s="3">
        <v>8356.89</v>
      </c>
      <c r="F1244" s="1">
        <v>5643400</v>
      </c>
    </row>
    <row r="1245" spans="1:6">
      <c r="A1245" s="2">
        <v>40196</v>
      </c>
      <c r="B1245" s="1">
        <v>8290.3799999999992</v>
      </c>
      <c r="C1245" s="1">
        <v>8367.65</v>
      </c>
      <c r="D1245" s="1">
        <v>8290.3799999999992</v>
      </c>
      <c r="E1245" s="3">
        <v>8337.82</v>
      </c>
      <c r="F1245" s="1">
        <v>5100400</v>
      </c>
    </row>
    <row r="1246" spans="1:6">
      <c r="A1246" s="2">
        <v>40197</v>
      </c>
      <c r="B1246" s="1">
        <v>8387.66</v>
      </c>
      <c r="C1246" s="1">
        <v>8395.39</v>
      </c>
      <c r="D1246" s="1">
        <v>8227.2999999999993</v>
      </c>
      <c r="E1246" s="3">
        <v>8249</v>
      </c>
      <c r="F1246" s="1">
        <v>5582400</v>
      </c>
    </row>
    <row r="1247" spans="1:6">
      <c r="A1247" s="2">
        <v>40198</v>
      </c>
      <c r="B1247" s="1">
        <v>8309.19</v>
      </c>
      <c r="C1247" s="1">
        <v>8309.19</v>
      </c>
      <c r="D1247" s="1">
        <v>8191.44</v>
      </c>
      <c r="E1247" s="3">
        <v>8220.93</v>
      </c>
      <c r="F1247" s="1">
        <v>5009800</v>
      </c>
    </row>
    <row r="1248" spans="1:6">
      <c r="A1248" s="2">
        <v>40199</v>
      </c>
      <c r="B1248" s="1">
        <v>8189.5</v>
      </c>
      <c r="C1248" s="1">
        <v>8208.2099999999991</v>
      </c>
      <c r="D1248" s="1">
        <v>8107.55</v>
      </c>
      <c r="E1248" s="3">
        <v>8127.87</v>
      </c>
      <c r="F1248" s="1">
        <v>4596800</v>
      </c>
    </row>
    <row r="1249" spans="1:6">
      <c r="A1249" s="2">
        <v>40200</v>
      </c>
      <c r="B1249" s="1">
        <v>7986.43</v>
      </c>
      <c r="C1249" s="1">
        <v>8015.95</v>
      </c>
      <c r="D1249" s="1">
        <v>7912.85</v>
      </c>
      <c r="E1249" s="3">
        <v>7927.31</v>
      </c>
      <c r="F1249" s="1">
        <v>4907200</v>
      </c>
    </row>
    <row r="1250" spans="1:6">
      <c r="A1250" s="2">
        <v>40203</v>
      </c>
      <c r="B1250" s="1">
        <v>7845.3</v>
      </c>
      <c r="C1250" s="1">
        <v>7938.14</v>
      </c>
      <c r="D1250" s="1">
        <v>7828.34</v>
      </c>
      <c r="E1250" s="3">
        <v>7872.99</v>
      </c>
      <c r="F1250" s="1">
        <v>3663800</v>
      </c>
    </row>
    <row r="1251" spans="1:6">
      <c r="A1251" s="2">
        <v>40204</v>
      </c>
      <c r="B1251" s="1">
        <v>7903.03</v>
      </c>
      <c r="C1251" s="1">
        <v>7922.07</v>
      </c>
      <c r="D1251" s="1">
        <v>7572.58</v>
      </c>
      <c r="E1251" s="3">
        <v>7598.81</v>
      </c>
      <c r="F1251" s="1">
        <v>5680000</v>
      </c>
    </row>
    <row r="1252" spans="1:6">
      <c r="A1252" s="2">
        <v>40205</v>
      </c>
      <c r="B1252" s="1">
        <v>7639.72</v>
      </c>
      <c r="C1252" s="1">
        <v>7656.95</v>
      </c>
      <c r="D1252" s="1">
        <v>7530.41</v>
      </c>
      <c r="E1252" s="3">
        <v>7560.03</v>
      </c>
      <c r="F1252" s="1">
        <v>3986200</v>
      </c>
    </row>
    <row r="1253" spans="1:6">
      <c r="A1253" s="2">
        <v>40206</v>
      </c>
      <c r="B1253" s="1">
        <v>7630.16</v>
      </c>
      <c r="C1253" s="1">
        <v>7756.77</v>
      </c>
      <c r="D1253" s="1">
        <v>7607.56</v>
      </c>
      <c r="E1253" s="3">
        <v>7694.58</v>
      </c>
      <c r="F1253" s="1">
        <v>3931200</v>
      </c>
    </row>
    <row r="1254" spans="1:6">
      <c r="A1254" s="2">
        <v>40207</v>
      </c>
      <c r="B1254" s="1">
        <v>7593.38</v>
      </c>
      <c r="C1254" s="1">
        <v>7649.73</v>
      </c>
      <c r="D1254" s="1">
        <v>7481.9</v>
      </c>
      <c r="E1254" s="3">
        <v>7640.44</v>
      </c>
      <c r="F1254" s="1">
        <v>3949400</v>
      </c>
    </row>
    <row r="1255" spans="1:6">
      <c r="A1255" s="2">
        <v>40210</v>
      </c>
      <c r="B1255" s="1">
        <v>7653.89</v>
      </c>
      <c r="C1255" s="1">
        <v>7661.7</v>
      </c>
      <c r="D1255" s="1">
        <v>7493.81</v>
      </c>
      <c r="E1255" s="3">
        <v>7524.67</v>
      </c>
      <c r="F1255" s="1">
        <v>3222400</v>
      </c>
    </row>
    <row r="1256" spans="1:6">
      <c r="A1256" s="2">
        <v>40211</v>
      </c>
      <c r="B1256" s="1">
        <v>7633.74</v>
      </c>
      <c r="C1256" s="1">
        <v>7635.73</v>
      </c>
      <c r="D1256" s="1">
        <v>7398.8</v>
      </c>
      <c r="E1256" s="3">
        <v>7429.61</v>
      </c>
      <c r="F1256" s="1">
        <v>3759800</v>
      </c>
    </row>
    <row r="1257" spans="1:6">
      <c r="A1257" s="2">
        <v>40212</v>
      </c>
      <c r="B1257" s="1">
        <v>7523.79</v>
      </c>
      <c r="C1257" s="1">
        <v>7550.82</v>
      </c>
      <c r="D1257" s="1">
        <v>7441.92</v>
      </c>
      <c r="E1257" s="3">
        <v>7547.98</v>
      </c>
      <c r="F1257" s="1">
        <v>3152400</v>
      </c>
    </row>
    <row r="1258" spans="1:6">
      <c r="A1258" s="2">
        <v>40213</v>
      </c>
      <c r="B1258" s="1">
        <v>7563.19</v>
      </c>
      <c r="C1258" s="1">
        <v>7578.18</v>
      </c>
      <c r="D1258" s="1">
        <v>7504.96</v>
      </c>
      <c r="E1258" s="3">
        <v>7542.04</v>
      </c>
      <c r="F1258" s="1">
        <v>2813800</v>
      </c>
    </row>
    <row r="1259" spans="1:6">
      <c r="A1259" s="2">
        <v>40214</v>
      </c>
      <c r="B1259" s="1">
        <v>7323.16</v>
      </c>
      <c r="C1259" s="1">
        <v>7352.98</v>
      </c>
      <c r="D1259" s="1">
        <v>7196.39</v>
      </c>
      <c r="E1259" s="3">
        <v>7217.83</v>
      </c>
      <c r="F1259" s="1">
        <v>4614600</v>
      </c>
    </row>
    <row r="1260" spans="1:6">
      <c r="A1260" s="2">
        <v>40217</v>
      </c>
      <c r="B1260" s="1">
        <v>7236.63</v>
      </c>
      <c r="C1260" s="1">
        <v>7253.24</v>
      </c>
      <c r="D1260" s="1">
        <v>7173.18</v>
      </c>
      <c r="E1260" s="3">
        <v>7215.88</v>
      </c>
      <c r="F1260" s="1">
        <v>3033600</v>
      </c>
    </row>
    <row r="1261" spans="1:6">
      <c r="A1261" s="2">
        <v>40218</v>
      </c>
      <c r="B1261" s="1">
        <v>7225.71</v>
      </c>
      <c r="C1261" s="1">
        <v>7381.82</v>
      </c>
      <c r="D1261" s="1">
        <v>7197.13</v>
      </c>
      <c r="E1261" s="3">
        <v>7361.04</v>
      </c>
      <c r="F1261" s="1">
        <v>3730000</v>
      </c>
    </row>
    <row r="1262" spans="1:6">
      <c r="A1262" s="2">
        <v>40219</v>
      </c>
      <c r="B1262" s="1">
        <v>7438.12</v>
      </c>
      <c r="C1262" s="1">
        <v>7496.34</v>
      </c>
      <c r="D1262" s="1">
        <v>7404.97</v>
      </c>
      <c r="E1262" s="3">
        <v>7441.84</v>
      </c>
      <c r="F1262" s="1">
        <v>3984400</v>
      </c>
    </row>
    <row r="1263" spans="1:6">
      <c r="A1263" s="2">
        <v>40231</v>
      </c>
      <c r="B1263" s="1">
        <v>7619.87</v>
      </c>
      <c r="C1263" s="1">
        <v>7619.87</v>
      </c>
      <c r="D1263" s="1">
        <v>7553.29</v>
      </c>
      <c r="E1263" s="3">
        <v>7560.04</v>
      </c>
      <c r="F1263" s="1">
        <v>3187400</v>
      </c>
    </row>
    <row r="1264" spans="1:6">
      <c r="A1264" s="2">
        <v>40232</v>
      </c>
      <c r="B1264" s="1">
        <v>7575.62</v>
      </c>
      <c r="C1264" s="1">
        <v>7597.44</v>
      </c>
      <c r="D1264" s="1">
        <v>7502.45</v>
      </c>
      <c r="E1264" s="3">
        <v>7597.44</v>
      </c>
      <c r="F1264" s="1">
        <v>2992800</v>
      </c>
    </row>
    <row r="1265" spans="1:6">
      <c r="A1265" s="2">
        <v>40233</v>
      </c>
      <c r="B1265" s="1">
        <v>7516.47</v>
      </c>
      <c r="C1265" s="1">
        <v>7585.19</v>
      </c>
      <c r="D1265" s="1">
        <v>7515.38</v>
      </c>
      <c r="E1265" s="3">
        <v>7529.67</v>
      </c>
      <c r="F1265" s="1">
        <v>2858200</v>
      </c>
    </row>
    <row r="1266" spans="1:6">
      <c r="A1266" s="2">
        <v>40234</v>
      </c>
      <c r="B1266" s="1">
        <v>7568.42</v>
      </c>
      <c r="C1266" s="1">
        <v>7568.42</v>
      </c>
      <c r="D1266" s="1">
        <v>7400.42</v>
      </c>
      <c r="E1266" s="3">
        <v>7426.96</v>
      </c>
      <c r="F1266" s="1">
        <v>3420800</v>
      </c>
    </row>
    <row r="1267" spans="1:6">
      <c r="A1267" s="2">
        <v>40235</v>
      </c>
      <c r="B1267" s="1">
        <v>7451.17</v>
      </c>
      <c r="C1267" s="1">
        <v>7479.28</v>
      </c>
      <c r="D1267" s="1">
        <v>7383.68</v>
      </c>
      <c r="E1267" s="3">
        <v>7436.1</v>
      </c>
      <c r="F1267" s="1">
        <v>2737400</v>
      </c>
    </row>
    <row r="1268" spans="1:6">
      <c r="A1268" s="2">
        <v>40238</v>
      </c>
      <c r="B1268" s="1">
        <v>7492.84</v>
      </c>
      <c r="C1268" s="1">
        <v>7620.56</v>
      </c>
      <c r="D1268" s="1">
        <v>7451.09</v>
      </c>
      <c r="E1268" s="3">
        <v>7577.75</v>
      </c>
      <c r="F1268" s="1">
        <v>3501600</v>
      </c>
    </row>
    <row r="1269" spans="1:6">
      <c r="A1269" s="2">
        <v>40239</v>
      </c>
      <c r="B1269" s="1">
        <v>7649.62</v>
      </c>
      <c r="C1269" s="1">
        <v>7664.49</v>
      </c>
      <c r="D1269" s="1">
        <v>7592.66</v>
      </c>
      <c r="E1269" s="3">
        <v>7597.62</v>
      </c>
      <c r="F1269" s="1">
        <v>3158200</v>
      </c>
    </row>
    <row r="1270" spans="1:6">
      <c r="A1270" s="2">
        <v>40240</v>
      </c>
      <c r="B1270" s="1">
        <v>7628.78</v>
      </c>
      <c r="C1270" s="1">
        <v>7670.25</v>
      </c>
      <c r="D1270" s="1">
        <v>7604.86</v>
      </c>
      <c r="E1270" s="3">
        <v>7629.52</v>
      </c>
      <c r="F1270" s="1">
        <v>3005000</v>
      </c>
    </row>
    <row r="1271" spans="1:6">
      <c r="A1271" s="2">
        <v>40241</v>
      </c>
      <c r="B1271" s="1">
        <v>7664</v>
      </c>
      <c r="C1271" s="1">
        <v>7664</v>
      </c>
      <c r="D1271" s="1">
        <v>7524.19</v>
      </c>
      <c r="E1271" s="3">
        <v>7569.8</v>
      </c>
      <c r="F1271" s="1">
        <v>3480400</v>
      </c>
    </row>
    <row r="1272" spans="1:6">
      <c r="A1272" s="2">
        <v>40242</v>
      </c>
      <c r="B1272" s="1">
        <v>7659.76</v>
      </c>
      <c r="C1272" s="1">
        <v>7694.89</v>
      </c>
      <c r="D1272" s="1">
        <v>7618</v>
      </c>
      <c r="E1272" s="3">
        <v>7666.26</v>
      </c>
      <c r="F1272" s="1">
        <v>3218800</v>
      </c>
    </row>
    <row r="1273" spans="1:6">
      <c r="A1273" s="2">
        <v>40245</v>
      </c>
      <c r="B1273" s="1">
        <v>7741.8</v>
      </c>
      <c r="C1273" s="1">
        <v>7763.76</v>
      </c>
      <c r="D1273" s="1">
        <v>7716.28</v>
      </c>
      <c r="E1273" s="3">
        <v>7762.27</v>
      </c>
      <c r="F1273" s="1">
        <v>3455000</v>
      </c>
    </row>
    <row r="1274" spans="1:6">
      <c r="A1274" s="2">
        <v>40246</v>
      </c>
      <c r="B1274" s="1">
        <v>7762.4</v>
      </c>
      <c r="C1274" s="1">
        <v>7770.59</v>
      </c>
      <c r="D1274" s="1">
        <v>7737.65</v>
      </c>
      <c r="E1274" s="3">
        <v>7770.59</v>
      </c>
      <c r="F1274" s="1">
        <v>2978600</v>
      </c>
    </row>
    <row r="1275" spans="1:6">
      <c r="A1275" s="2">
        <v>40247</v>
      </c>
      <c r="B1275" s="1">
        <v>7797.7</v>
      </c>
      <c r="C1275" s="1">
        <v>7803.27</v>
      </c>
      <c r="D1275" s="1">
        <v>7736.7</v>
      </c>
      <c r="E1275" s="3">
        <v>7779.08</v>
      </c>
      <c r="F1275" s="1">
        <v>2974000</v>
      </c>
    </row>
    <row r="1276" spans="1:6">
      <c r="A1276" s="2">
        <v>40248</v>
      </c>
      <c r="B1276" s="1">
        <v>7817.59</v>
      </c>
      <c r="C1276" s="1">
        <v>7818.84</v>
      </c>
      <c r="D1276" s="1">
        <v>7749.4</v>
      </c>
      <c r="E1276" s="3">
        <v>7749.66</v>
      </c>
      <c r="F1276" s="1">
        <v>3106000</v>
      </c>
    </row>
    <row r="1277" spans="1:6">
      <c r="A1277" s="2">
        <v>40249</v>
      </c>
      <c r="B1277" s="1">
        <v>7773.52</v>
      </c>
      <c r="C1277" s="1">
        <v>7773.52</v>
      </c>
      <c r="D1277" s="1">
        <v>7726.09</v>
      </c>
      <c r="E1277" s="3">
        <v>7748.33</v>
      </c>
      <c r="F1277" s="1">
        <v>2575400</v>
      </c>
    </row>
    <row r="1278" spans="1:6">
      <c r="A1278" s="2">
        <v>40252</v>
      </c>
      <c r="B1278" s="1">
        <v>7750.87</v>
      </c>
      <c r="C1278" s="1">
        <v>7766.36</v>
      </c>
      <c r="D1278" s="1">
        <v>7634.92</v>
      </c>
      <c r="E1278" s="3">
        <v>7634.92</v>
      </c>
      <c r="F1278" s="1">
        <v>2705800</v>
      </c>
    </row>
    <row r="1279" spans="1:6">
      <c r="A1279" s="2">
        <v>40253</v>
      </c>
      <c r="B1279" s="1">
        <v>7671.41</v>
      </c>
      <c r="C1279" s="1">
        <v>7695.81</v>
      </c>
      <c r="D1279" s="1">
        <v>7645.17</v>
      </c>
      <c r="E1279" s="3">
        <v>7695.63</v>
      </c>
      <c r="F1279" s="1">
        <v>2343400</v>
      </c>
    </row>
    <row r="1280" spans="1:6">
      <c r="A1280" s="2">
        <v>40254</v>
      </c>
      <c r="B1280" s="1">
        <v>7763.43</v>
      </c>
      <c r="C1280" s="1">
        <v>7849.38</v>
      </c>
      <c r="D1280" s="1">
        <v>7762.85</v>
      </c>
      <c r="E1280" s="3">
        <v>7847.84</v>
      </c>
      <c r="F1280" s="1">
        <v>3959000</v>
      </c>
    </row>
    <row r="1281" spans="1:6">
      <c r="A1281" s="2">
        <v>40255</v>
      </c>
      <c r="B1281" s="1">
        <v>7861.27</v>
      </c>
      <c r="C1281" s="1">
        <v>7922.48</v>
      </c>
      <c r="D1281" s="1">
        <v>7847.55</v>
      </c>
      <c r="E1281" s="3">
        <v>7886.34</v>
      </c>
      <c r="F1281" s="1">
        <v>4674600</v>
      </c>
    </row>
    <row r="1282" spans="1:6">
      <c r="A1282" s="2">
        <v>40256</v>
      </c>
      <c r="B1282" s="1">
        <v>7899.01</v>
      </c>
      <c r="C1282" s="1">
        <v>7899.01</v>
      </c>
      <c r="D1282" s="1">
        <v>7859.29</v>
      </c>
      <c r="E1282" s="3">
        <v>7897.91</v>
      </c>
      <c r="F1282" s="1">
        <v>4037000</v>
      </c>
    </row>
    <row r="1283" spans="1:6">
      <c r="A1283" s="2">
        <v>40259</v>
      </c>
      <c r="B1283" s="1">
        <v>7861.9</v>
      </c>
      <c r="C1283" s="1">
        <v>7872.78</v>
      </c>
      <c r="D1283" s="1">
        <v>7791.25</v>
      </c>
      <c r="E1283" s="3">
        <v>7835.98</v>
      </c>
      <c r="F1283" s="1">
        <v>3768800</v>
      </c>
    </row>
    <row r="1284" spans="1:6">
      <c r="A1284" s="2">
        <v>40260</v>
      </c>
      <c r="B1284" s="1">
        <v>7880.12</v>
      </c>
      <c r="C1284" s="1">
        <v>7889.04</v>
      </c>
      <c r="D1284" s="1">
        <v>7804.4</v>
      </c>
      <c r="E1284" s="3">
        <v>7811.87</v>
      </c>
      <c r="F1284" s="1">
        <v>4063400</v>
      </c>
    </row>
    <row r="1285" spans="1:6">
      <c r="A1285" s="2">
        <v>40261</v>
      </c>
      <c r="B1285" s="1">
        <v>7875.27</v>
      </c>
      <c r="C1285" s="1">
        <v>7881.37</v>
      </c>
      <c r="D1285" s="1">
        <v>7822.71</v>
      </c>
      <c r="E1285" s="3">
        <v>7822.71</v>
      </c>
      <c r="F1285" s="1">
        <v>4041400</v>
      </c>
    </row>
    <row r="1286" spans="1:6">
      <c r="A1286" s="2">
        <v>40262</v>
      </c>
      <c r="B1286" s="1">
        <v>7824.74</v>
      </c>
      <c r="C1286" s="1">
        <v>7856.31</v>
      </c>
      <c r="D1286" s="1">
        <v>7753.51</v>
      </c>
      <c r="E1286" s="3">
        <v>7838.1</v>
      </c>
      <c r="F1286" s="1">
        <v>3696800</v>
      </c>
    </row>
    <row r="1287" spans="1:6">
      <c r="A1287" s="2">
        <v>40263</v>
      </c>
      <c r="B1287" s="1">
        <v>7808.15</v>
      </c>
      <c r="C1287" s="1">
        <v>7909.41</v>
      </c>
      <c r="D1287" s="1">
        <v>7770.42</v>
      </c>
      <c r="E1287" s="3">
        <v>7876.86</v>
      </c>
      <c r="F1287" s="1">
        <v>3781000</v>
      </c>
    </row>
    <row r="1288" spans="1:6">
      <c r="A1288" s="2">
        <v>40266</v>
      </c>
      <c r="B1288" s="1">
        <v>7918.95</v>
      </c>
      <c r="C1288" s="1">
        <v>7961.14</v>
      </c>
      <c r="D1288" s="1">
        <v>7909.06</v>
      </c>
      <c r="E1288" s="3">
        <v>7947.45</v>
      </c>
      <c r="F1288" s="1">
        <v>3972800</v>
      </c>
    </row>
    <row r="1289" spans="1:6">
      <c r="A1289" s="2">
        <v>40267</v>
      </c>
      <c r="B1289" s="1">
        <v>7992.12</v>
      </c>
      <c r="C1289" s="1">
        <v>7994.62</v>
      </c>
      <c r="D1289" s="1">
        <v>7942.47</v>
      </c>
      <c r="E1289" s="3">
        <v>7962.22</v>
      </c>
      <c r="F1289" s="1">
        <v>3880200</v>
      </c>
    </row>
    <row r="1290" spans="1:6">
      <c r="A1290" s="2">
        <v>40268</v>
      </c>
      <c r="B1290" s="1">
        <v>7962.91</v>
      </c>
      <c r="C1290" s="1">
        <v>7974.89</v>
      </c>
      <c r="D1290" s="1">
        <v>7920.06</v>
      </c>
      <c r="E1290" s="3">
        <v>7920.06</v>
      </c>
      <c r="F1290" s="1">
        <v>3841600</v>
      </c>
    </row>
    <row r="1291" spans="1:6">
      <c r="A1291" s="2">
        <v>40269</v>
      </c>
      <c r="B1291" s="1">
        <v>7952.62</v>
      </c>
      <c r="C1291" s="1">
        <v>8026.06</v>
      </c>
      <c r="D1291" s="1">
        <v>7952.62</v>
      </c>
      <c r="E1291" s="3">
        <v>8013.09</v>
      </c>
      <c r="F1291" s="1">
        <v>4758600</v>
      </c>
    </row>
    <row r="1292" spans="1:6">
      <c r="A1292" s="2">
        <v>40270</v>
      </c>
      <c r="B1292" s="1">
        <v>8046.29</v>
      </c>
      <c r="C1292" s="1">
        <v>8050.99</v>
      </c>
      <c r="D1292" s="1">
        <v>8021.91</v>
      </c>
      <c r="E1292" s="3">
        <v>8025.93</v>
      </c>
      <c r="F1292" s="1">
        <v>3764600</v>
      </c>
    </row>
    <row r="1293" spans="1:6">
      <c r="A1293" s="2">
        <v>40274</v>
      </c>
      <c r="B1293" s="1">
        <v>8083.03</v>
      </c>
      <c r="C1293" s="1">
        <v>8128.08</v>
      </c>
      <c r="D1293" s="1">
        <v>8082.37</v>
      </c>
      <c r="E1293" s="3">
        <v>8089.65</v>
      </c>
      <c r="F1293" s="1">
        <v>4339600</v>
      </c>
    </row>
    <row r="1294" spans="1:6">
      <c r="A1294" s="2">
        <v>40275</v>
      </c>
      <c r="B1294" s="1">
        <v>8131.4</v>
      </c>
      <c r="C1294" s="1">
        <v>8133.45</v>
      </c>
      <c r="D1294" s="1">
        <v>8091.28</v>
      </c>
      <c r="E1294" s="3">
        <v>8121.78</v>
      </c>
      <c r="F1294" s="1">
        <v>4172600</v>
      </c>
    </row>
    <row r="1295" spans="1:6">
      <c r="A1295" s="2">
        <v>40276</v>
      </c>
      <c r="B1295" s="1">
        <v>8106</v>
      </c>
      <c r="C1295" s="1">
        <v>8149.68</v>
      </c>
      <c r="D1295" s="1">
        <v>8038.37</v>
      </c>
      <c r="E1295" s="3">
        <v>8057.6</v>
      </c>
      <c r="F1295" s="1">
        <v>5082800</v>
      </c>
    </row>
    <row r="1296" spans="1:6">
      <c r="A1296" s="2">
        <v>40277</v>
      </c>
      <c r="B1296" s="1">
        <v>8073.52</v>
      </c>
      <c r="C1296" s="1">
        <v>8094.35</v>
      </c>
      <c r="D1296" s="1">
        <v>8039.41</v>
      </c>
      <c r="E1296" s="3">
        <v>8092.03</v>
      </c>
      <c r="F1296" s="1">
        <v>3819000</v>
      </c>
    </row>
    <row r="1297" spans="1:6">
      <c r="A1297" s="2">
        <v>40280</v>
      </c>
      <c r="B1297" s="1">
        <v>8149.76</v>
      </c>
      <c r="C1297" s="1">
        <v>8152.53</v>
      </c>
      <c r="D1297" s="1">
        <v>8092.94</v>
      </c>
      <c r="E1297" s="3">
        <v>8117.75</v>
      </c>
      <c r="F1297" s="1">
        <v>4184800</v>
      </c>
    </row>
    <row r="1298" spans="1:6">
      <c r="A1298" s="2">
        <v>40281</v>
      </c>
      <c r="B1298" s="1">
        <v>8090.54</v>
      </c>
      <c r="C1298" s="1">
        <v>8104.14</v>
      </c>
      <c r="D1298" s="1">
        <v>8022.94</v>
      </c>
      <c r="E1298" s="3">
        <v>8029.73</v>
      </c>
      <c r="F1298" s="1">
        <v>4054200</v>
      </c>
    </row>
    <row r="1299" spans="1:6">
      <c r="A1299" s="2">
        <v>40282</v>
      </c>
      <c r="B1299" s="1">
        <v>8077.94</v>
      </c>
      <c r="C1299" s="1">
        <v>8102.38</v>
      </c>
      <c r="D1299" s="1">
        <v>8040.01</v>
      </c>
      <c r="E1299" s="3">
        <v>8097.13</v>
      </c>
      <c r="F1299" s="1">
        <v>3749000</v>
      </c>
    </row>
    <row r="1300" spans="1:6">
      <c r="A1300" s="2">
        <v>40283</v>
      </c>
      <c r="B1300" s="1">
        <v>8168.11</v>
      </c>
      <c r="C1300" s="1">
        <v>8190.01</v>
      </c>
      <c r="D1300" s="1">
        <v>8136.32</v>
      </c>
      <c r="E1300" s="3">
        <v>8171.94</v>
      </c>
      <c r="F1300" s="1">
        <v>5190600</v>
      </c>
    </row>
    <row r="1301" spans="1:6">
      <c r="A1301" s="2">
        <v>40284</v>
      </c>
      <c r="B1301" s="1">
        <v>8161.85</v>
      </c>
      <c r="C1301" s="1">
        <v>8162.85</v>
      </c>
      <c r="D1301" s="1">
        <v>8090.68</v>
      </c>
      <c r="E1301" s="3">
        <v>8111.57</v>
      </c>
      <c r="F1301" s="1">
        <v>4369400</v>
      </c>
    </row>
    <row r="1302" spans="1:6">
      <c r="A1302" s="2">
        <v>40287</v>
      </c>
      <c r="B1302" s="1">
        <v>8003.02</v>
      </c>
      <c r="C1302" s="1">
        <v>8042.05</v>
      </c>
      <c r="D1302" s="1">
        <v>7845.77</v>
      </c>
      <c r="E1302" s="3">
        <v>7854.22</v>
      </c>
      <c r="F1302" s="1">
        <v>5187400</v>
      </c>
    </row>
    <row r="1303" spans="1:6">
      <c r="A1303" s="2">
        <v>40288</v>
      </c>
      <c r="B1303" s="1">
        <v>7908.11</v>
      </c>
      <c r="C1303" s="1">
        <v>7923.27</v>
      </c>
      <c r="D1303" s="1">
        <v>7842.07</v>
      </c>
      <c r="E1303" s="3">
        <v>7900.42</v>
      </c>
      <c r="F1303" s="1">
        <v>3753600</v>
      </c>
    </row>
    <row r="1304" spans="1:6">
      <c r="A1304" s="2">
        <v>40289</v>
      </c>
      <c r="B1304" s="1">
        <v>7949.96</v>
      </c>
      <c r="C1304" s="1">
        <v>7998.76</v>
      </c>
      <c r="D1304" s="1">
        <v>7947.9</v>
      </c>
      <c r="E1304" s="3">
        <v>7990.53</v>
      </c>
      <c r="F1304" s="1">
        <v>3901200</v>
      </c>
    </row>
    <row r="1305" spans="1:6">
      <c r="A1305" s="2">
        <v>40290</v>
      </c>
      <c r="B1305" s="1">
        <v>7948.89</v>
      </c>
      <c r="C1305" s="1">
        <v>7985.49</v>
      </c>
      <c r="D1305" s="1">
        <v>7897.14</v>
      </c>
      <c r="E1305" s="3">
        <v>7978.69</v>
      </c>
      <c r="F1305" s="1">
        <v>3692800</v>
      </c>
    </row>
    <row r="1306" spans="1:6">
      <c r="A1306" s="2">
        <v>40291</v>
      </c>
      <c r="B1306" s="1">
        <v>8021.71</v>
      </c>
      <c r="C1306" s="1">
        <v>8030.11</v>
      </c>
      <c r="D1306" s="1">
        <v>7996.77</v>
      </c>
      <c r="E1306" s="3">
        <v>8004.89</v>
      </c>
      <c r="F1306" s="1">
        <v>4027600</v>
      </c>
    </row>
    <row r="1307" spans="1:6">
      <c r="A1307" s="2">
        <v>40294</v>
      </c>
      <c r="B1307" s="1">
        <v>8107.22</v>
      </c>
      <c r="C1307" s="1">
        <v>8168.47</v>
      </c>
      <c r="D1307" s="1">
        <v>8093.14</v>
      </c>
      <c r="E1307" s="3">
        <v>8158.14</v>
      </c>
      <c r="F1307" s="1">
        <v>4437400</v>
      </c>
    </row>
    <row r="1308" spans="1:6">
      <c r="A1308" s="2">
        <v>40295</v>
      </c>
      <c r="B1308" s="1">
        <v>8174.85</v>
      </c>
      <c r="C1308" s="1">
        <v>8174.85</v>
      </c>
      <c r="D1308" s="1">
        <v>8121.14</v>
      </c>
      <c r="E1308" s="3">
        <v>8146.44</v>
      </c>
      <c r="F1308" s="1">
        <v>3716000</v>
      </c>
    </row>
    <row r="1309" spans="1:6">
      <c r="A1309" s="2">
        <v>40296</v>
      </c>
      <c r="B1309" s="1">
        <v>7944.7</v>
      </c>
      <c r="C1309" s="1">
        <v>8092.48</v>
      </c>
      <c r="D1309" s="1">
        <v>7944.7</v>
      </c>
      <c r="E1309" s="3">
        <v>8081.55</v>
      </c>
      <c r="F1309" s="1">
        <v>4334800</v>
      </c>
    </row>
    <row r="1310" spans="1:6">
      <c r="A1310" s="2">
        <v>40297</v>
      </c>
      <c r="B1310" s="1">
        <v>8105.96</v>
      </c>
      <c r="C1310" s="1">
        <v>8107.36</v>
      </c>
      <c r="D1310" s="1">
        <v>8053.02</v>
      </c>
      <c r="E1310" s="3">
        <v>8054.05</v>
      </c>
      <c r="F1310" s="1">
        <v>4648600</v>
      </c>
    </row>
    <row r="1311" spans="1:6">
      <c r="A1311" s="2">
        <v>40298</v>
      </c>
      <c r="B1311" s="1">
        <v>8116.39</v>
      </c>
      <c r="C1311" s="1">
        <v>8163.94</v>
      </c>
      <c r="D1311" s="1">
        <v>7999.28</v>
      </c>
      <c r="E1311" s="3">
        <v>8004.25</v>
      </c>
      <c r="F1311" s="1">
        <v>5150600</v>
      </c>
    </row>
    <row r="1312" spans="1:6">
      <c r="A1312" s="2">
        <v>40301</v>
      </c>
      <c r="B1312" s="1">
        <v>7979.8</v>
      </c>
      <c r="C1312" s="1">
        <v>8022.45</v>
      </c>
      <c r="D1312" s="1">
        <v>7916.04</v>
      </c>
      <c r="E1312" s="3">
        <v>7952.17</v>
      </c>
      <c r="F1312" s="1">
        <v>3430400</v>
      </c>
    </row>
    <row r="1313" spans="1:6">
      <c r="A1313" s="2">
        <v>40302</v>
      </c>
      <c r="B1313" s="1">
        <v>8006.79</v>
      </c>
      <c r="C1313" s="1">
        <v>8010.98</v>
      </c>
      <c r="D1313" s="1">
        <v>7889.93</v>
      </c>
      <c r="E1313" s="3">
        <v>7930.77</v>
      </c>
      <c r="F1313" s="1">
        <v>3672800</v>
      </c>
    </row>
    <row r="1314" spans="1:6">
      <c r="A1314" s="2">
        <v>40303</v>
      </c>
      <c r="B1314" s="1">
        <v>7759.18</v>
      </c>
      <c r="C1314" s="1">
        <v>7785.55</v>
      </c>
      <c r="D1314" s="1">
        <v>7695.69</v>
      </c>
      <c r="E1314" s="3">
        <v>7696.9</v>
      </c>
      <c r="F1314" s="1">
        <v>4732200</v>
      </c>
    </row>
    <row r="1315" spans="1:6">
      <c r="A1315" s="2">
        <v>40304</v>
      </c>
      <c r="B1315" s="1">
        <v>7696.27</v>
      </c>
      <c r="C1315" s="1">
        <v>7702.11</v>
      </c>
      <c r="D1315" s="1">
        <v>7562.03</v>
      </c>
      <c r="E1315" s="3">
        <v>7579.48</v>
      </c>
      <c r="F1315" s="1">
        <v>4090600</v>
      </c>
    </row>
    <row r="1316" spans="1:6">
      <c r="A1316" s="2">
        <v>40305</v>
      </c>
      <c r="B1316" s="1">
        <v>7393.27</v>
      </c>
      <c r="C1316" s="1">
        <v>7572.79</v>
      </c>
      <c r="D1316" s="1">
        <v>7387.19</v>
      </c>
      <c r="E1316" s="3">
        <v>7567.1</v>
      </c>
      <c r="F1316" s="1">
        <v>4756000</v>
      </c>
    </row>
    <row r="1317" spans="1:6">
      <c r="A1317" s="2">
        <v>40308</v>
      </c>
      <c r="B1317" s="1">
        <v>7610.88</v>
      </c>
      <c r="C1317" s="1">
        <v>7664.73</v>
      </c>
      <c r="D1317" s="1">
        <v>7577.31</v>
      </c>
      <c r="E1317" s="3">
        <v>7664.73</v>
      </c>
      <c r="F1317" s="1">
        <v>3267400</v>
      </c>
    </row>
    <row r="1318" spans="1:6">
      <c r="A1318" s="2">
        <v>40309</v>
      </c>
      <c r="B1318" s="1">
        <v>7718.17</v>
      </c>
      <c r="C1318" s="1">
        <v>7743.41</v>
      </c>
      <c r="D1318" s="1">
        <v>7608.44</v>
      </c>
      <c r="E1318" s="3">
        <v>7608.44</v>
      </c>
      <c r="F1318" s="1">
        <v>3875600</v>
      </c>
    </row>
    <row r="1319" spans="1:6">
      <c r="A1319" s="2">
        <v>40310</v>
      </c>
      <c r="B1319" s="1">
        <v>7663.34</v>
      </c>
      <c r="C1319" s="1">
        <v>7674.52</v>
      </c>
      <c r="D1319" s="1">
        <v>7596.21</v>
      </c>
      <c r="E1319" s="3">
        <v>7602.7</v>
      </c>
      <c r="F1319" s="1">
        <v>2929200</v>
      </c>
    </row>
    <row r="1320" spans="1:6">
      <c r="A1320" s="2">
        <v>40311</v>
      </c>
      <c r="B1320" s="1">
        <v>7703.48</v>
      </c>
      <c r="C1320" s="1">
        <v>7787.32</v>
      </c>
      <c r="D1320" s="1">
        <v>7687.55</v>
      </c>
      <c r="E1320" s="3">
        <v>7770.57</v>
      </c>
      <c r="F1320" s="1">
        <v>3779600</v>
      </c>
    </row>
    <row r="1321" spans="1:6">
      <c r="A1321" s="2">
        <v>40312</v>
      </c>
      <c r="B1321" s="1">
        <v>7735.6</v>
      </c>
      <c r="C1321" s="1">
        <v>7772.54</v>
      </c>
      <c r="D1321" s="1">
        <v>7725.82</v>
      </c>
      <c r="E1321" s="3">
        <v>7772.13</v>
      </c>
      <c r="F1321" s="1">
        <v>2810200</v>
      </c>
    </row>
    <row r="1322" spans="1:6">
      <c r="A1322" s="2">
        <v>40315</v>
      </c>
      <c r="B1322" s="1">
        <v>7697.79</v>
      </c>
      <c r="C1322" s="1">
        <v>7697.79</v>
      </c>
      <c r="D1322" s="1">
        <v>7574.06</v>
      </c>
      <c r="E1322" s="3">
        <v>7598.72</v>
      </c>
      <c r="F1322" s="1">
        <v>3083600</v>
      </c>
    </row>
    <row r="1323" spans="1:6">
      <c r="A1323" s="2">
        <v>40316</v>
      </c>
      <c r="B1323" s="1">
        <v>7630.1</v>
      </c>
      <c r="C1323" s="1">
        <v>7637.99</v>
      </c>
      <c r="D1323" s="1">
        <v>7560.89</v>
      </c>
      <c r="E1323" s="3">
        <v>7585.3</v>
      </c>
      <c r="F1323" s="1">
        <v>2829800</v>
      </c>
    </row>
    <row r="1324" spans="1:6">
      <c r="A1324" s="2">
        <v>40317</v>
      </c>
      <c r="B1324" s="1">
        <v>7527.62</v>
      </c>
      <c r="C1324" s="1">
        <v>7588.09</v>
      </c>
      <c r="D1324" s="1">
        <v>7467.2</v>
      </c>
      <c r="E1324" s="3">
        <v>7559.16</v>
      </c>
      <c r="F1324" s="1">
        <v>3417800</v>
      </c>
    </row>
    <row r="1325" spans="1:6">
      <c r="A1325" s="2">
        <v>40318</v>
      </c>
      <c r="B1325" s="1">
        <v>7557.17</v>
      </c>
      <c r="C1325" s="1">
        <v>7557.17</v>
      </c>
      <c r="D1325" s="1">
        <v>7424.43</v>
      </c>
      <c r="E1325" s="3">
        <v>7424.43</v>
      </c>
      <c r="F1325" s="1">
        <v>3058800</v>
      </c>
    </row>
    <row r="1326" spans="1:6">
      <c r="A1326" s="2">
        <v>40319</v>
      </c>
      <c r="B1326" s="1">
        <v>7229.17</v>
      </c>
      <c r="C1326" s="1">
        <v>7277.93</v>
      </c>
      <c r="D1326" s="1">
        <v>7164.21</v>
      </c>
      <c r="E1326" s="3">
        <v>7237.71</v>
      </c>
      <c r="F1326" s="1">
        <v>3918400</v>
      </c>
    </row>
    <row r="1327" spans="1:6">
      <c r="A1327" s="2">
        <v>40322</v>
      </c>
      <c r="B1327" s="1">
        <v>7296.15</v>
      </c>
      <c r="C1327" s="1">
        <v>7344.92</v>
      </c>
      <c r="D1327" s="1">
        <v>7269.81</v>
      </c>
      <c r="E1327" s="3">
        <v>7322.73</v>
      </c>
      <c r="F1327" s="1">
        <v>2518600</v>
      </c>
    </row>
    <row r="1328" spans="1:6">
      <c r="A1328" s="2">
        <v>40323</v>
      </c>
      <c r="B1328" s="1">
        <v>7238.16</v>
      </c>
      <c r="C1328" s="1">
        <v>7241.84</v>
      </c>
      <c r="D1328" s="1">
        <v>7032.4</v>
      </c>
      <c r="E1328" s="3">
        <v>7086.37</v>
      </c>
      <c r="F1328" s="1">
        <v>3914000</v>
      </c>
    </row>
    <row r="1329" spans="1:6">
      <c r="A1329" s="2">
        <v>40324</v>
      </c>
      <c r="B1329" s="1">
        <v>7161.4</v>
      </c>
      <c r="C1329" s="1">
        <v>7174.38</v>
      </c>
      <c r="D1329" s="1">
        <v>7079.85</v>
      </c>
      <c r="E1329" s="3">
        <v>7167.35</v>
      </c>
      <c r="F1329" s="1">
        <v>3536200</v>
      </c>
    </row>
    <row r="1330" spans="1:6">
      <c r="A1330" s="2">
        <v>40325</v>
      </c>
      <c r="B1330" s="1">
        <v>7139.45</v>
      </c>
      <c r="C1330" s="1">
        <v>7254.68</v>
      </c>
      <c r="D1330" s="1">
        <v>7105.11</v>
      </c>
      <c r="E1330" s="3">
        <v>7243.16</v>
      </c>
      <c r="F1330" s="1">
        <v>3097400</v>
      </c>
    </row>
    <row r="1331" spans="1:6">
      <c r="A1331" s="2">
        <v>40326</v>
      </c>
      <c r="B1331" s="1">
        <v>7338.77</v>
      </c>
      <c r="C1331" s="1">
        <v>7364.01</v>
      </c>
      <c r="D1331" s="1">
        <v>7271.3</v>
      </c>
      <c r="E1331" s="3">
        <v>7295.32</v>
      </c>
      <c r="F1331" s="1">
        <v>3575800</v>
      </c>
    </row>
    <row r="1332" spans="1:6">
      <c r="A1332" s="2">
        <v>40329</v>
      </c>
      <c r="B1332" s="1">
        <v>7312.26</v>
      </c>
      <c r="C1332" s="1">
        <v>7373.98</v>
      </c>
      <c r="D1332" s="1">
        <v>7292.54</v>
      </c>
      <c r="E1332" s="3">
        <v>7373.98</v>
      </c>
      <c r="F1332" s="1">
        <v>2443000</v>
      </c>
    </row>
    <row r="1333" spans="1:6">
      <c r="A1333" s="2">
        <v>40330</v>
      </c>
      <c r="B1333" s="1">
        <v>7327.01</v>
      </c>
      <c r="C1333" s="1">
        <v>7348.56</v>
      </c>
      <c r="D1333" s="1">
        <v>7276.52</v>
      </c>
      <c r="E1333" s="3">
        <v>7289.33</v>
      </c>
      <c r="F1333" s="1">
        <v>2518000</v>
      </c>
    </row>
    <row r="1334" spans="1:6">
      <c r="A1334" s="2">
        <v>40331</v>
      </c>
      <c r="B1334" s="1">
        <v>7252.79</v>
      </c>
      <c r="C1334" s="1">
        <v>7304.13</v>
      </c>
      <c r="D1334" s="1">
        <v>7159.75</v>
      </c>
      <c r="E1334" s="3">
        <v>7195.71</v>
      </c>
      <c r="F1334" s="1">
        <v>2794200</v>
      </c>
    </row>
    <row r="1335" spans="1:6">
      <c r="A1335" s="2">
        <v>40332</v>
      </c>
      <c r="B1335" s="1">
        <v>7322.51</v>
      </c>
      <c r="C1335" s="1">
        <v>7361.7</v>
      </c>
      <c r="D1335" s="1">
        <v>7309.46</v>
      </c>
      <c r="E1335" s="3">
        <v>7360.28</v>
      </c>
      <c r="F1335" s="1">
        <v>2820800</v>
      </c>
    </row>
    <row r="1336" spans="1:6">
      <c r="A1336" s="2">
        <v>40333</v>
      </c>
      <c r="B1336" s="1">
        <v>7377.56</v>
      </c>
      <c r="C1336" s="1">
        <v>7377.56</v>
      </c>
      <c r="D1336" s="1">
        <v>7337.35</v>
      </c>
      <c r="E1336" s="3">
        <v>7344.59</v>
      </c>
      <c r="F1336" s="1">
        <v>2484600</v>
      </c>
    </row>
    <row r="1337" spans="1:6">
      <c r="A1337" s="2">
        <v>40336</v>
      </c>
      <c r="B1337" s="1">
        <v>7139.76</v>
      </c>
      <c r="C1337" s="1">
        <v>7172.3</v>
      </c>
      <c r="D1337" s="1">
        <v>7085.55</v>
      </c>
      <c r="E1337" s="3">
        <v>7157.83</v>
      </c>
      <c r="F1337" s="1">
        <v>2801400</v>
      </c>
    </row>
    <row r="1338" spans="1:6">
      <c r="A1338" s="2">
        <v>40337</v>
      </c>
      <c r="B1338" s="1">
        <v>7142.31</v>
      </c>
      <c r="C1338" s="1">
        <v>7179.14</v>
      </c>
      <c r="D1338" s="1">
        <v>7128.92</v>
      </c>
      <c r="E1338" s="3">
        <v>7151.99</v>
      </c>
      <c r="F1338" s="1">
        <v>2772200</v>
      </c>
    </row>
    <row r="1339" spans="1:6">
      <c r="A1339" s="2">
        <v>40338</v>
      </c>
      <c r="B1339" s="1">
        <v>7166.19</v>
      </c>
      <c r="C1339" s="1">
        <v>7193.04</v>
      </c>
      <c r="D1339" s="1">
        <v>7048.6</v>
      </c>
      <c r="E1339" s="3">
        <v>7071.67</v>
      </c>
      <c r="F1339" s="1">
        <v>3194200</v>
      </c>
    </row>
    <row r="1340" spans="1:6">
      <c r="A1340" s="2">
        <v>40339</v>
      </c>
      <c r="B1340" s="1">
        <v>7134.16</v>
      </c>
      <c r="C1340" s="1">
        <v>7182.99</v>
      </c>
      <c r="D1340" s="1">
        <v>7085.34</v>
      </c>
      <c r="E1340" s="3">
        <v>7181.77</v>
      </c>
      <c r="F1340" s="1">
        <v>2467200</v>
      </c>
    </row>
    <row r="1341" spans="1:6">
      <c r="A1341" s="2">
        <v>40340</v>
      </c>
      <c r="B1341" s="1">
        <v>7302.97</v>
      </c>
      <c r="C1341" s="1">
        <v>7321.6</v>
      </c>
      <c r="D1341" s="1">
        <v>7273.7</v>
      </c>
      <c r="E1341" s="3">
        <v>7299.49</v>
      </c>
      <c r="F1341" s="1">
        <v>3280800</v>
      </c>
    </row>
    <row r="1342" spans="1:6">
      <c r="A1342" s="2">
        <v>40343</v>
      </c>
      <c r="B1342" s="1">
        <v>7372.93</v>
      </c>
      <c r="C1342" s="1">
        <v>7393.41</v>
      </c>
      <c r="D1342" s="1">
        <v>7347.23</v>
      </c>
      <c r="E1342" s="3">
        <v>7387.4</v>
      </c>
      <c r="F1342" s="1">
        <v>2681000</v>
      </c>
    </row>
    <row r="1343" spans="1:6">
      <c r="A1343" s="2">
        <v>40344</v>
      </c>
      <c r="B1343" s="1">
        <v>7388.57</v>
      </c>
      <c r="C1343" s="1">
        <v>7489.68</v>
      </c>
      <c r="D1343" s="1">
        <v>7364.34</v>
      </c>
      <c r="E1343" s="3">
        <v>7454.06</v>
      </c>
      <c r="F1343" s="1">
        <v>2928800</v>
      </c>
    </row>
    <row r="1344" spans="1:6">
      <c r="A1344" s="2">
        <v>40346</v>
      </c>
      <c r="B1344" s="1">
        <v>7503.12</v>
      </c>
      <c r="C1344" s="1">
        <v>7534.06</v>
      </c>
      <c r="D1344" s="1">
        <v>7481.72</v>
      </c>
      <c r="E1344" s="3">
        <v>7515.78</v>
      </c>
      <c r="F1344" s="1">
        <v>3259000</v>
      </c>
    </row>
    <row r="1345" spans="1:6">
      <c r="A1345" s="2">
        <v>40347</v>
      </c>
      <c r="B1345" s="1">
        <v>7538.55</v>
      </c>
      <c r="C1345" s="1">
        <v>7538.55</v>
      </c>
      <c r="D1345" s="1">
        <v>7459.93</v>
      </c>
      <c r="E1345" s="3">
        <v>7493.11</v>
      </c>
      <c r="F1345" s="1">
        <v>2359000</v>
      </c>
    </row>
    <row r="1346" spans="1:6">
      <c r="A1346" s="2">
        <v>40350</v>
      </c>
      <c r="B1346" s="1">
        <v>7595.93</v>
      </c>
      <c r="C1346" s="1">
        <v>7645.71</v>
      </c>
      <c r="D1346" s="1">
        <v>7562.25</v>
      </c>
      <c r="E1346" s="3">
        <v>7635.56</v>
      </c>
      <c r="F1346" s="1">
        <v>3884600</v>
      </c>
    </row>
    <row r="1347" spans="1:6">
      <c r="A1347" s="2">
        <v>40351</v>
      </c>
      <c r="B1347" s="1">
        <v>7630.64</v>
      </c>
      <c r="C1347" s="1">
        <v>7639.66</v>
      </c>
      <c r="D1347" s="1">
        <v>7610.62</v>
      </c>
      <c r="E1347" s="3">
        <v>7612.68</v>
      </c>
      <c r="F1347" s="1">
        <v>2901200</v>
      </c>
    </row>
    <row r="1348" spans="1:6">
      <c r="A1348" s="2">
        <v>40352</v>
      </c>
      <c r="B1348" s="1">
        <v>7576.29</v>
      </c>
      <c r="C1348" s="1">
        <v>7615.44</v>
      </c>
      <c r="D1348" s="1">
        <v>7549.98</v>
      </c>
      <c r="E1348" s="3">
        <v>7582.15</v>
      </c>
      <c r="F1348" s="1">
        <v>2991200</v>
      </c>
    </row>
    <row r="1349" spans="1:6">
      <c r="A1349" s="2">
        <v>40353</v>
      </c>
      <c r="B1349" s="1">
        <v>7601.72</v>
      </c>
      <c r="C1349" s="1">
        <v>7607.63</v>
      </c>
      <c r="D1349" s="1">
        <v>7567.96</v>
      </c>
      <c r="E1349" s="3">
        <v>7589.89</v>
      </c>
      <c r="F1349" s="1">
        <v>3013000</v>
      </c>
    </row>
    <row r="1350" spans="1:6">
      <c r="A1350" s="2">
        <v>40354</v>
      </c>
      <c r="B1350" s="1">
        <v>7509.72</v>
      </c>
      <c r="C1350" s="1">
        <v>7537.37</v>
      </c>
      <c r="D1350" s="1">
        <v>7463.29</v>
      </c>
      <c r="E1350" s="3">
        <v>7474.71</v>
      </c>
      <c r="F1350" s="1">
        <v>3368200</v>
      </c>
    </row>
    <row r="1351" spans="1:6">
      <c r="A1351" s="2">
        <v>40357</v>
      </c>
      <c r="B1351" s="1">
        <v>7507.15</v>
      </c>
      <c r="C1351" s="1">
        <v>7536.61</v>
      </c>
      <c r="D1351" s="1">
        <v>7489.55</v>
      </c>
      <c r="E1351" s="3">
        <v>7500.79</v>
      </c>
      <c r="F1351" s="1">
        <v>3169800</v>
      </c>
    </row>
    <row r="1352" spans="1:6">
      <c r="A1352" s="2">
        <v>40358</v>
      </c>
      <c r="B1352" s="1">
        <v>7554.78</v>
      </c>
      <c r="C1352" s="1">
        <v>7584.81</v>
      </c>
      <c r="D1352" s="1">
        <v>7423.57</v>
      </c>
      <c r="E1352" s="3">
        <v>7423.57</v>
      </c>
      <c r="F1352" s="1">
        <v>3366600</v>
      </c>
    </row>
    <row r="1353" spans="1:6">
      <c r="A1353" s="2">
        <v>40359</v>
      </c>
      <c r="B1353" s="1">
        <v>7277.39</v>
      </c>
      <c r="C1353" s="1">
        <v>7337.32</v>
      </c>
      <c r="D1353" s="1">
        <v>7255.09</v>
      </c>
      <c r="E1353" s="3">
        <v>7329.37</v>
      </c>
      <c r="F1353" s="1">
        <v>3332000</v>
      </c>
    </row>
    <row r="1354" spans="1:6">
      <c r="A1354" s="2">
        <v>40360</v>
      </c>
      <c r="B1354" s="1">
        <v>7326.89</v>
      </c>
      <c r="C1354" s="1">
        <v>7327.4</v>
      </c>
      <c r="D1354" s="1">
        <v>7251.6</v>
      </c>
      <c r="E1354" s="3">
        <v>7254.06</v>
      </c>
      <c r="F1354" s="1">
        <v>3086400</v>
      </c>
    </row>
    <row r="1355" spans="1:6">
      <c r="A1355" s="2">
        <v>40361</v>
      </c>
      <c r="B1355" s="1">
        <v>7285.01</v>
      </c>
      <c r="C1355" s="1">
        <v>7378.77</v>
      </c>
      <c r="D1355" s="1">
        <v>7285.01</v>
      </c>
      <c r="E1355" s="3">
        <v>7330.74</v>
      </c>
      <c r="F1355" s="1">
        <v>3677600</v>
      </c>
    </row>
    <row r="1356" spans="1:6">
      <c r="A1356" s="2">
        <v>40364</v>
      </c>
      <c r="B1356" s="1">
        <v>7351.18</v>
      </c>
      <c r="C1356" s="1">
        <v>7447.18</v>
      </c>
      <c r="D1356" s="1">
        <v>7351.18</v>
      </c>
      <c r="E1356" s="3">
        <v>7439.96</v>
      </c>
      <c r="F1356" s="1">
        <v>3403400</v>
      </c>
    </row>
    <row r="1357" spans="1:6">
      <c r="A1357" s="2">
        <v>40365</v>
      </c>
      <c r="B1357" s="1">
        <v>7385.33</v>
      </c>
      <c r="C1357" s="1">
        <v>7548.48</v>
      </c>
      <c r="D1357" s="1">
        <v>7382.37</v>
      </c>
      <c r="E1357" s="3">
        <v>7548.48</v>
      </c>
      <c r="F1357" s="1">
        <v>4087000</v>
      </c>
    </row>
    <row r="1358" spans="1:6">
      <c r="A1358" s="2">
        <v>40366</v>
      </c>
      <c r="B1358" s="1">
        <v>7560.22</v>
      </c>
      <c r="C1358" s="1">
        <v>7565.37</v>
      </c>
      <c r="D1358" s="1">
        <v>7517.68</v>
      </c>
      <c r="E1358" s="3">
        <v>7534.46</v>
      </c>
      <c r="F1358" s="1">
        <v>3765400</v>
      </c>
    </row>
    <row r="1359" spans="1:6">
      <c r="A1359" s="2">
        <v>40367</v>
      </c>
      <c r="B1359" s="1">
        <v>7612.71</v>
      </c>
      <c r="C1359" s="1">
        <v>7622.46</v>
      </c>
      <c r="D1359" s="1">
        <v>7583.36</v>
      </c>
      <c r="E1359" s="3">
        <v>7608.85</v>
      </c>
      <c r="F1359" s="1">
        <v>4278000</v>
      </c>
    </row>
    <row r="1360" spans="1:6">
      <c r="A1360" s="2">
        <v>40368</v>
      </c>
      <c r="B1360" s="1">
        <v>7644.11</v>
      </c>
      <c r="C1360" s="1">
        <v>7652.55</v>
      </c>
      <c r="D1360" s="1">
        <v>7599.84</v>
      </c>
      <c r="E1360" s="3">
        <v>7647.25</v>
      </c>
      <c r="F1360" s="1">
        <v>3585200</v>
      </c>
    </row>
    <row r="1361" spans="1:6">
      <c r="A1361" s="2">
        <v>40371</v>
      </c>
      <c r="B1361" s="1">
        <v>7674.26</v>
      </c>
      <c r="C1361" s="1">
        <v>7705.11</v>
      </c>
      <c r="D1361" s="1">
        <v>7636.81</v>
      </c>
      <c r="E1361" s="3">
        <v>7639.55</v>
      </c>
      <c r="F1361" s="1">
        <v>3604800</v>
      </c>
    </row>
    <row r="1362" spans="1:6">
      <c r="A1362" s="2">
        <v>40372</v>
      </c>
      <c r="B1362" s="1">
        <v>7664.71</v>
      </c>
      <c r="C1362" s="1">
        <v>7671.48</v>
      </c>
      <c r="D1362" s="1">
        <v>7587.87</v>
      </c>
      <c r="E1362" s="3">
        <v>7597.42</v>
      </c>
      <c r="F1362" s="1">
        <v>3037600</v>
      </c>
    </row>
    <row r="1363" spans="1:6">
      <c r="A1363" s="2">
        <v>40373</v>
      </c>
      <c r="B1363" s="1">
        <v>7688.82</v>
      </c>
      <c r="C1363" s="1">
        <v>7720.63</v>
      </c>
      <c r="D1363" s="1">
        <v>7683.83</v>
      </c>
      <c r="E1363" s="3">
        <v>7714.51</v>
      </c>
      <c r="F1363" s="1">
        <v>4078000</v>
      </c>
    </row>
    <row r="1364" spans="1:6">
      <c r="A1364" s="2">
        <v>40374</v>
      </c>
      <c r="B1364" s="1">
        <v>7699.49</v>
      </c>
      <c r="C1364" s="1">
        <v>7732.31</v>
      </c>
      <c r="D1364" s="1">
        <v>7681.87</v>
      </c>
      <c r="E1364" s="3">
        <v>7704.52</v>
      </c>
      <c r="F1364" s="1">
        <v>3892600</v>
      </c>
    </row>
    <row r="1365" spans="1:6">
      <c r="A1365" s="2">
        <v>40375</v>
      </c>
      <c r="B1365" s="1">
        <v>7717.24</v>
      </c>
      <c r="C1365" s="1">
        <v>7719.05</v>
      </c>
      <c r="D1365" s="1">
        <v>7660.76</v>
      </c>
      <c r="E1365" s="3">
        <v>7664.57</v>
      </c>
      <c r="F1365" s="1">
        <v>4754200</v>
      </c>
    </row>
    <row r="1366" spans="1:6">
      <c r="A1366" s="2">
        <v>40378</v>
      </c>
      <c r="B1366" s="1">
        <v>7602.68</v>
      </c>
      <c r="C1366" s="1">
        <v>7666.58</v>
      </c>
      <c r="D1366" s="1">
        <v>7596.26</v>
      </c>
      <c r="E1366" s="3">
        <v>7649.83</v>
      </c>
      <c r="F1366" s="1">
        <v>3152200</v>
      </c>
    </row>
    <row r="1367" spans="1:6">
      <c r="A1367" s="2">
        <v>40379</v>
      </c>
      <c r="B1367" s="1">
        <v>7678.89</v>
      </c>
      <c r="C1367" s="1">
        <v>7730.88</v>
      </c>
      <c r="D1367" s="1">
        <v>7638.49</v>
      </c>
      <c r="E1367" s="3">
        <v>7712.03</v>
      </c>
      <c r="F1367" s="1">
        <v>3555000</v>
      </c>
    </row>
    <row r="1368" spans="1:6">
      <c r="A1368" s="2">
        <v>40380</v>
      </c>
      <c r="B1368" s="1">
        <v>7742.48</v>
      </c>
      <c r="C1368" s="1">
        <v>7752.8</v>
      </c>
      <c r="D1368" s="1">
        <v>7678.3</v>
      </c>
      <c r="E1368" s="3">
        <v>7701.29</v>
      </c>
      <c r="F1368" s="1">
        <v>3832000</v>
      </c>
    </row>
    <row r="1369" spans="1:6">
      <c r="A1369" s="2">
        <v>40381</v>
      </c>
      <c r="B1369" s="1">
        <v>7699.36</v>
      </c>
      <c r="C1369" s="1">
        <v>7718.92</v>
      </c>
      <c r="D1369" s="1">
        <v>7665.78</v>
      </c>
      <c r="E1369" s="3">
        <v>7666.34</v>
      </c>
      <c r="F1369" s="1">
        <v>3409400</v>
      </c>
    </row>
    <row r="1370" spans="1:6">
      <c r="A1370" s="2">
        <v>40382</v>
      </c>
      <c r="B1370" s="1">
        <v>7747.03</v>
      </c>
      <c r="C1370" s="1">
        <v>7782.02</v>
      </c>
      <c r="D1370" s="1">
        <v>7739.04</v>
      </c>
      <c r="E1370" s="3">
        <v>7761.22</v>
      </c>
      <c r="F1370" s="1">
        <v>4402800</v>
      </c>
    </row>
    <row r="1371" spans="1:6">
      <c r="A1371" s="2">
        <v>40385</v>
      </c>
      <c r="B1371" s="1">
        <v>7787.07</v>
      </c>
      <c r="C1371" s="1">
        <v>7807.07</v>
      </c>
      <c r="D1371" s="1">
        <v>7765.68</v>
      </c>
      <c r="E1371" s="3">
        <v>7787.45</v>
      </c>
      <c r="F1371" s="1">
        <v>3916600</v>
      </c>
    </row>
    <row r="1372" spans="1:6">
      <c r="A1372" s="2">
        <v>40386</v>
      </c>
      <c r="B1372" s="1">
        <v>7806.25</v>
      </c>
      <c r="C1372" s="1">
        <v>7806.25</v>
      </c>
      <c r="D1372" s="1">
        <v>7748.01</v>
      </c>
      <c r="E1372" s="3">
        <v>7748.01</v>
      </c>
      <c r="F1372" s="1">
        <v>3609200</v>
      </c>
    </row>
    <row r="1373" spans="1:6">
      <c r="A1373" s="2">
        <v>40387</v>
      </c>
      <c r="B1373" s="1">
        <v>7736.59</v>
      </c>
      <c r="C1373" s="1">
        <v>7786.23</v>
      </c>
      <c r="D1373" s="1">
        <v>7726.4</v>
      </c>
      <c r="E1373" s="3">
        <v>7784.81</v>
      </c>
      <c r="F1373" s="1">
        <v>4175400</v>
      </c>
    </row>
    <row r="1374" spans="1:6">
      <c r="A1374" s="2">
        <v>40388</v>
      </c>
      <c r="B1374" s="1">
        <v>7778.74</v>
      </c>
      <c r="C1374" s="1">
        <v>7799.57</v>
      </c>
      <c r="D1374" s="1">
        <v>7738.48</v>
      </c>
      <c r="E1374" s="3">
        <v>7798.99</v>
      </c>
      <c r="F1374" s="1">
        <v>4541000</v>
      </c>
    </row>
    <row r="1375" spans="1:6">
      <c r="A1375" s="2">
        <v>40389</v>
      </c>
      <c r="B1375" s="1">
        <v>7765.25</v>
      </c>
      <c r="C1375" s="1">
        <v>7781.24</v>
      </c>
      <c r="D1375" s="1">
        <v>7731.19</v>
      </c>
      <c r="E1375" s="3">
        <v>7760.63</v>
      </c>
      <c r="F1375" s="1">
        <v>4154600</v>
      </c>
    </row>
    <row r="1376" spans="1:6">
      <c r="A1376" s="2">
        <v>40392</v>
      </c>
      <c r="B1376" s="1">
        <v>7829.19</v>
      </c>
      <c r="C1376" s="1">
        <v>7917.95</v>
      </c>
      <c r="D1376" s="1">
        <v>7829.19</v>
      </c>
      <c r="E1376" s="3">
        <v>7911.68</v>
      </c>
      <c r="F1376" s="1">
        <v>5231200</v>
      </c>
    </row>
    <row r="1377" spans="1:6">
      <c r="A1377" s="2">
        <v>40393</v>
      </c>
      <c r="B1377" s="1">
        <v>7961.68</v>
      </c>
      <c r="C1377" s="1">
        <v>7970.58</v>
      </c>
      <c r="D1377" s="1">
        <v>7915.83</v>
      </c>
      <c r="E1377" s="3">
        <v>7957.53</v>
      </c>
      <c r="F1377" s="1">
        <v>5229600</v>
      </c>
    </row>
    <row r="1378" spans="1:6">
      <c r="A1378" s="2">
        <v>40394</v>
      </c>
      <c r="B1378" s="1">
        <v>7960.3</v>
      </c>
      <c r="C1378" s="1">
        <v>7978.16</v>
      </c>
      <c r="D1378" s="1">
        <v>7938.92</v>
      </c>
      <c r="E1378" s="3">
        <v>7972.66</v>
      </c>
      <c r="F1378" s="1">
        <v>4822400</v>
      </c>
    </row>
    <row r="1379" spans="1:6">
      <c r="A1379" s="2">
        <v>40395</v>
      </c>
      <c r="B1379" s="1">
        <v>8010.07</v>
      </c>
      <c r="C1379" s="1">
        <v>8018.74</v>
      </c>
      <c r="D1379" s="1">
        <v>7921.98</v>
      </c>
      <c r="E1379" s="3">
        <v>7936.85</v>
      </c>
      <c r="F1379" s="1">
        <v>6156600</v>
      </c>
    </row>
    <row r="1380" spans="1:6">
      <c r="A1380" s="2">
        <v>40396</v>
      </c>
      <c r="B1380" s="1">
        <v>7938.09</v>
      </c>
      <c r="C1380" s="1">
        <v>7963.3</v>
      </c>
      <c r="D1380" s="1">
        <v>7922.29</v>
      </c>
      <c r="E1380" s="3">
        <v>7963.3</v>
      </c>
      <c r="F1380" s="1">
        <v>4304800</v>
      </c>
    </row>
    <row r="1381" spans="1:6">
      <c r="A1381" s="2">
        <v>40399</v>
      </c>
      <c r="B1381" s="1">
        <v>7974.67</v>
      </c>
      <c r="C1381" s="1">
        <v>8040.94</v>
      </c>
      <c r="D1381" s="1">
        <v>7971.19</v>
      </c>
      <c r="E1381" s="3">
        <v>8034.49</v>
      </c>
      <c r="F1381" s="1">
        <v>4990400</v>
      </c>
    </row>
    <row r="1382" spans="1:6">
      <c r="A1382" s="2">
        <v>40400</v>
      </c>
      <c r="B1382" s="1">
        <v>8054.29</v>
      </c>
      <c r="C1382" s="1">
        <v>8054.29</v>
      </c>
      <c r="D1382" s="1">
        <v>7975.38</v>
      </c>
      <c r="E1382" s="3">
        <v>7976.74</v>
      </c>
      <c r="F1382" s="1">
        <v>5258800</v>
      </c>
    </row>
    <row r="1383" spans="1:6">
      <c r="A1383" s="2">
        <v>40401</v>
      </c>
      <c r="B1383" s="1">
        <v>7923.57</v>
      </c>
      <c r="C1383" s="1">
        <v>7956.9</v>
      </c>
      <c r="D1383" s="1">
        <v>7869.52</v>
      </c>
      <c r="E1383" s="3">
        <v>7895.03</v>
      </c>
      <c r="F1383" s="1">
        <v>4870400</v>
      </c>
    </row>
    <row r="1384" spans="1:6">
      <c r="A1384" s="2">
        <v>40402</v>
      </c>
      <c r="B1384" s="1">
        <v>7789.46</v>
      </c>
      <c r="C1384" s="1">
        <v>7837.38</v>
      </c>
      <c r="D1384" s="1">
        <v>7776.66</v>
      </c>
      <c r="E1384" s="3">
        <v>7829.79</v>
      </c>
      <c r="F1384" s="1">
        <v>4390000</v>
      </c>
    </row>
    <row r="1385" spans="1:6">
      <c r="A1385" s="2">
        <v>40403</v>
      </c>
      <c r="B1385" s="1">
        <v>7845.98</v>
      </c>
      <c r="C1385" s="1">
        <v>7906.35</v>
      </c>
      <c r="D1385" s="1">
        <v>7830.46</v>
      </c>
      <c r="E1385" s="3">
        <v>7891.58</v>
      </c>
      <c r="F1385" s="1">
        <v>4814200</v>
      </c>
    </row>
    <row r="1386" spans="1:6">
      <c r="A1386" s="2">
        <v>40406</v>
      </c>
      <c r="B1386" s="1">
        <v>7884.28</v>
      </c>
      <c r="C1386" s="1">
        <v>7941.22</v>
      </c>
      <c r="D1386" s="1">
        <v>7850.13</v>
      </c>
      <c r="E1386" s="3">
        <v>7941.22</v>
      </c>
      <c r="F1386" s="1">
        <v>4424600</v>
      </c>
    </row>
    <row r="1387" spans="1:6">
      <c r="A1387" s="2">
        <v>40407</v>
      </c>
      <c r="B1387" s="1">
        <v>7962.7</v>
      </c>
      <c r="C1387" s="1">
        <v>7973.15</v>
      </c>
      <c r="D1387" s="1">
        <v>7931.09</v>
      </c>
      <c r="E1387" s="3">
        <v>7931.09</v>
      </c>
      <c r="F1387" s="1">
        <v>5046000</v>
      </c>
    </row>
    <row r="1388" spans="1:6">
      <c r="A1388" s="2">
        <v>40408</v>
      </c>
      <c r="B1388" s="1">
        <v>7978.52</v>
      </c>
      <c r="C1388" s="1">
        <v>7984.57</v>
      </c>
      <c r="D1388" s="1">
        <v>7897.18</v>
      </c>
      <c r="E1388" s="3">
        <v>7924.1</v>
      </c>
      <c r="F1388" s="1">
        <v>5324400</v>
      </c>
    </row>
    <row r="1389" spans="1:6">
      <c r="A1389" s="2">
        <v>40409</v>
      </c>
      <c r="B1389" s="1">
        <v>7925.48</v>
      </c>
      <c r="C1389" s="1">
        <v>7948.73</v>
      </c>
      <c r="D1389" s="1">
        <v>7886.73</v>
      </c>
      <c r="E1389" s="3">
        <v>7928.94</v>
      </c>
      <c r="F1389" s="1">
        <v>4969400</v>
      </c>
    </row>
    <row r="1390" spans="1:6">
      <c r="A1390" s="2">
        <v>40410</v>
      </c>
      <c r="B1390" s="1">
        <v>7915.16</v>
      </c>
      <c r="C1390" s="1">
        <v>7941.61</v>
      </c>
      <c r="D1390" s="1">
        <v>7905.01</v>
      </c>
      <c r="E1390" s="3">
        <v>7927.31</v>
      </c>
      <c r="F1390" s="1">
        <v>4005400</v>
      </c>
    </row>
    <row r="1391" spans="1:6">
      <c r="A1391" s="2">
        <v>40413</v>
      </c>
      <c r="B1391" s="1">
        <v>7938.21</v>
      </c>
      <c r="C1391" s="1">
        <v>8013.12</v>
      </c>
      <c r="D1391" s="1">
        <v>7924.1</v>
      </c>
      <c r="E1391" s="3">
        <v>7975.93</v>
      </c>
      <c r="F1391" s="1">
        <v>4635000</v>
      </c>
    </row>
    <row r="1392" spans="1:6">
      <c r="A1392" s="2">
        <v>40414</v>
      </c>
      <c r="B1392" s="1">
        <v>7983.62</v>
      </c>
      <c r="C1392" s="1">
        <v>7990.49</v>
      </c>
      <c r="D1392" s="1">
        <v>7940.64</v>
      </c>
      <c r="E1392" s="3">
        <v>7940.64</v>
      </c>
      <c r="F1392" s="1">
        <v>4714600</v>
      </c>
    </row>
    <row r="1393" spans="1:6">
      <c r="A1393" s="2">
        <v>40415</v>
      </c>
      <c r="B1393" s="1">
        <v>7889.57</v>
      </c>
      <c r="C1393" s="1">
        <v>7889.57</v>
      </c>
      <c r="D1393" s="1">
        <v>7736.98</v>
      </c>
      <c r="E1393" s="3">
        <v>7736.98</v>
      </c>
      <c r="F1393" s="1">
        <v>5725600</v>
      </c>
    </row>
    <row r="1394" spans="1:6">
      <c r="A1394" s="2">
        <v>40416</v>
      </c>
      <c r="B1394" s="1">
        <v>7743.32</v>
      </c>
      <c r="C1394" s="1">
        <v>7758.14</v>
      </c>
      <c r="D1394" s="1">
        <v>7666.51</v>
      </c>
      <c r="E1394" s="3">
        <v>7689.74</v>
      </c>
      <c r="F1394" s="1">
        <v>4425200</v>
      </c>
    </row>
    <row r="1395" spans="1:6">
      <c r="A1395" s="2">
        <v>40417</v>
      </c>
      <c r="B1395" s="1">
        <v>7702.59</v>
      </c>
      <c r="C1395" s="1">
        <v>7722.91</v>
      </c>
      <c r="D1395" s="1">
        <v>7662.23</v>
      </c>
      <c r="E1395" s="3">
        <v>7722.91</v>
      </c>
      <c r="F1395" s="1">
        <v>3458600</v>
      </c>
    </row>
    <row r="1396" spans="1:6">
      <c r="A1396" s="2">
        <v>40420</v>
      </c>
      <c r="B1396" s="1">
        <v>7797.26</v>
      </c>
      <c r="C1396" s="1">
        <v>7806.91</v>
      </c>
      <c r="D1396" s="1">
        <v>7737.28</v>
      </c>
      <c r="E1396" s="3">
        <v>7741.2</v>
      </c>
      <c r="F1396" s="1">
        <v>3380800</v>
      </c>
    </row>
    <row r="1397" spans="1:6">
      <c r="A1397" s="2">
        <v>40421</v>
      </c>
      <c r="B1397" s="1">
        <v>7669.31</v>
      </c>
      <c r="C1397" s="1">
        <v>7687.47</v>
      </c>
      <c r="D1397" s="1">
        <v>7577.1</v>
      </c>
      <c r="E1397" s="3">
        <v>7616.28</v>
      </c>
      <c r="F1397" s="1">
        <v>4190400</v>
      </c>
    </row>
    <row r="1398" spans="1:6">
      <c r="A1398" s="2">
        <v>40422</v>
      </c>
      <c r="B1398" s="1">
        <v>7643.61</v>
      </c>
      <c r="C1398" s="1">
        <v>7679.43</v>
      </c>
      <c r="D1398" s="1">
        <v>7625.72</v>
      </c>
      <c r="E1398" s="3">
        <v>7668.25</v>
      </c>
      <c r="F1398" s="1">
        <v>3612200</v>
      </c>
    </row>
    <row r="1399" spans="1:6">
      <c r="A1399" s="2">
        <v>40423</v>
      </c>
      <c r="B1399" s="1">
        <v>7764.8</v>
      </c>
      <c r="C1399" s="1">
        <v>7780.53</v>
      </c>
      <c r="D1399" s="1">
        <v>7715.31</v>
      </c>
      <c r="E1399" s="3">
        <v>7720.82</v>
      </c>
      <c r="F1399" s="1">
        <v>4080600</v>
      </c>
    </row>
    <row r="1400" spans="1:6">
      <c r="A1400" s="2">
        <v>40424</v>
      </c>
      <c r="B1400" s="1">
        <v>7770.93</v>
      </c>
      <c r="C1400" s="1">
        <v>7830.21</v>
      </c>
      <c r="D1400" s="1">
        <v>7770.93</v>
      </c>
      <c r="E1400" s="3">
        <v>7830.21</v>
      </c>
      <c r="F1400" s="1">
        <v>4494800</v>
      </c>
    </row>
    <row r="1401" spans="1:6">
      <c r="A1401" s="2">
        <v>40427</v>
      </c>
      <c r="B1401" s="1">
        <v>7879.7</v>
      </c>
      <c r="C1401" s="1">
        <v>7902.56</v>
      </c>
      <c r="D1401" s="1">
        <v>7841.83</v>
      </c>
      <c r="E1401" s="3">
        <v>7890.95</v>
      </c>
      <c r="F1401" s="1">
        <v>4269000</v>
      </c>
    </row>
    <row r="1402" spans="1:6">
      <c r="A1402" s="2">
        <v>40428</v>
      </c>
      <c r="B1402" s="1">
        <v>7914.38</v>
      </c>
      <c r="C1402" s="1">
        <v>7922.07</v>
      </c>
      <c r="D1402" s="1">
        <v>7876.67</v>
      </c>
      <c r="E1402" s="3">
        <v>7884.4</v>
      </c>
      <c r="F1402" s="1">
        <v>4480400</v>
      </c>
    </row>
    <row r="1403" spans="1:6">
      <c r="A1403" s="2">
        <v>40429</v>
      </c>
      <c r="B1403" s="1">
        <v>7866.35</v>
      </c>
      <c r="C1403" s="1">
        <v>7898.76</v>
      </c>
      <c r="D1403" s="1">
        <v>7824.65</v>
      </c>
      <c r="E1403" s="3">
        <v>7851.31</v>
      </c>
      <c r="F1403" s="1">
        <v>4209200</v>
      </c>
    </row>
    <row r="1404" spans="1:6">
      <c r="A1404" s="2">
        <v>40430</v>
      </c>
      <c r="B1404" s="1">
        <v>7901.83</v>
      </c>
      <c r="C1404" s="1">
        <v>7903.47</v>
      </c>
      <c r="D1404" s="1">
        <v>7817.87</v>
      </c>
      <c r="E1404" s="3">
        <v>7835.54</v>
      </c>
      <c r="F1404" s="1">
        <v>4295800</v>
      </c>
    </row>
    <row r="1405" spans="1:6">
      <c r="A1405" s="2">
        <v>40431</v>
      </c>
      <c r="B1405" s="1">
        <v>7900.56</v>
      </c>
      <c r="C1405" s="1">
        <v>7911.66</v>
      </c>
      <c r="D1405" s="1">
        <v>7859.33</v>
      </c>
      <c r="E1405" s="3">
        <v>7890.11</v>
      </c>
      <c r="F1405" s="1">
        <v>4179400</v>
      </c>
    </row>
    <row r="1406" spans="1:6">
      <c r="A1406" s="2">
        <v>40434</v>
      </c>
      <c r="B1406" s="1">
        <v>7961.98</v>
      </c>
      <c r="C1406" s="1">
        <v>8091.3</v>
      </c>
      <c r="D1406" s="1">
        <v>7946.98</v>
      </c>
      <c r="E1406" s="3">
        <v>8091.3</v>
      </c>
      <c r="F1406" s="1">
        <v>5166600</v>
      </c>
    </row>
    <row r="1407" spans="1:6">
      <c r="A1407" s="2">
        <v>40435</v>
      </c>
      <c r="B1407" s="1">
        <v>8121.68</v>
      </c>
      <c r="C1407" s="1">
        <v>8132.6</v>
      </c>
      <c r="D1407" s="1">
        <v>8081.79</v>
      </c>
      <c r="E1407" s="3">
        <v>8132.6</v>
      </c>
      <c r="F1407" s="1">
        <v>4819400</v>
      </c>
    </row>
    <row r="1408" spans="1:6">
      <c r="A1408" s="2">
        <v>40436</v>
      </c>
      <c r="B1408" s="1">
        <v>8152.63</v>
      </c>
      <c r="C1408" s="1">
        <v>8163.82</v>
      </c>
      <c r="D1408" s="1">
        <v>8113.97</v>
      </c>
      <c r="E1408" s="3">
        <v>8163.82</v>
      </c>
      <c r="F1408" s="1">
        <v>4851200</v>
      </c>
    </row>
    <row r="1409" spans="1:6">
      <c r="A1409" s="2">
        <v>40437</v>
      </c>
      <c r="B1409" s="1">
        <v>8174.85</v>
      </c>
      <c r="C1409" s="1">
        <v>8182.8</v>
      </c>
      <c r="D1409" s="1">
        <v>8099.75</v>
      </c>
      <c r="E1409" s="3">
        <v>8099.75</v>
      </c>
      <c r="F1409" s="1">
        <v>4603800</v>
      </c>
    </row>
    <row r="1410" spans="1:6">
      <c r="A1410" s="2">
        <v>40438</v>
      </c>
      <c r="B1410" s="1">
        <v>8150.94</v>
      </c>
      <c r="C1410" s="1">
        <v>8197.82</v>
      </c>
      <c r="D1410" s="1">
        <v>8134.3</v>
      </c>
      <c r="E1410" s="3">
        <v>8158.33</v>
      </c>
      <c r="F1410" s="1">
        <v>5165000</v>
      </c>
    </row>
    <row r="1411" spans="1:6">
      <c r="A1411" s="2">
        <v>40441</v>
      </c>
      <c r="B1411" s="1">
        <v>8174.88</v>
      </c>
      <c r="C1411" s="1">
        <v>8195.74</v>
      </c>
      <c r="D1411" s="1">
        <v>8161.82</v>
      </c>
      <c r="E1411" s="3">
        <v>8186.96</v>
      </c>
      <c r="F1411" s="1">
        <v>4425800</v>
      </c>
    </row>
    <row r="1412" spans="1:6">
      <c r="A1412" s="2">
        <v>40442</v>
      </c>
      <c r="B1412" s="1">
        <v>8249.6</v>
      </c>
      <c r="C1412" s="1">
        <v>8251.42</v>
      </c>
      <c r="D1412" s="1">
        <v>8177.4</v>
      </c>
      <c r="E1412" s="3">
        <v>8196.4</v>
      </c>
      <c r="F1412" s="1">
        <v>4656400</v>
      </c>
    </row>
    <row r="1413" spans="1:6">
      <c r="A1413" s="2">
        <v>40444</v>
      </c>
      <c r="B1413" s="1">
        <v>8201.68</v>
      </c>
      <c r="C1413" s="1">
        <v>8223.2199999999993</v>
      </c>
      <c r="D1413" s="1">
        <v>8154.97</v>
      </c>
      <c r="E1413" s="3">
        <v>8202.5400000000009</v>
      </c>
      <c r="F1413" s="1">
        <v>4565800</v>
      </c>
    </row>
    <row r="1414" spans="1:6">
      <c r="A1414" s="2">
        <v>40445</v>
      </c>
      <c r="B1414" s="1">
        <v>8182.16</v>
      </c>
      <c r="C1414" s="1">
        <v>8190.96</v>
      </c>
      <c r="D1414" s="1">
        <v>8129.21</v>
      </c>
      <c r="E1414" s="3">
        <v>8166.62</v>
      </c>
      <c r="F1414" s="1">
        <v>4142800</v>
      </c>
    </row>
    <row r="1415" spans="1:6">
      <c r="A1415" s="2">
        <v>40448</v>
      </c>
      <c r="B1415" s="1">
        <v>8239.11</v>
      </c>
      <c r="C1415" s="1">
        <v>8240.86</v>
      </c>
      <c r="D1415" s="1">
        <v>8189.38</v>
      </c>
      <c r="E1415" s="3">
        <v>8191.54</v>
      </c>
      <c r="F1415" s="1">
        <v>4624400</v>
      </c>
    </row>
    <row r="1416" spans="1:6">
      <c r="A1416" s="2">
        <v>40449</v>
      </c>
      <c r="B1416" s="1">
        <v>8201.81</v>
      </c>
      <c r="C1416" s="1">
        <v>8211.42</v>
      </c>
      <c r="D1416" s="1">
        <v>8173.26</v>
      </c>
      <c r="E1416" s="3">
        <v>8189.44</v>
      </c>
      <c r="F1416" s="1">
        <v>3635400</v>
      </c>
    </row>
    <row r="1417" spans="1:6">
      <c r="A1417" s="2">
        <v>40450</v>
      </c>
      <c r="B1417" s="1">
        <v>8241.65</v>
      </c>
      <c r="C1417" s="1">
        <v>8286.93</v>
      </c>
      <c r="D1417" s="1">
        <v>8218.75</v>
      </c>
      <c r="E1417" s="3">
        <v>8240.89</v>
      </c>
      <c r="F1417" s="1">
        <v>5151200</v>
      </c>
    </row>
    <row r="1418" spans="1:6">
      <c r="A1418" s="2">
        <v>40451</v>
      </c>
      <c r="B1418" s="1">
        <v>8259.24</v>
      </c>
      <c r="C1418" s="1">
        <v>8267.5499999999993</v>
      </c>
      <c r="D1418" s="1">
        <v>8204.84</v>
      </c>
      <c r="E1418" s="3">
        <v>8237.7800000000007</v>
      </c>
      <c r="F1418" s="1">
        <v>4496600</v>
      </c>
    </row>
    <row r="1419" spans="1:6">
      <c r="A1419" s="2">
        <v>40452</v>
      </c>
      <c r="B1419" s="1">
        <v>8259.08</v>
      </c>
      <c r="C1419" s="1">
        <v>8260.2800000000007</v>
      </c>
      <c r="D1419" s="1">
        <v>8220.73</v>
      </c>
      <c r="E1419" s="3">
        <v>8244.18</v>
      </c>
      <c r="F1419" s="1">
        <v>3893000</v>
      </c>
    </row>
    <row r="1420" spans="1:6">
      <c r="A1420" s="2">
        <v>40455</v>
      </c>
      <c r="B1420" s="1">
        <v>8261.16</v>
      </c>
      <c r="C1420" s="1">
        <v>8300.0400000000009</v>
      </c>
      <c r="D1420" s="1">
        <v>8240.67</v>
      </c>
      <c r="E1420" s="3">
        <v>8246.1</v>
      </c>
      <c r="F1420" s="1">
        <v>5026400</v>
      </c>
    </row>
    <row r="1421" spans="1:6">
      <c r="A1421" s="2">
        <v>40456</v>
      </c>
      <c r="B1421" s="1">
        <v>8217.86</v>
      </c>
      <c r="C1421" s="1">
        <v>8217.86</v>
      </c>
      <c r="D1421" s="1">
        <v>8155.3</v>
      </c>
      <c r="E1421" s="3">
        <v>8200.43</v>
      </c>
      <c r="F1421" s="1">
        <v>4383800</v>
      </c>
    </row>
    <row r="1422" spans="1:6">
      <c r="A1422" s="2">
        <v>40457</v>
      </c>
      <c r="B1422" s="1">
        <v>8296.23</v>
      </c>
      <c r="C1422" s="1">
        <v>8301.39</v>
      </c>
      <c r="D1422" s="1">
        <v>8267.61</v>
      </c>
      <c r="E1422" s="3">
        <v>8284.0300000000007</v>
      </c>
      <c r="F1422" s="1">
        <v>5662000</v>
      </c>
    </row>
    <row r="1423" spans="1:6">
      <c r="A1423" s="2">
        <v>40458</v>
      </c>
      <c r="B1423" s="1">
        <v>8304.91</v>
      </c>
      <c r="C1423" s="1">
        <v>8310.7999999999993</v>
      </c>
      <c r="D1423" s="1">
        <v>8270.31</v>
      </c>
      <c r="E1423" s="3">
        <v>8283.92</v>
      </c>
      <c r="F1423" s="1">
        <v>5161200</v>
      </c>
    </row>
    <row r="1424" spans="1:6">
      <c r="A1424" s="2">
        <v>40459</v>
      </c>
      <c r="B1424" s="1">
        <v>8306.32</v>
      </c>
      <c r="C1424" s="1">
        <v>8309.91</v>
      </c>
      <c r="D1424" s="1">
        <v>8232.02</v>
      </c>
      <c r="E1424" s="3">
        <v>8244.19</v>
      </c>
      <c r="F1424" s="1">
        <v>4236200</v>
      </c>
    </row>
    <row r="1425" spans="1:6">
      <c r="A1425" s="2">
        <v>40462</v>
      </c>
      <c r="B1425" s="1">
        <v>8277.7800000000007</v>
      </c>
      <c r="C1425" s="1">
        <v>8277.7800000000007</v>
      </c>
      <c r="D1425" s="1">
        <v>8165.2</v>
      </c>
      <c r="E1425" s="3">
        <v>8176.76</v>
      </c>
      <c r="F1425" s="1">
        <v>3743400</v>
      </c>
    </row>
    <row r="1426" spans="1:6">
      <c r="A1426" s="2">
        <v>40463</v>
      </c>
      <c r="B1426" s="1">
        <v>8176.7</v>
      </c>
      <c r="C1426" s="1">
        <v>8180.39</v>
      </c>
      <c r="D1426" s="1">
        <v>8058.59</v>
      </c>
      <c r="E1426" s="3">
        <v>8090.22</v>
      </c>
      <c r="F1426" s="1">
        <v>4025600</v>
      </c>
    </row>
    <row r="1427" spans="1:6">
      <c r="A1427" s="2">
        <v>40464</v>
      </c>
      <c r="B1427" s="1">
        <v>8116.69</v>
      </c>
      <c r="C1427" s="1">
        <v>8143.19</v>
      </c>
      <c r="D1427" s="1">
        <v>8067.87</v>
      </c>
      <c r="E1427" s="3">
        <v>8106.66</v>
      </c>
      <c r="F1427" s="1">
        <v>3692600</v>
      </c>
    </row>
    <row r="1428" spans="1:6">
      <c r="A1428" s="2">
        <v>40465</v>
      </c>
      <c r="B1428" s="1">
        <v>8181.51</v>
      </c>
      <c r="C1428" s="1">
        <v>8252.2000000000007</v>
      </c>
      <c r="D1428" s="1">
        <v>8178.34</v>
      </c>
      <c r="E1428" s="3">
        <v>8215.4500000000007</v>
      </c>
      <c r="F1428" s="1">
        <v>4537400</v>
      </c>
    </row>
    <row r="1429" spans="1:6">
      <c r="A1429" s="2">
        <v>40466</v>
      </c>
      <c r="B1429" s="1">
        <v>8216.8700000000008</v>
      </c>
      <c r="C1429" s="1">
        <v>8242.77</v>
      </c>
      <c r="D1429" s="1">
        <v>8184.29</v>
      </c>
      <c r="E1429" s="3">
        <v>8205.2999999999993</v>
      </c>
      <c r="F1429" s="1">
        <v>4791800</v>
      </c>
    </row>
    <row r="1430" spans="1:6">
      <c r="A1430" s="2">
        <v>40469</v>
      </c>
      <c r="B1430" s="1">
        <v>8209.39</v>
      </c>
      <c r="C1430" s="1">
        <v>8209.39</v>
      </c>
      <c r="D1430" s="1">
        <v>8057.12</v>
      </c>
      <c r="E1430" s="3">
        <v>8060.54</v>
      </c>
      <c r="F1430" s="1">
        <v>4396000</v>
      </c>
    </row>
    <row r="1431" spans="1:6">
      <c r="A1431" s="2">
        <v>40470</v>
      </c>
      <c r="B1431" s="1">
        <v>8044.9</v>
      </c>
      <c r="C1431" s="1">
        <v>8074.68</v>
      </c>
      <c r="D1431" s="1">
        <v>8018.31</v>
      </c>
      <c r="E1431" s="3">
        <v>8046.23</v>
      </c>
      <c r="F1431" s="1">
        <v>3176000</v>
      </c>
    </row>
    <row r="1432" spans="1:6">
      <c r="A1432" s="2">
        <v>40471</v>
      </c>
      <c r="B1432" s="1">
        <v>7993.43</v>
      </c>
      <c r="C1432" s="1">
        <v>8131.19</v>
      </c>
      <c r="D1432" s="1">
        <v>7992.81</v>
      </c>
      <c r="E1432" s="3">
        <v>8124.62</v>
      </c>
      <c r="F1432" s="1">
        <v>3668000</v>
      </c>
    </row>
    <row r="1433" spans="1:6">
      <c r="A1433" s="2">
        <v>40472</v>
      </c>
      <c r="B1433" s="1">
        <v>8135.57</v>
      </c>
      <c r="C1433" s="1">
        <v>8171.49</v>
      </c>
      <c r="D1433" s="1">
        <v>8109.79</v>
      </c>
      <c r="E1433" s="3">
        <v>8131.23</v>
      </c>
      <c r="F1433" s="1">
        <v>4223400</v>
      </c>
    </row>
    <row r="1434" spans="1:6">
      <c r="A1434" s="2">
        <v>40473</v>
      </c>
      <c r="B1434" s="1">
        <v>8169.51</v>
      </c>
      <c r="C1434" s="1">
        <v>8174.03</v>
      </c>
      <c r="D1434" s="1">
        <v>8148.26</v>
      </c>
      <c r="E1434" s="3">
        <v>8168.06</v>
      </c>
      <c r="F1434" s="1">
        <v>3782000</v>
      </c>
    </row>
    <row r="1435" spans="1:6">
      <c r="A1435" s="2">
        <v>40476</v>
      </c>
      <c r="B1435" s="1">
        <v>8204.01</v>
      </c>
      <c r="C1435" s="1">
        <v>8307.59</v>
      </c>
      <c r="D1435" s="1">
        <v>8199.49</v>
      </c>
      <c r="E1435" s="3">
        <v>8306.98</v>
      </c>
      <c r="F1435" s="1">
        <v>3311400</v>
      </c>
    </row>
    <row r="1436" spans="1:6">
      <c r="A1436" s="2">
        <v>40477</v>
      </c>
      <c r="B1436" s="1">
        <v>8336.9500000000007</v>
      </c>
      <c r="C1436" s="1">
        <v>8353.86</v>
      </c>
      <c r="D1436" s="1">
        <v>8319.01</v>
      </c>
      <c r="E1436" s="3">
        <v>8343.23</v>
      </c>
      <c r="F1436" s="1">
        <v>3161600</v>
      </c>
    </row>
    <row r="1437" spans="1:6">
      <c r="A1437" s="2">
        <v>40478</v>
      </c>
      <c r="B1437" s="1">
        <v>8369.75</v>
      </c>
      <c r="C1437" s="1">
        <v>8372.52</v>
      </c>
      <c r="D1437" s="1">
        <v>8285.73</v>
      </c>
      <c r="E1437" s="3">
        <v>8291.0400000000009</v>
      </c>
      <c r="F1437" s="1">
        <v>2910600</v>
      </c>
    </row>
    <row r="1438" spans="1:6">
      <c r="A1438" s="2">
        <v>40479</v>
      </c>
      <c r="B1438" s="1">
        <v>8315</v>
      </c>
      <c r="C1438" s="1">
        <v>8386.2900000000009</v>
      </c>
      <c r="D1438" s="1">
        <v>8281.52</v>
      </c>
      <c r="E1438" s="3">
        <v>8354.0499999999993</v>
      </c>
      <c r="F1438" s="1">
        <v>3361800</v>
      </c>
    </row>
    <row r="1439" spans="1:6">
      <c r="A1439" s="2">
        <v>40480</v>
      </c>
      <c r="B1439" s="1">
        <v>8348.39</v>
      </c>
      <c r="C1439" s="1">
        <v>8348.39</v>
      </c>
      <c r="D1439" s="1">
        <v>8278.7199999999993</v>
      </c>
      <c r="E1439" s="3">
        <v>8287.09</v>
      </c>
      <c r="F1439" s="1">
        <v>2584200</v>
      </c>
    </row>
    <row r="1440" spans="1:6">
      <c r="A1440" s="2">
        <v>40483</v>
      </c>
      <c r="B1440" s="1">
        <v>8343.52</v>
      </c>
      <c r="C1440" s="1">
        <v>8407.91</v>
      </c>
      <c r="D1440" s="1">
        <v>8343.52</v>
      </c>
      <c r="E1440" s="3">
        <v>8379.75</v>
      </c>
      <c r="F1440" s="1">
        <v>3116000</v>
      </c>
    </row>
    <row r="1441" spans="1:6">
      <c r="A1441" s="2">
        <v>40484</v>
      </c>
      <c r="B1441" s="1">
        <v>8380.06</v>
      </c>
      <c r="C1441" s="1">
        <v>8390.1</v>
      </c>
      <c r="D1441" s="1">
        <v>8344.76</v>
      </c>
      <c r="E1441" s="3">
        <v>8344.76</v>
      </c>
      <c r="F1441" s="1">
        <v>3004600</v>
      </c>
    </row>
    <row r="1442" spans="1:6">
      <c r="A1442" s="2">
        <v>40485</v>
      </c>
      <c r="B1442" s="1">
        <v>8394.5300000000007</v>
      </c>
      <c r="C1442" s="1">
        <v>8398.2999999999993</v>
      </c>
      <c r="D1442" s="1">
        <v>8273.4699999999993</v>
      </c>
      <c r="E1442" s="3">
        <v>8293.9</v>
      </c>
      <c r="F1442" s="1">
        <v>3449400</v>
      </c>
    </row>
    <row r="1443" spans="1:6">
      <c r="A1443" s="2">
        <v>40486</v>
      </c>
      <c r="B1443" s="1">
        <v>8321.36</v>
      </c>
      <c r="C1443" s="1">
        <v>8367.19</v>
      </c>
      <c r="D1443" s="1">
        <v>8317.86</v>
      </c>
      <c r="E1443" s="3">
        <v>8357.85</v>
      </c>
      <c r="F1443" s="1">
        <v>2705000</v>
      </c>
    </row>
    <row r="1444" spans="1:6">
      <c r="A1444" s="2">
        <v>40487</v>
      </c>
      <c r="B1444" s="1">
        <v>8444.81</v>
      </c>
      <c r="C1444" s="1">
        <v>8458.4699999999993</v>
      </c>
      <c r="D1444" s="1">
        <v>8420.65</v>
      </c>
      <c r="E1444" s="3">
        <v>8449.34</v>
      </c>
      <c r="F1444" s="1">
        <v>4335000</v>
      </c>
    </row>
    <row r="1445" spans="1:6">
      <c r="A1445" s="2">
        <v>40490</v>
      </c>
      <c r="B1445" s="1">
        <v>8473.66</v>
      </c>
      <c r="C1445" s="1">
        <v>8473.66</v>
      </c>
      <c r="D1445" s="1">
        <v>8416.2000000000007</v>
      </c>
      <c r="E1445" s="3">
        <v>8430.58</v>
      </c>
      <c r="F1445" s="1">
        <v>3672600</v>
      </c>
    </row>
    <row r="1446" spans="1:6">
      <c r="A1446" s="2">
        <v>40491</v>
      </c>
      <c r="B1446" s="1">
        <v>8430.7000000000007</v>
      </c>
      <c r="C1446" s="1">
        <v>8457.41</v>
      </c>
      <c r="D1446" s="1">
        <v>8421.1299999999992</v>
      </c>
      <c r="E1446" s="3">
        <v>8445.6299999999992</v>
      </c>
      <c r="F1446" s="1">
        <v>2671000</v>
      </c>
    </row>
    <row r="1447" spans="1:6">
      <c r="A1447" s="2">
        <v>40492</v>
      </c>
      <c r="B1447" s="1">
        <v>8457.09</v>
      </c>
      <c r="C1447" s="1">
        <v>8471.57</v>
      </c>
      <c r="D1447" s="1">
        <v>8425.24</v>
      </c>
      <c r="E1447" s="3">
        <v>8450.6299999999992</v>
      </c>
      <c r="F1447" s="1">
        <v>3159000</v>
      </c>
    </row>
    <row r="1448" spans="1:6">
      <c r="A1448" s="2">
        <v>40493</v>
      </c>
      <c r="B1448" s="1">
        <v>8437.02</v>
      </c>
      <c r="C1448" s="1">
        <v>8458.49</v>
      </c>
      <c r="D1448" s="1">
        <v>8422.9599999999991</v>
      </c>
      <c r="E1448" s="3">
        <v>8436.9500000000007</v>
      </c>
      <c r="F1448" s="1">
        <v>2604800</v>
      </c>
    </row>
    <row r="1449" spans="1:6">
      <c r="A1449" s="2">
        <v>40494</v>
      </c>
      <c r="B1449" s="1">
        <v>8404.43</v>
      </c>
      <c r="C1449" s="1">
        <v>8416.35</v>
      </c>
      <c r="D1449" s="1">
        <v>8309.36</v>
      </c>
      <c r="E1449" s="3">
        <v>8316.0499999999993</v>
      </c>
      <c r="F1449" s="1">
        <v>2601400</v>
      </c>
    </row>
    <row r="1450" spans="1:6">
      <c r="A1450" s="2">
        <v>40497</v>
      </c>
      <c r="B1450" s="1">
        <v>8287.83</v>
      </c>
      <c r="C1450" s="1">
        <v>8301.35</v>
      </c>
      <c r="D1450" s="1">
        <v>8226.7099999999991</v>
      </c>
      <c r="E1450" s="3">
        <v>8240.65</v>
      </c>
      <c r="F1450" s="1">
        <v>2337600</v>
      </c>
    </row>
    <row r="1451" spans="1:6">
      <c r="A1451" s="2">
        <v>40498</v>
      </c>
      <c r="B1451" s="1">
        <v>8234.2199999999993</v>
      </c>
      <c r="C1451" s="1">
        <v>8324.51</v>
      </c>
      <c r="D1451" s="1">
        <v>8234.2199999999993</v>
      </c>
      <c r="E1451" s="3">
        <v>8312.2099999999991</v>
      </c>
      <c r="F1451" s="1">
        <v>2166200</v>
      </c>
    </row>
    <row r="1452" spans="1:6">
      <c r="A1452" s="2">
        <v>40499</v>
      </c>
      <c r="B1452" s="1">
        <v>8249.9500000000007</v>
      </c>
      <c r="C1452" s="1">
        <v>8284.51</v>
      </c>
      <c r="D1452" s="1">
        <v>8228.24</v>
      </c>
      <c r="E1452" s="3">
        <v>8255.5400000000009</v>
      </c>
      <c r="F1452" s="1">
        <v>2068400</v>
      </c>
    </row>
    <row r="1453" spans="1:6">
      <c r="A1453" s="2">
        <v>40500</v>
      </c>
      <c r="B1453" s="1">
        <v>8285.5499999999993</v>
      </c>
      <c r="C1453" s="1">
        <v>8286.92</v>
      </c>
      <c r="D1453" s="1">
        <v>8238.77</v>
      </c>
      <c r="E1453" s="3">
        <v>8283.4500000000007</v>
      </c>
      <c r="F1453" s="1">
        <v>1930800</v>
      </c>
    </row>
    <row r="1454" spans="1:6">
      <c r="A1454" s="2">
        <v>40501</v>
      </c>
      <c r="B1454" s="1">
        <v>8344.66</v>
      </c>
      <c r="C1454" s="1">
        <v>8372.16</v>
      </c>
      <c r="D1454" s="1">
        <v>8283.27</v>
      </c>
      <c r="E1454" s="3">
        <v>8306.1200000000008</v>
      </c>
      <c r="F1454" s="1">
        <v>2313000</v>
      </c>
    </row>
    <row r="1455" spans="1:6">
      <c r="A1455" s="2">
        <v>40504</v>
      </c>
      <c r="B1455" s="1">
        <v>8343.32</v>
      </c>
      <c r="C1455" s="1">
        <v>8391.25</v>
      </c>
      <c r="D1455" s="1">
        <v>8334.42</v>
      </c>
      <c r="E1455" s="3">
        <v>8374.91</v>
      </c>
      <c r="F1455" s="1">
        <v>2074600</v>
      </c>
    </row>
    <row r="1456" spans="1:6">
      <c r="A1456" s="2">
        <v>40505</v>
      </c>
      <c r="B1456" s="1">
        <v>8388.26</v>
      </c>
      <c r="C1456" s="1">
        <v>8396.49</v>
      </c>
      <c r="D1456" s="1">
        <v>8323.81</v>
      </c>
      <c r="E1456" s="3">
        <v>8328.6299999999992</v>
      </c>
      <c r="F1456" s="1">
        <v>2436200</v>
      </c>
    </row>
    <row r="1457" spans="1:6">
      <c r="A1457" s="2">
        <v>40506</v>
      </c>
      <c r="B1457" s="1">
        <v>8277.33</v>
      </c>
      <c r="C1457" s="1">
        <v>8337.19</v>
      </c>
      <c r="D1457" s="1">
        <v>8277.33</v>
      </c>
      <c r="E1457" s="3">
        <v>8297.0499999999993</v>
      </c>
      <c r="F1457" s="1">
        <v>2207400</v>
      </c>
    </row>
    <row r="1458" spans="1:6">
      <c r="A1458" s="2">
        <v>40507</v>
      </c>
      <c r="B1458" s="1">
        <v>8337.9</v>
      </c>
      <c r="C1458" s="1">
        <v>8355.39</v>
      </c>
      <c r="D1458" s="1">
        <v>8330.92</v>
      </c>
      <c r="E1458" s="3">
        <v>8349.99</v>
      </c>
      <c r="F1458" s="1">
        <v>2383800</v>
      </c>
    </row>
    <row r="1459" spans="1:6">
      <c r="A1459" s="2">
        <v>40508</v>
      </c>
      <c r="B1459" s="1">
        <v>8371.27</v>
      </c>
      <c r="C1459" s="1">
        <v>8371.27</v>
      </c>
      <c r="D1459" s="1">
        <v>8312.15</v>
      </c>
      <c r="E1459" s="3">
        <v>8312.15</v>
      </c>
      <c r="F1459" s="1">
        <v>2532000</v>
      </c>
    </row>
    <row r="1460" spans="1:6">
      <c r="A1460" s="2">
        <v>40511</v>
      </c>
      <c r="B1460" s="1">
        <v>8399.77</v>
      </c>
      <c r="C1460" s="1">
        <v>8401.42</v>
      </c>
      <c r="D1460" s="1">
        <v>8331.51</v>
      </c>
      <c r="E1460" s="3">
        <v>8367.17</v>
      </c>
      <c r="F1460" s="1">
        <v>2661400</v>
      </c>
    </row>
    <row r="1461" spans="1:6">
      <c r="A1461" s="2">
        <v>40512</v>
      </c>
      <c r="B1461" s="1">
        <v>8384.64</v>
      </c>
      <c r="C1461" s="1">
        <v>8443.3799999999992</v>
      </c>
      <c r="D1461" s="1">
        <v>8363.9699999999993</v>
      </c>
      <c r="E1461" s="3">
        <v>8372.48</v>
      </c>
      <c r="F1461" s="1">
        <v>3732200</v>
      </c>
    </row>
    <row r="1462" spans="1:6">
      <c r="A1462" s="2">
        <v>40513</v>
      </c>
      <c r="B1462" s="1">
        <v>8430.6</v>
      </c>
      <c r="C1462" s="1">
        <v>8520.11</v>
      </c>
      <c r="D1462" s="1">
        <v>8428.64</v>
      </c>
      <c r="E1462" s="3">
        <v>8520.11</v>
      </c>
      <c r="F1462" s="1">
        <v>4202800</v>
      </c>
    </row>
    <row r="1463" spans="1:6">
      <c r="A1463" s="2">
        <v>40514</v>
      </c>
      <c r="B1463" s="1">
        <v>8598.01</v>
      </c>
      <c r="C1463" s="1">
        <v>8641.1299999999992</v>
      </c>
      <c r="D1463" s="1">
        <v>8572.65</v>
      </c>
      <c r="E1463" s="3">
        <v>8585.77</v>
      </c>
      <c r="F1463" s="1">
        <v>4731800</v>
      </c>
    </row>
    <row r="1464" spans="1:6">
      <c r="A1464" s="2">
        <v>40515</v>
      </c>
      <c r="B1464" s="1">
        <v>8630.8799999999992</v>
      </c>
      <c r="C1464" s="1">
        <v>8659.6200000000008</v>
      </c>
      <c r="D1464" s="1">
        <v>8618.26</v>
      </c>
      <c r="E1464" s="3">
        <v>8624.01</v>
      </c>
      <c r="F1464" s="1">
        <v>3710800</v>
      </c>
    </row>
    <row r="1465" spans="1:6">
      <c r="A1465" s="2">
        <v>40518</v>
      </c>
      <c r="B1465" s="1">
        <v>8675.4500000000007</v>
      </c>
      <c r="C1465" s="1">
        <v>8718.5300000000007</v>
      </c>
      <c r="D1465" s="1">
        <v>8675.4500000000007</v>
      </c>
      <c r="E1465" s="3">
        <v>8702.23</v>
      </c>
      <c r="F1465" s="1">
        <v>3623200</v>
      </c>
    </row>
    <row r="1466" spans="1:6">
      <c r="A1466" s="2">
        <v>40519</v>
      </c>
      <c r="B1466" s="1">
        <v>8716</v>
      </c>
      <c r="C1466" s="1">
        <v>8716</v>
      </c>
      <c r="D1466" s="1">
        <v>8654.49</v>
      </c>
      <c r="E1466" s="3">
        <v>8704.39</v>
      </c>
      <c r="F1466" s="1">
        <v>3208800</v>
      </c>
    </row>
    <row r="1467" spans="1:6">
      <c r="A1467" s="2">
        <v>40520</v>
      </c>
      <c r="B1467" s="1">
        <v>8727.8799999999992</v>
      </c>
      <c r="C1467" s="1">
        <v>8729.7000000000007</v>
      </c>
      <c r="D1467" s="1">
        <v>8683.98</v>
      </c>
      <c r="E1467" s="3">
        <v>8703.7900000000009</v>
      </c>
      <c r="F1467" s="1">
        <v>3183800</v>
      </c>
    </row>
    <row r="1468" spans="1:6">
      <c r="A1468" s="2">
        <v>40521</v>
      </c>
      <c r="B1468" s="1">
        <v>8769.34</v>
      </c>
      <c r="C1468" s="1">
        <v>8782.82</v>
      </c>
      <c r="D1468" s="1">
        <v>8736.77</v>
      </c>
      <c r="E1468" s="3">
        <v>8753.84</v>
      </c>
      <c r="F1468" s="1">
        <v>4398800</v>
      </c>
    </row>
    <row r="1469" spans="1:6">
      <c r="A1469" s="2">
        <v>40522</v>
      </c>
      <c r="B1469" s="1">
        <v>8740.7099999999991</v>
      </c>
      <c r="C1469" s="1">
        <v>8744.67</v>
      </c>
      <c r="D1469" s="1">
        <v>8684.0499999999993</v>
      </c>
      <c r="E1469" s="3">
        <v>8718.83</v>
      </c>
      <c r="F1469" s="1">
        <v>3880200</v>
      </c>
    </row>
    <row r="1470" spans="1:6">
      <c r="A1470" s="2">
        <v>40525</v>
      </c>
      <c r="B1470" s="1">
        <v>8748.64</v>
      </c>
      <c r="C1470" s="1">
        <v>8764.51</v>
      </c>
      <c r="D1470" s="1">
        <v>8736.5400000000009</v>
      </c>
      <c r="E1470" s="3">
        <v>8736.59</v>
      </c>
      <c r="F1470" s="1">
        <v>3237800</v>
      </c>
    </row>
    <row r="1471" spans="1:6">
      <c r="A1471" s="2">
        <v>40526</v>
      </c>
      <c r="B1471" s="1">
        <v>8771.9</v>
      </c>
      <c r="C1471" s="1">
        <v>8789.25</v>
      </c>
      <c r="D1471" s="1">
        <v>8717.5300000000007</v>
      </c>
      <c r="E1471" s="3">
        <v>8740.43</v>
      </c>
      <c r="F1471" s="1">
        <v>3574600</v>
      </c>
    </row>
    <row r="1472" spans="1:6">
      <c r="A1472" s="2">
        <v>40527</v>
      </c>
      <c r="B1472" s="1">
        <v>8755.32</v>
      </c>
      <c r="C1472" s="1">
        <v>8756.7099999999991</v>
      </c>
      <c r="D1472" s="1">
        <v>8698.41</v>
      </c>
      <c r="E1472" s="3">
        <v>8756.7099999999991</v>
      </c>
      <c r="F1472" s="1">
        <v>3622600</v>
      </c>
    </row>
    <row r="1473" spans="1:6">
      <c r="A1473" s="2">
        <v>40528</v>
      </c>
      <c r="B1473" s="1">
        <v>8770.74</v>
      </c>
      <c r="C1473" s="1">
        <v>8797.98</v>
      </c>
      <c r="D1473" s="1">
        <v>8767.44</v>
      </c>
      <c r="E1473" s="3">
        <v>8782.2000000000007</v>
      </c>
      <c r="F1473" s="1">
        <v>3719600</v>
      </c>
    </row>
    <row r="1474" spans="1:6">
      <c r="A1474" s="2">
        <v>40529</v>
      </c>
      <c r="B1474" s="1">
        <v>8828.0499999999993</v>
      </c>
      <c r="C1474" s="1">
        <v>8860.3799999999992</v>
      </c>
      <c r="D1474" s="1">
        <v>8817.51</v>
      </c>
      <c r="E1474" s="3">
        <v>8817.9</v>
      </c>
      <c r="F1474" s="1">
        <v>4232000</v>
      </c>
    </row>
    <row r="1475" spans="1:6">
      <c r="A1475" s="2">
        <v>40532</v>
      </c>
      <c r="B1475" s="1">
        <v>8861.09</v>
      </c>
      <c r="C1475" s="1">
        <v>8861.09</v>
      </c>
      <c r="D1475" s="1">
        <v>8740.2999999999993</v>
      </c>
      <c r="E1475" s="3">
        <v>8768.7199999999993</v>
      </c>
      <c r="F1475" s="1">
        <v>3183800</v>
      </c>
    </row>
    <row r="1476" spans="1:6">
      <c r="A1476" s="2">
        <v>40533</v>
      </c>
      <c r="B1476" s="1">
        <v>8802.86</v>
      </c>
      <c r="C1476" s="1">
        <v>8827.7900000000009</v>
      </c>
      <c r="D1476" s="1">
        <v>8772.59</v>
      </c>
      <c r="E1476" s="3">
        <v>8827.7900000000009</v>
      </c>
      <c r="F1476" s="1">
        <v>2753200</v>
      </c>
    </row>
    <row r="1477" spans="1:6">
      <c r="A1477" s="2">
        <v>40534</v>
      </c>
      <c r="B1477" s="1">
        <v>8847.27</v>
      </c>
      <c r="C1477" s="1">
        <v>8865.42</v>
      </c>
      <c r="D1477" s="1">
        <v>8834.32</v>
      </c>
      <c r="E1477" s="3">
        <v>8860.49</v>
      </c>
      <c r="F1477" s="1">
        <v>3464800</v>
      </c>
    </row>
    <row r="1478" spans="1:6">
      <c r="A1478" s="2">
        <v>40535</v>
      </c>
      <c r="B1478" s="1">
        <v>8891.41</v>
      </c>
      <c r="C1478" s="1">
        <v>8914.34</v>
      </c>
      <c r="D1478" s="1">
        <v>8874.8700000000008</v>
      </c>
      <c r="E1478" s="3">
        <v>8898.8700000000008</v>
      </c>
      <c r="F1478" s="1">
        <v>4002600</v>
      </c>
    </row>
    <row r="1479" spans="1:6">
      <c r="A1479" s="2">
        <v>40536</v>
      </c>
      <c r="B1479" s="1">
        <v>8910.61</v>
      </c>
      <c r="C1479" s="1">
        <v>8911.41</v>
      </c>
      <c r="D1479" s="1">
        <v>8861.01</v>
      </c>
      <c r="E1479" s="3">
        <v>8861.1</v>
      </c>
      <c r="F1479" s="1">
        <v>3616800</v>
      </c>
    </row>
    <row r="1480" spans="1:6">
      <c r="A1480" s="2">
        <v>40539</v>
      </c>
      <c r="B1480" s="1">
        <v>8866.67</v>
      </c>
      <c r="C1480" s="1">
        <v>8908.42</v>
      </c>
      <c r="D1480" s="1">
        <v>8828.67</v>
      </c>
      <c r="E1480" s="3">
        <v>8892.31</v>
      </c>
      <c r="F1480" s="1">
        <v>3458600</v>
      </c>
    </row>
    <row r="1481" spans="1:6">
      <c r="A1481" s="2">
        <v>40540</v>
      </c>
      <c r="B1481" s="1">
        <v>8919.26</v>
      </c>
      <c r="C1481" s="1">
        <v>8919.26</v>
      </c>
      <c r="D1481" s="1">
        <v>8839.83</v>
      </c>
      <c r="E1481" s="3">
        <v>8870.76</v>
      </c>
      <c r="F1481" s="1">
        <v>3177200</v>
      </c>
    </row>
    <row r="1482" spans="1:6">
      <c r="A1482" s="2">
        <v>40541</v>
      </c>
      <c r="B1482" s="1">
        <v>8878.1</v>
      </c>
      <c r="C1482" s="1">
        <v>8893.14</v>
      </c>
      <c r="D1482" s="1">
        <v>8844.67</v>
      </c>
      <c r="E1482" s="3">
        <v>8866.35</v>
      </c>
      <c r="F1482" s="1">
        <v>4915200</v>
      </c>
    </row>
    <row r="1483" spans="1:6">
      <c r="A1483" s="2">
        <v>40542</v>
      </c>
      <c r="B1483" s="1">
        <v>8883.2099999999991</v>
      </c>
      <c r="C1483" s="1">
        <v>8920.7900000000009</v>
      </c>
      <c r="D1483" s="1">
        <v>8871.07</v>
      </c>
      <c r="E1483" s="3">
        <v>8907.91</v>
      </c>
      <c r="F1483" s="1">
        <v>3983000</v>
      </c>
    </row>
    <row r="1484" spans="1:6">
      <c r="A1484" s="2">
        <v>40543</v>
      </c>
      <c r="B1484" s="1">
        <v>8936.11</v>
      </c>
      <c r="C1484" s="1">
        <v>8990.3799999999992</v>
      </c>
      <c r="D1484" s="1">
        <v>8932.64</v>
      </c>
      <c r="E1484" s="3">
        <v>8972.5</v>
      </c>
      <c r="F1484" s="1">
        <v>4857800</v>
      </c>
    </row>
    <row r="1485" spans="1:6">
      <c r="A1485" s="2">
        <v>40546</v>
      </c>
      <c r="B1485" s="1">
        <v>9039.6299999999992</v>
      </c>
      <c r="C1485" s="1">
        <v>9041.32</v>
      </c>
      <c r="D1485" s="1">
        <v>8994.5</v>
      </c>
      <c r="E1485" s="3">
        <v>9025.2999999999993</v>
      </c>
      <c r="F1485" s="1">
        <v>5067400</v>
      </c>
    </row>
    <row r="1486" spans="1:6">
      <c r="A1486" s="2">
        <v>40547</v>
      </c>
      <c r="B1486" s="1">
        <v>9045.11</v>
      </c>
      <c r="C1486" s="1">
        <v>9046.18</v>
      </c>
      <c r="D1486" s="1">
        <v>8988.58</v>
      </c>
      <c r="E1486" s="3">
        <v>8997.19</v>
      </c>
      <c r="F1486" s="1">
        <v>5270400</v>
      </c>
    </row>
    <row r="1487" spans="1:6">
      <c r="A1487" s="2">
        <v>40548</v>
      </c>
      <c r="B1487" s="1">
        <v>9014.32</v>
      </c>
      <c r="C1487" s="1">
        <v>9027.16</v>
      </c>
      <c r="D1487" s="1">
        <v>8812.36</v>
      </c>
      <c r="E1487" s="3">
        <v>8846.31</v>
      </c>
      <c r="F1487" s="1">
        <v>5796600</v>
      </c>
    </row>
    <row r="1488" spans="1:6">
      <c r="A1488" s="2">
        <v>40549</v>
      </c>
      <c r="B1488" s="1">
        <v>8866.23</v>
      </c>
      <c r="C1488" s="1">
        <v>8883.2099999999991</v>
      </c>
      <c r="D1488" s="1">
        <v>8813.6299999999992</v>
      </c>
      <c r="E1488" s="3">
        <v>8883.2099999999991</v>
      </c>
      <c r="F1488" s="1">
        <v>4362200</v>
      </c>
    </row>
    <row r="1489" spans="1:6">
      <c r="A1489" s="2">
        <v>40550</v>
      </c>
      <c r="B1489" s="1">
        <v>8905.25</v>
      </c>
      <c r="C1489" s="1">
        <v>8907.11</v>
      </c>
      <c r="D1489" s="1">
        <v>8738.93</v>
      </c>
      <c r="E1489" s="3">
        <v>8782.7199999999993</v>
      </c>
      <c r="F1489" s="1">
        <v>4500800</v>
      </c>
    </row>
    <row r="1490" spans="1:6">
      <c r="A1490" s="2">
        <v>40553</v>
      </c>
      <c r="B1490" s="1">
        <v>8798.0499999999993</v>
      </c>
      <c r="C1490" s="1">
        <v>8817.8799999999992</v>
      </c>
      <c r="D1490" s="1">
        <v>8762.5</v>
      </c>
      <c r="E1490" s="3">
        <v>8817.8799999999992</v>
      </c>
      <c r="F1490" s="1">
        <v>2885200</v>
      </c>
    </row>
    <row r="1491" spans="1:6">
      <c r="A1491" s="2">
        <v>40554</v>
      </c>
      <c r="B1491" s="1">
        <v>8810.77</v>
      </c>
      <c r="C1491" s="1">
        <v>8935.27</v>
      </c>
      <c r="D1491" s="1">
        <v>8794.77</v>
      </c>
      <c r="E1491" s="3">
        <v>8931.36</v>
      </c>
      <c r="F1491" s="1">
        <v>3573400</v>
      </c>
    </row>
    <row r="1492" spans="1:6">
      <c r="A1492" s="2">
        <v>40555</v>
      </c>
      <c r="B1492" s="1">
        <v>8992.01</v>
      </c>
      <c r="C1492" s="1">
        <v>9000.7800000000007</v>
      </c>
      <c r="D1492" s="1">
        <v>8955.4699999999993</v>
      </c>
      <c r="E1492" s="3">
        <v>8965</v>
      </c>
      <c r="F1492" s="1">
        <v>3922200</v>
      </c>
    </row>
    <row r="1493" spans="1:6">
      <c r="A1493" s="2">
        <v>40556</v>
      </c>
      <c r="B1493" s="1">
        <v>9034.17</v>
      </c>
      <c r="C1493" s="1">
        <v>9034.17</v>
      </c>
      <c r="D1493" s="1">
        <v>8948.23</v>
      </c>
      <c r="E1493" s="3">
        <v>8975.58</v>
      </c>
      <c r="F1493" s="1">
        <v>3951000</v>
      </c>
    </row>
    <row r="1494" spans="1:6">
      <c r="A1494" s="2">
        <v>40557</v>
      </c>
      <c r="B1494" s="1">
        <v>8985.34</v>
      </c>
      <c r="C1494" s="1">
        <v>8998.14</v>
      </c>
      <c r="D1494" s="1">
        <v>8937.5</v>
      </c>
      <c r="E1494" s="3">
        <v>8972.51</v>
      </c>
      <c r="F1494" s="1">
        <v>2756200</v>
      </c>
    </row>
    <row r="1495" spans="1:6">
      <c r="A1495" s="2">
        <v>40560</v>
      </c>
      <c r="B1495" s="1">
        <v>8998.89</v>
      </c>
      <c r="C1495" s="1">
        <v>9006.36</v>
      </c>
      <c r="D1495" s="1">
        <v>8921.19</v>
      </c>
      <c r="E1495" s="3">
        <v>8925.09</v>
      </c>
      <c r="F1495" s="1">
        <v>3579600</v>
      </c>
    </row>
    <row r="1496" spans="1:6">
      <c r="A1496" s="2">
        <v>40561</v>
      </c>
      <c r="B1496" s="1">
        <v>8889.84</v>
      </c>
      <c r="C1496" s="1">
        <v>9003.4500000000007</v>
      </c>
      <c r="D1496" s="1">
        <v>8887.0300000000007</v>
      </c>
      <c r="E1496" s="3">
        <v>8988</v>
      </c>
      <c r="F1496" s="1">
        <v>3723200</v>
      </c>
    </row>
    <row r="1497" spans="1:6">
      <c r="A1497" s="2">
        <v>40562</v>
      </c>
      <c r="B1497" s="1">
        <v>9023.2999999999993</v>
      </c>
      <c r="C1497" s="1">
        <v>9092.2800000000007</v>
      </c>
      <c r="D1497" s="1">
        <v>9005.77</v>
      </c>
      <c r="E1497" s="3">
        <v>9086.02</v>
      </c>
      <c r="F1497" s="1">
        <v>3935000</v>
      </c>
    </row>
    <row r="1498" spans="1:6">
      <c r="A1498" s="2">
        <v>40563</v>
      </c>
      <c r="B1498" s="1">
        <v>9059.7999999999993</v>
      </c>
      <c r="C1498" s="1">
        <v>9063.52</v>
      </c>
      <c r="D1498" s="1">
        <v>9017.7999999999993</v>
      </c>
      <c r="E1498" s="3">
        <v>9022.17</v>
      </c>
      <c r="F1498" s="1">
        <v>3066400</v>
      </c>
    </row>
    <row r="1499" spans="1:6">
      <c r="A1499" s="2">
        <v>40564</v>
      </c>
      <c r="B1499" s="1">
        <v>8935.2900000000009</v>
      </c>
      <c r="C1499" s="1">
        <v>8980.5400000000009</v>
      </c>
      <c r="D1499" s="1">
        <v>8892.27</v>
      </c>
      <c r="E1499" s="3">
        <v>8954.3799999999992</v>
      </c>
      <c r="F1499" s="1">
        <v>3170400</v>
      </c>
    </row>
    <row r="1500" spans="1:6">
      <c r="A1500" s="2">
        <v>40567</v>
      </c>
      <c r="B1500" s="1">
        <v>8983.59</v>
      </c>
      <c r="C1500" s="1">
        <v>8993.56</v>
      </c>
      <c r="D1500" s="1">
        <v>8927.49</v>
      </c>
      <c r="E1500" s="3">
        <v>8947.7900000000009</v>
      </c>
      <c r="F1500" s="1">
        <v>2580000</v>
      </c>
    </row>
    <row r="1501" spans="1:6">
      <c r="A1501" s="2">
        <v>40568</v>
      </c>
      <c r="B1501" s="1">
        <v>9001.74</v>
      </c>
      <c r="C1501" s="1">
        <v>9032.2999999999993</v>
      </c>
      <c r="D1501" s="1">
        <v>8991.39</v>
      </c>
      <c r="E1501" s="3">
        <v>8991.39</v>
      </c>
      <c r="F1501" s="1">
        <v>2925600</v>
      </c>
    </row>
    <row r="1502" spans="1:6">
      <c r="A1502" s="2">
        <v>40569</v>
      </c>
      <c r="B1502" s="1">
        <v>9010.41</v>
      </c>
      <c r="C1502" s="1">
        <v>9072.76</v>
      </c>
      <c r="D1502" s="1">
        <v>9009.18</v>
      </c>
      <c r="E1502" s="3">
        <v>9055.59</v>
      </c>
      <c r="F1502" s="1">
        <v>3204800</v>
      </c>
    </row>
    <row r="1503" spans="1:6">
      <c r="A1503" s="2">
        <v>40570</v>
      </c>
      <c r="B1503" s="1">
        <v>9093.5400000000009</v>
      </c>
      <c r="C1503" s="1">
        <v>9126.93</v>
      </c>
      <c r="D1503" s="1">
        <v>9092.9699999999993</v>
      </c>
      <c r="E1503" s="3">
        <v>9102.33</v>
      </c>
      <c r="F1503" s="1">
        <v>3296800</v>
      </c>
    </row>
    <row r="1504" spans="1:6">
      <c r="A1504" s="2">
        <v>40571</v>
      </c>
      <c r="B1504" s="1">
        <v>9122.16</v>
      </c>
      <c r="C1504" s="1">
        <v>9154.93</v>
      </c>
      <c r="D1504" s="1">
        <v>9095.7099999999991</v>
      </c>
      <c r="E1504" s="3">
        <v>9145.35</v>
      </c>
      <c r="F1504" s="1">
        <v>3372600</v>
      </c>
    </row>
    <row r="1505" spans="1:6">
      <c r="A1505" s="2">
        <v>40582</v>
      </c>
      <c r="B1505" s="1">
        <v>9220.69</v>
      </c>
      <c r="C1505" s="1">
        <v>9220.69</v>
      </c>
      <c r="D1505" s="1">
        <v>9085.41</v>
      </c>
      <c r="E1505" s="3">
        <v>9111.4599999999991</v>
      </c>
      <c r="F1505" s="1">
        <v>3854200</v>
      </c>
    </row>
    <row r="1506" spans="1:6">
      <c r="A1506" s="2">
        <v>40583</v>
      </c>
      <c r="B1506" s="1">
        <v>9107.9599999999991</v>
      </c>
      <c r="C1506" s="1">
        <v>9129.8799999999992</v>
      </c>
      <c r="D1506" s="1">
        <v>8992.64</v>
      </c>
      <c r="E1506" s="3">
        <v>9006.82</v>
      </c>
      <c r="F1506" s="1">
        <v>3537600</v>
      </c>
    </row>
    <row r="1507" spans="1:6">
      <c r="A1507" s="2">
        <v>40584</v>
      </c>
      <c r="B1507" s="1">
        <v>8962.07</v>
      </c>
      <c r="C1507" s="1">
        <v>8979.35</v>
      </c>
      <c r="D1507" s="1">
        <v>8836.56</v>
      </c>
      <c r="E1507" s="3">
        <v>8836.56</v>
      </c>
      <c r="F1507" s="1">
        <v>3685600</v>
      </c>
    </row>
    <row r="1508" spans="1:6">
      <c r="A1508" s="2">
        <v>40585</v>
      </c>
      <c r="B1508" s="1">
        <v>8842.41</v>
      </c>
      <c r="C1508" s="1">
        <v>8842.41</v>
      </c>
      <c r="D1508" s="1">
        <v>8574.65</v>
      </c>
      <c r="E1508" s="3">
        <v>8609.86</v>
      </c>
      <c r="F1508" s="1">
        <v>4563000</v>
      </c>
    </row>
    <row r="1509" spans="1:6">
      <c r="A1509" s="2">
        <v>40588</v>
      </c>
      <c r="B1509" s="1">
        <v>8666.61</v>
      </c>
      <c r="C1509" s="1">
        <v>8715.9699999999993</v>
      </c>
      <c r="D1509" s="1">
        <v>8626.66</v>
      </c>
      <c r="E1509" s="3">
        <v>8685.4699999999993</v>
      </c>
      <c r="F1509" s="1">
        <v>3074000</v>
      </c>
    </row>
    <row r="1510" spans="1:6">
      <c r="A1510" s="2">
        <v>40589</v>
      </c>
      <c r="B1510" s="1">
        <v>8679.1200000000008</v>
      </c>
      <c r="C1510" s="1">
        <v>8753.0499999999993</v>
      </c>
      <c r="D1510" s="1">
        <v>8565.0499999999993</v>
      </c>
      <c r="E1510" s="3">
        <v>8721.93</v>
      </c>
      <c r="F1510" s="1">
        <v>3209400</v>
      </c>
    </row>
    <row r="1511" spans="1:6">
      <c r="A1511" s="2">
        <v>40590</v>
      </c>
      <c r="B1511" s="1">
        <v>8740.32</v>
      </c>
      <c r="C1511" s="1">
        <v>8767.09</v>
      </c>
      <c r="D1511" s="1">
        <v>8702.81</v>
      </c>
      <c r="E1511" s="3">
        <v>8712.9599999999991</v>
      </c>
      <c r="F1511" s="1">
        <v>2959800</v>
      </c>
    </row>
    <row r="1512" spans="1:6">
      <c r="A1512" s="2">
        <v>40591</v>
      </c>
      <c r="B1512" s="1">
        <v>8738.7099999999991</v>
      </c>
      <c r="C1512" s="1">
        <v>8745.65</v>
      </c>
      <c r="D1512" s="1">
        <v>8669.77</v>
      </c>
      <c r="E1512" s="3">
        <v>8683.8799999999992</v>
      </c>
      <c r="F1512" s="1">
        <v>3118400</v>
      </c>
    </row>
    <row r="1513" spans="1:6">
      <c r="A1513" s="2">
        <v>40592</v>
      </c>
      <c r="B1513" s="1">
        <v>8763.69</v>
      </c>
      <c r="C1513" s="1">
        <v>8874.5</v>
      </c>
      <c r="D1513" s="1">
        <v>8763.69</v>
      </c>
      <c r="E1513" s="3">
        <v>8843.84</v>
      </c>
      <c r="F1513" s="1">
        <v>3326600</v>
      </c>
    </row>
    <row r="1514" spans="1:6">
      <c r="A1514" s="2">
        <v>40595</v>
      </c>
      <c r="B1514" s="1">
        <v>8867.16</v>
      </c>
      <c r="C1514" s="1">
        <v>8867.16</v>
      </c>
      <c r="D1514" s="1">
        <v>8797.25</v>
      </c>
      <c r="E1514" s="3">
        <v>8839.2199999999993</v>
      </c>
      <c r="F1514" s="1">
        <v>2736800</v>
      </c>
    </row>
    <row r="1515" spans="1:6">
      <c r="A1515" s="2">
        <v>40596</v>
      </c>
      <c r="B1515" s="1">
        <v>8744.81</v>
      </c>
      <c r="C1515" s="1">
        <v>8744.81</v>
      </c>
      <c r="D1515" s="1">
        <v>8613.34</v>
      </c>
      <c r="E1515" s="3">
        <v>8673.67</v>
      </c>
      <c r="F1515" s="1">
        <v>3728400</v>
      </c>
    </row>
    <row r="1516" spans="1:6">
      <c r="A1516" s="2">
        <v>40597</v>
      </c>
      <c r="B1516" s="1">
        <v>8604.32</v>
      </c>
      <c r="C1516" s="1">
        <v>8673.2000000000007</v>
      </c>
      <c r="D1516" s="1">
        <v>8521.25</v>
      </c>
      <c r="E1516" s="3">
        <v>8528.94</v>
      </c>
      <c r="F1516" s="1">
        <v>3337800</v>
      </c>
    </row>
    <row r="1517" spans="1:6">
      <c r="A1517" s="2">
        <v>40598</v>
      </c>
      <c r="B1517" s="1">
        <v>8561.16</v>
      </c>
      <c r="C1517" s="1">
        <v>8633.24</v>
      </c>
      <c r="D1517" s="1">
        <v>8541.64</v>
      </c>
      <c r="E1517" s="3">
        <v>8541.64</v>
      </c>
      <c r="F1517" s="1">
        <v>2738400</v>
      </c>
    </row>
    <row r="1518" spans="1:6">
      <c r="A1518" s="2">
        <v>40599</v>
      </c>
      <c r="B1518" s="1">
        <v>8597.8700000000008</v>
      </c>
      <c r="C1518" s="1">
        <v>8635.0400000000009</v>
      </c>
      <c r="D1518" s="1">
        <v>8470.09</v>
      </c>
      <c r="E1518" s="3">
        <v>8599.65</v>
      </c>
      <c r="F1518" s="1">
        <v>3641600</v>
      </c>
    </row>
    <row r="1519" spans="1:6">
      <c r="A1519" s="2">
        <v>40603</v>
      </c>
      <c r="B1519" s="1">
        <v>8611.7900000000009</v>
      </c>
      <c r="C1519" s="1">
        <v>8734.24</v>
      </c>
      <c r="D1519" s="1">
        <v>8611.7900000000009</v>
      </c>
      <c r="E1519" s="3">
        <v>8727.56</v>
      </c>
      <c r="F1519" s="1">
        <v>2811800</v>
      </c>
    </row>
    <row r="1520" spans="1:6">
      <c r="A1520" s="2">
        <v>40604</v>
      </c>
      <c r="B1520" s="1">
        <v>8675.3700000000008</v>
      </c>
      <c r="C1520" s="1">
        <v>8709.57</v>
      </c>
      <c r="D1520" s="1">
        <v>8619.9</v>
      </c>
      <c r="E1520" s="3">
        <v>8619.9</v>
      </c>
      <c r="F1520" s="1">
        <v>2677400</v>
      </c>
    </row>
    <row r="1521" spans="1:6">
      <c r="A1521" s="2">
        <v>40605</v>
      </c>
      <c r="B1521" s="1">
        <v>8661.6299999999992</v>
      </c>
      <c r="C1521" s="1">
        <v>8758.89</v>
      </c>
      <c r="D1521" s="1">
        <v>8661.6299999999992</v>
      </c>
      <c r="E1521" s="3">
        <v>8738.3700000000008</v>
      </c>
      <c r="F1521" s="1">
        <v>3099000</v>
      </c>
    </row>
    <row r="1522" spans="1:6">
      <c r="A1522" s="2">
        <v>40606</v>
      </c>
      <c r="B1522" s="1">
        <v>8815.52</v>
      </c>
      <c r="C1522" s="1">
        <v>8829.23</v>
      </c>
      <c r="D1522" s="1">
        <v>8771.89</v>
      </c>
      <c r="E1522" s="3">
        <v>8784.4</v>
      </c>
      <c r="F1522" s="1">
        <v>3112800</v>
      </c>
    </row>
    <row r="1523" spans="1:6">
      <c r="A1523" s="2">
        <v>40609</v>
      </c>
      <c r="B1523" s="1">
        <v>8769.8700000000008</v>
      </c>
      <c r="C1523" s="1">
        <v>8769.8700000000008</v>
      </c>
      <c r="D1523" s="1">
        <v>8706.3799999999992</v>
      </c>
      <c r="E1523" s="3">
        <v>8713.7900000000009</v>
      </c>
      <c r="F1523" s="1">
        <v>2288200</v>
      </c>
    </row>
    <row r="1524" spans="1:6">
      <c r="A1524" s="2">
        <v>40610</v>
      </c>
      <c r="B1524" s="1">
        <v>8692.1</v>
      </c>
      <c r="C1524" s="1">
        <v>8768.31</v>
      </c>
      <c r="D1524" s="1">
        <v>8692.1</v>
      </c>
      <c r="E1524" s="3">
        <v>8747.75</v>
      </c>
      <c r="F1524" s="1">
        <v>2487400</v>
      </c>
    </row>
    <row r="1525" spans="1:6">
      <c r="A1525" s="2">
        <v>40611</v>
      </c>
      <c r="B1525" s="1">
        <v>8810.35</v>
      </c>
      <c r="C1525" s="1">
        <v>8824.41</v>
      </c>
      <c r="D1525" s="1">
        <v>8730.74</v>
      </c>
      <c r="E1525" s="3">
        <v>8750.02</v>
      </c>
      <c r="F1525" s="1">
        <v>2811200</v>
      </c>
    </row>
    <row r="1526" spans="1:6">
      <c r="A1526" s="2">
        <v>40612</v>
      </c>
      <c r="B1526" s="1">
        <v>8754.41</v>
      </c>
      <c r="C1526" s="1">
        <v>8754.41</v>
      </c>
      <c r="D1526" s="1">
        <v>8635.75</v>
      </c>
      <c r="E1526" s="3">
        <v>8642.9</v>
      </c>
      <c r="F1526" s="1">
        <v>2763000</v>
      </c>
    </row>
    <row r="1527" spans="1:6">
      <c r="A1527" s="2">
        <v>40613</v>
      </c>
      <c r="B1527" s="1">
        <v>8566.91</v>
      </c>
      <c r="C1527" s="1">
        <v>8593.7099999999991</v>
      </c>
      <c r="D1527" s="1">
        <v>8513.51</v>
      </c>
      <c r="E1527" s="3">
        <v>8567.82</v>
      </c>
      <c r="F1527" s="1">
        <v>2422200</v>
      </c>
    </row>
    <row r="1528" spans="1:6">
      <c r="A1528" s="2">
        <v>40616</v>
      </c>
      <c r="B1528" s="1">
        <v>8616.2900000000009</v>
      </c>
      <c r="C1528" s="1">
        <v>8616.2900000000009</v>
      </c>
      <c r="D1528" s="1">
        <v>8395.11</v>
      </c>
      <c r="E1528" s="3">
        <v>8520.02</v>
      </c>
      <c r="F1528" s="1">
        <v>3309000</v>
      </c>
    </row>
    <row r="1529" spans="1:6">
      <c r="A1529" s="2">
        <v>40617</v>
      </c>
      <c r="B1529" s="1">
        <v>8493.83</v>
      </c>
      <c r="C1529" s="1">
        <v>8519.9</v>
      </c>
      <c r="D1529" s="1">
        <v>8070.52</v>
      </c>
      <c r="E1529" s="3">
        <v>8234.7800000000007</v>
      </c>
      <c r="F1529" s="1">
        <v>4871800</v>
      </c>
    </row>
    <row r="1530" spans="1:6">
      <c r="A1530" s="2">
        <v>40618</v>
      </c>
      <c r="B1530" s="1">
        <v>8317.3799999999992</v>
      </c>
      <c r="C1530" s="1">
        <v>8372.02</v>
      </c>
      <c r="D1530" s="1">
        <v>8257.08</v>
      </c>
      <c r="E1530" s="3">
        <v>8324.58</v>
      </c>
      <c r="F1530" s="1">
        <v>3250800</v>
      </c>
    </row>
    <row r="1531" spans="1:6">
      <c r="A1531" s="2">
        <v>40619</v>
      </c>
      <c r="B1531" s="1">
        <v>8190.5</v>
      </c>
      <c r="C1531" s="1">
        <v>8282.69</v>
      </c>
      <c r="D1531" s="1">
        <v>8150.73</v>
      </c>
      <c r="E1531" s="3">
        <v>8282.69</v>
      </c>
      <c r="F1531" s="1">
        <v>3048000</v>
      </c>
    </row>
    <row r="1532" spans="1:6">
      <c r="A1532" s="2">
        <v>40620</v>
      </c>
      <c r="B1532" s="1">
        <v>8343.7900000000009</v>
      </c>
      <c r="C1532" s="1">
        <v>8399.17</v>
      </c>
      <c r="D1532" s="1">
        <v>8312.8799999999992</v>
      </c>
      <c r="E1532" s="3">
        <v>8394.75</v>
      </c>
      <c r="F1532" s="1">
        <v>3085400</v>
      </c>
    </row>
    <row r="1533" spans="1:6">
      <c r="A1533" s="2">
        <v>40623</v>
      </c>
      <c r="B1533" s="1">
        <v>8421.66</v>
      </c>
      <c r="C1533" s="1">
        <v>8508.2000000000007</v>
      </c>
      <c r="D1533" s="1">
        <v>8394.2199999999993</v>
      </c>
      <c r="E1533" s="3">
        <v>8467.7099999999991</v>
      </c>
      <c r="F1533" s="1">
        <v>2464000</v>
      </c>
    </row>
    <row r="1534" spans="1:6">
      <c r="A1534" s="2">
        <v>40624</v>
      </c>
      <c r="B1534" s="1">
        <v>8523.27</v>
      </c>
      <c r="C1534" s="1">
        <v>8552.82</v>
      </c>
      <c r="D1534" s="1">
        <v>8508.0400000000009</v>
      </c>
      <c r="E1534" s="3">
        <v>8508.0400000000009</v>
      </c>
      <c r="F1534" s="1">
        <v>2781400</v>
      </c>
    </row>
    <row r="1535" spans="1:6">
      <c r="A1535" s="2">
        <v>40625</v>
      </c>
      <c r="B1535" s="1">
        <v>8529.93</v>
      </c>
      <c r="C1535" s="1">
        <v>8551.1200000000008</v>
      </c>
      <c r="D1535" s="1">
        <v>8481.9599999999991</v>
      </c>
      <c r="E1535" s="3">
        <v>8545.08</v>
      </c>
      <c r="F1535" s="1">
        <v>2474600</v>
      </c>
    </row>
    <row r="1536" spans="1:6">
      <c r="A1536" s="2">
        <v>40626</v>
      </c>
      <c r="B1536" s="1">
        <v>8589.7099999999991</v>
      </c>
      <c r="C1536" s="1">
        <v>8603.43</v>
      </c>
      <c r="D1536" s="1">
        <v>8550.6</v>
      </c>
      <c r="E1536" s="3">
        <v>8576.4</v>
      </c>
      <c r="F1536" s="1">
        <v>2431800</v>
      </c>
    </row>
    <row r="1537" spans="1:6">
      <c r="A1537" s="2">
        <v>40627</v>
      </c>
      <c r="B1537" s="1">
        <v>8645.3700000000008</v>
      </c>
      <c r="C1537" s="1">
        <v>8658.0499999999993</v>
      </c>
      <c r="D1537" s="1">
        <v>8587.84</v>
      </c>
      <c r="E1537" s="3">
        <v>8610.39</v>
      </c>
      <c r="F1537" s="1">
        <v>2449400</v>
      </c>
    </row>
    <row r="1538" spans="1:6">
      <c r="A1538" s="2">
        <v>40630</v>
      </c>
      <c r="B1538" s="1">
        <v>8587.99</v>
      </c>
      <c r="C1538" s="1">
        <v>8604.24</v>
      </c>
      <c r="D1538" s="1">
        <v>8549.26</v>
      </c>
      <c r="E1538" s="3">
        <v>8553.06</v>
      </c>
      <c r="F1538" s="1">
        <v>1942800</v>
      </c>
    </row>
    <row r="1539" spans="1:6">
      <c r="A1539" s="2">
        <v>40631</v>
      </c>
      <c r="B1539" s="1">
        <v>8538.44</v>
      </c>
      <c r="C1539" s="1">
        <v>8596.57</v>
      </c>
      <c r="D1539" s="1">
        <v>8522.57</v>
      </c>
      <c r="E1539" s="3">
        <v>8596.57</v>
      </c>
      <c r="F1539" s="1">
        <v>2214000</v>
      </c>
    </row>
    <row r="1540" spans="1:6">
      <c r="A1540" s="2">
        <v>40632</v>
      </c>
      <c r="B1540" s="1">
        <v>8605.83</v>
      </c>
      <c r="C1540" s="1">
        <v>8671.59</v>
      </c>
      <c r="D1540" s="1">
        <v>8605.83</v>
      </c>
      <c r="E1540" s="3">
        <v>8646.31</v>
      </c>
      <c r="F1540" s="1">
        <v>2544000</v>
      </c>
    </row>
    <row r="1541" spans="1:6">
      <c r="A1541" s="2">
        <v>40633</v>
      </c>
      <c r="B1541" s="1">
        <v>8683.69</v>
      </c>
      <c r="C1541" s="1">
        <v>8685.44</v>
      </c>
      <c r="D1541" s="1">
        <v>8608.0499999999993</v>
      </c>
      <c r="E1541" s="3">
        <v>8683.2999999999993</v>
      </c>
      <c r="F1541" s="1">
        <v>2411400</v>
      </c>
    </row>
    <row r="1542" spans="1:6">
      <c r="A1542" s="2">
        <v>40634</v>
      </c>
      <c r="B1542" s="1">
        <v>8697.84</v>
      </c>
      <c r="C1542" s="1">
        <v>8705.1299999999992</v>
      </c>
      <c r="D1542" s="1">
        <v>8654.4</v>
      </c>
      <c r="E1542" s="3">
        <v>8705.1299999999992</v>
      </c>
      <c r="F1542" s="1">
        <v>1912600</v>
      </c>
    </row>
    <row r="1543" spans="1:6">
      <c r="A1543" s="2">
        <v>40639</v>
      </c>
      <c r="B1543" s="1">
        <v>8772.1299999999992</v>
      </c>
      <c r="C1543" s="1">
        <v>8860.02</v>
      </c>
      <c r="D1543" s="1">
        <v>8767.2099999999991</v>
      </c>
      <c r="E1543" s="3">
        <v>8851.98</v>
      </c>
      <c r="F1543" s="1">
        <v>2992600</v>
      </c>
    </row>
    <row r="1544" spans="1:6">
      <c r="A1544" s="2">
        <v>40640</v>
      </c>
      <c r="B1544" s="1">
        <v>8884.84</v>
      </c>
      <c r="C1544" s="1">
        <v>8901.7199999999993</v>
      </c>
      <c r="D1544" s="1">
        <v>8828.92</v>
      </c>
      <c r="E1544" s="3">
        <v>8901.7199999999993</v>
      </c>
      <c r="F1544" s="1">
        <v>2638400</v>
      </c>
    </row>
    <row r="1545" spans="1:6">
      <c r="A1545" s="2">
        <v>40641</v>
      </c>
      <c r="B1545" s="1">
        <v>8904.44</v>
      </c>
      <c r="C1545" s="1">
        <v>8929.06</v>
      </c>
      <c r="D1545" s="1">
        <v>8862.49</v>
      </c>
      <c r="E1545" s="3">
        <v>8894.5400000000009</v>
      </c>
      <c r="F1545" s="1">
        <v>3122600</v>
      </c>
    </row>
    <row r="1546" spans="1:6">
      <c r="A1546" s="2">
        <v>40644</v>
      </c>
      <c r="B1546" s="1">
        <v>8922.75</v>
      </c>
      <c r="C1546" s="1">
        <v>8922.75</v>
      </c>
      <c r="D1546" s="1">
        <v>8836.3799999999992</v>
      </c>
      <c r="E1546" s="3">
        <v>8880.27</v>
      </c>
      <c r="F1546" s="1">
        <v>2322000</v>
      </c>
    </row>
    <row r="1547" spans="1:6">
      <c r="A1547" s="2">
        <v>40645</v>
      </c>
      <c r="B1547" s="1">
        <v>8839.2199999999993</v>
      </c>
      <c r="C1547" s="1">
        <v>8839.2199999999993</v>
      </c>
      <c r="D1547" s="1">
        <v>8708.86</v>
      </c>
      <c r="E1547" s="3">
        <v>8732.59</v>
      </c>
      <c r="F1547" s="1">
        <v>2297200</v>
      </c>
    </row>
    <row r="1548" spans="1:6">
      <c r="A1548" s="2">
        <v>40646</v>
      </c>
      <c r="B1548" s="1">
        <v>8727.9500000000007</v>
      </c>
      <c r="C1548" s="1">
        <v>8780.2000000000007</v>
      </c>
      <c r="D1548" s="1">
        <v>8700.08</v>
      </c>
      <c r="E1548" s="3">
        <v>8780.2000000000007</v>
      </c>
      <c r="F1548" s="1">
        <v>2134800</v>
      </c>
    </row>
    <row r="1549" spans="1:6">
      <c r="A1549" s="2">
        <v>40647</v>
      </c>
      <c r="B1549" s="1">
        <v>8787.75</v>
      </c>
      <c r="C1549" s="1">
        <v>8835.39</v>
      </c>
      <c r="D1549" s="1">
        <v>8772.2999999999993</v>
      </c>
      <c r="E1549" s="3">
        <v>8802.73</v>
      </c>
      <c r="F1549" s="1">
        <v>2277200</v>
      </c>
    </row>
    <row r="1550" spans="1:6">
      <c r="A1550" s="2">
        <v>40648</v>
      </c>
      <c r="B1550" s="1">
        <v>8828.6299999999992</v>
      </c>
      <c r="C1550" s="1">
        <v>8834.07</v>
      </c>
      <c r="D1550" s="1">
        <v>8716.7000000000007</v>
      </c>
      <c r="E1550" s="3">
        <v>8718.1200000000008</v>
      </c>
      <c r="F1550" s="1">
        <v>2372400</v>
      </c>
    </row>
    <row r="1551" spans="1:6">
      <c r="A1551" s="2">
        <v>40651</v>
      </c>
      <c r="B1551" s="1">
        <v>8752.56</v>
      </c>
      <c r="C1551" s="1">
        <v>8764.65</v>
      </c>
      <c r="D1551" s="1">
        <v>8703.11</v>
      </c>
      <c r="E1551" s="3">
        <v>8714.48</v>
      </c>
      <c r="F1551" s="1">
        <v>2042400</v>
      </c>
    </row>
    <row r="1552" spans="1:6">
      <c r="A1552" s="2">
        <v>40652</v>
      </c>
      <c r="B1552" s="1">
        <v>8643.4</v>
      </c>
      <c r="C1552" s="1">
        <v>8658.9699999999993</v>
      </c>
      <c r="D1552" s="1">
        <v>8592.23</v>
      </c>
      <c r="E1552" s="3">
        <v>8638.5499999999993</v>
      </c>
      <c r="F1552" s="1">
        <v>2233000</v>
      </c>
    </row>
    <row r="1553" spans="1:6">
      <c r="A1553" s="2">
        <v>40653</v>
      </c>
      <c r="B1553" s="1">
        <v>8704.48</v>
      </c>
      <c r="C1553" s="1">
        <v>8813.2800000000007</v>
      </c>
      <c r="D1553" s="1">
        <v>8698.9699999999993</v>
      </c>
      <c r="E1553" s="3">
        <v>8813.2800000000007</v>
      </c>
      <c r="F1553" s="1">
        <v>2643200</v>
      </c>
    </row>
    <row r="1554" spans="1:6">
      <c r="A1554" s="2">
        <v>40654</v>
      </c>
      <c r="B1554" s="1">
        <v>8893.07</v>
      </c>
      <c r="C1554" s="1">
        <v>8992.08</v>
      </c>
      <c r="D1554" s="1">
        <v>8892.06</v>
      </c>
      <c r="E1554" s="3">
        <v>8957.65</v>
      </c>
      <c r="F1554" s="1">
        <v>3689400</v>
      </c>
    </row>
    <row r="1555" spans="1:6">
      <c r="A1555" s="2">
        <v>40655</v>
      </c>
      <c r="B1555" s="1">
        <v>8980.43</v>
      </c>
      <c r="C1555" s="1">
        <v>8992.67</v>
      </c>
      <c r="D1555" s="1">
        <v>8956.07</v>
      </c>
      <c r="E1555" s="3">
        <v>8969.43</v>
      </c>
      <c r="F1555" s="1">
        <v>2776600</v>
      </c>
    </row>
    <row r="1556" spans="1:6">
      <c r="A1556" s="2">
        <v>40658</v>
      </c>
      <c r="B1556" s="1">
        <v>9015.91</v>
      </c>
      <c r="C1556" s="1">
        <v>9037.09</v>
      </c>
      <c r="D1556" s="1">
        <v>8950.75</v>
      </c>
      <c r="E1556" s="3">
        <v>8950.75</v>
      </c>
      <c r="F1556" s="1">
        <v>2696800</v>
      </c>
    </row>
    <row r="1557" spans="1:6">
      <c r="A1557" s="2">
        <v>40659</v>
      </c>
      <c r="B1557" s="1">
        <v>8894.01</v>
      </c>
      <c r="C1557" s="1">
        <v>8966.86</v>
      </c>
      <c r="D1557" s="1">
        <v>8866.74</v>
      </c>
      <c r="E1557" s="3">
        <v>8948.14</v>
      </c>
      <c r="F1557" s="1">
        <v>2392200</v>
      </c>
    </row>
    <row r="1558" spans="1:6">
      <c r="A1558" s="2">
        <v>40660</v>
      </c>
      <c r="B1558" s="1">
        <v>9012.2800000000007</v>
      </c>
      <c r="C1558" s="1">
        <v>9060.5</v>
      </c>
      <c r="D1558" s="1">
        <v>9012.2800000000007</v>
      </c>
      <c r="E1558" s="3">
        <v>9049.25</v>
      </c>
      <c r="F1558" s="1">
        <v>3110000</v>
      </c>
    </row>
    <row r="1559" spans="1:6">
      <c r="A1559" s="2">
        <v>40661</v>
      </c>
      <c r="B1559" s="1">
        <v>9088.9699999999993</v>
      </c>
      <c r="C1559" s="1">
        <v>9099.75</v>
      </c>
      <c r="D1559" s="1">
        <v>9021.36</v>
      </c>
      <c r="E1559" s="3">
        <v>9040.77</v>
      </c>
      <c r="F1559" s="1">
        <v>3087000</v>
      </c>
    </row>
    <row r="1560" spans="1:6">
      <c r="A1560" s="2">
        <v>40662</v>
      </c>
      <c r="B1560" s="1">
        <v>9050.49</v>
      </c>
      <c r="C1560" s="1">
        <v>9058.7800000000007</v>
      </c>
      <c r="D1560" s="1">
        <v>8943.99</v>
      </c>
      <c r="E1560" s="3">
        <v>9007.8700000000008</v>
      </c>
      <c r="F1560" s="1">
        <v>3385400</v>
      </c>
    </row>
    <row r="1561" spans="1:6">
      <c r="A1561" s="2">
        <v>40666</v>
      </c>
      <c r="B1561" s="1">
        <v>9014.33</v>
      </c>
      <c r="C1561" s="1">
        <v>9018.7000000000007</v>
      </c>
      <c r="D1561" s="1">
        <v>8895.25</v>
      </c>
      <c r="E1561" s="3">
        <v>8946.08</v>
      </c>
      <c r="F1561" s="1">
        <v>2675400</v>
      </c>
    </row>
    <row r="1562" spans="1:6">
      <c r="A1562" s="2">
        <v>40667</v>
      </c>
      <c r="B1562" s="1">
        <v>8937.2999999999993</v>
      </c>
      <c r="C1562" s="1">
        <v>8947.35</v>
      </c>
      <c r="D1562" s="1">
        <v>8864.5499999999993</v>
      </c>
      <c r="E1562" s="3">
        <v>8947.35</v>
      </c>
      <c r="F1562" s="1">
        <v>2336800</v>
      </c>
    </row>
    <row r="1563" spans="1:6">
      <c r="A1563" s="2">
        <v>40668</v>
      </c>
      <c r="B1563" s="1">
        <v>8930.24</v>
      </c>
      <c r="C1563" s="1">
        <v>9029.58</v>
      </c>
      <c r="D1563" s="1">
        <v>8907.9699999999993</v>
      </c>
      <c r="E1563" s="3">
        <v>9018.61</v>
      </c>
      <c r="F1563" s="1">
        <v>2702600</v>
      </c>
    </row>
    <row r="1564" spans="1:6">
      <c r="A1564" s="2">
        <v>40669</v>
      </c>
      <c r="B1564" s="1">
        <v>8997.73</v>
      </c>
      <c r="C1564" s="1">
        <v>9018.4</v>
      </c>
      <c r="D1564" s="1">
        <v>8954.81</v>
      </c>
      <c r="E1564" s="3">
        <v>8977.23</v>
      </c>
      <c r="F1564" s="1">
        <v>2796600</v>
      </c>
    </row>
    <row r="1565" spans="1:6">
      <c r="A1565" s="2">
        <v>40672</v>
      </c>
      <c r="B1565" s="1">
        <v>9001.7999999999993</v>
      </c>
      <c r="C1565" s="1">
        <v>9081.26</v>
      </c>
      <c r="D1565" s="1">
        <v>8984.43</v>
      </c>
      <c r="E1565" s="3">
        <v>9035.48</v>
      </c>
      <c r="F1565" s="1">
        <v>2852600</v>
      </c>
    </row>
    <row r="1566" spans="1:6">
      <c r="A1566" s="2">
        <v>40673</v>
      </c>
      <c r="B1566" s="1">
        <v>9048.25</v>
      </c>
      <c r="C1566" s="1">
        <v>9055.91</v>
      </c>
      <c r="D1566" s="1">
        <v>9007.93</v>
      </c>
      <c r="E1566" s="3">
        <v>9023.2800000000007</v>
      </c>
      <c r="F1566" s="1">
        <v>2172800</v>
      </c>
    </row>
    <row r="1567" spans="1:6">
      <c r="A1567" s="2">
        <v>40674</v>
      </c>
      <c r="B1567" s="1">
        <v>9073.8799999999992</v>
      </c>
      <c r="C1567" s="1">
        <v>9082.01</v>
      </c>
      <c r="D1567" s="1">
        <v>9014.36</v>
      </c>
      <c r="E1567" s="3">
        <v>9020.4</v>
      </c>
      <c r="F1567" s="1">
        <v>2358800</v>
      </c>
    </row>
    <row r="1568" spans="1:6">
      <c r="A1568" s="2">
        <v>40675</v>
      </c>
      <c r="B1568" s="1">
        <v>8977.77</v>
      </c>
      <c r="C1568" s="1">
        <v>9052.98</v>
      </c>
      <c r="D1568" s="1">
        <v>8963.24</v>
      </c>
      <c r="E1568" s="3">
        <v>9033.68</v>
      </c>
      <c r="F1568" s="1">
        <v>2339800</v>
      </c>
    </row>
    <row r="1569" spans="1:6">
      <c r="A1569" s="2">
        <v>40676</v>
      </c>
      <c r="B1569" s="1">
        <v>9039.5499999999993</v>
      </c>
      <c r="C1569" s="1">
        <v>9059.4599999999991</v>
      </c>
      <c r="D1569" s="1">
        <v>8986.18</v>
      </c>
      <c r="E1569" s="3">
        <v>9006.61</v>
      </c>
      <c r="F1569" s="1">
        <v>2471800</v>
      </c>
    </row>
    <row r="1570" spans="1:6">
      <c r="A1570" s="2">
        <v>40679</v>
      </c>
      <c r="B1570" s="1">
        <v>8996.7000000000007</v>
      </c>
      <c r="C1570" s="1">
        <v>8996.7000000000007</v>
      </c>
      <c r="D1570" s="1">
        <v>8911.7099999999991</v>
      </c>
      <c r="E1570" s="3">
        <v>8911.7099999999991</v>
      </c>
      <c r="F1570" s="1">
        <v>1993800</v>
      </c>
    </row>
    <row r="1571" spans="1:6">
      <c r="A1571" s="2">
        <v>40680</v>
      </c>
      <c r="B1571" s="1">
        <v>8917.25</v>
      </c>
      <c r="C1571" s="1">
        <v>8928.99</v>
      </c>
      <c r="D1571" s="1">
        <v>8854.14</v>
      </c>
      <c r="E1571" s="3">
        <v>8884.09</v>
      </c>
      <c r="F1571" s="1">
        <v>2180000</v>
      </c>
    </row>
    <row r="1572" spans="1:6">
      <c r="A1572" s="2">
        <v>40681</v>
      </c>
      <c r="B1572" s="1">
        <v>8885.4</v>
      </c>
      <c r="C1572" s="1">
        <v>8946.99</v>
      </c>
      <c r="D1572" s="1">
        <v>8885.4</v>
      </c>
      <c r="E1572" s="3">
        <v>8944.84</v>
      </c>
      <c r="F1572" s="1">
        <v>2060600</v>
      </c>
    </row>
    <row r="1573" spans="1:6">
      <c r="A1573" s="2">
        <v>40682</v>
      </c>
      <c r="B1573" s="1">
        <v>8952.25</v>
      </c>
      <c r="C1573" s="1">
        <v>9026.18</v>
      </c>
      <c r="D1573" s="1">
        <v>8888.2099999999991</v>
      </c>
      <c r="E1573" s="3">
        <v>8892.8799999999992</v>
      </c>
      <c r="F1573" s="1">
        <v>2573200</v>
      </c>
    </row>
    <row r="1574" spans="1:6">
      <c r="A1574" s="2">
        <v>40683</v>
      </c>
      <c r="B1574" s="1">
        <v>8944.3799999999992</v>
      </c>
      <c r="C1574" s="1">
        <v>8944.3799999999992</v>
      </c>
      <c r="D1574" s="1">
        <v>8822.75</v>
      </c>
      <c r="E1574" s="3">
        <v>8837.0300000000007</v>
      </c>
      <c r="F1574" s="1">
        <v>2277600</v>
      </c>
    </row>
    <row r="1575" spans="1:6">
      <c r="A1575" s="2">
        <v>40686</v>
      </c>
      <c r="B1575" s="1">
        <v>8767.2999999999993</v>
      </c>
      <c r="C1575" s="1">
        <v>8776.4599999999991</v>
      </c>
      <c r="D1575" s="1">
        <v>8695.34</v>
      </c>
      <c r="E1575" s="3">
        <v>8747.51</v>
      </c>
      <c r="F1575" s="1">
        <v>2123800</v>
      </c>
    </row>
    <row r="1576" spans="1:6">
      <c r="A1576" s="2">
        <v>40687</v>
      </c>
      <c r="B1576" s="1">
        <v>8730.23</v>
      </c>
      <c r="C1576" s="1">
        <v>8756.9</v>
      </c>
      <c r="D1576" s="1">
        <v>8673.3799999999992</v>
      </c>
      <c r="E1576" s="3">
        <v>8756.61</v>
      </c>
      <c r="F1576" s="1">
        <v>2153400</v>
      </c>
    </row>
    <row r="1577" spans="1:6">
      <c r="A1577" s="2">
        <v>40688</v>
      </c>
      <c r="B1577" s="1">
        <v>8732.2999999999993</v>
      </c>
      <c r="C1577" s="1">
        <v>8763.64</v>
      </c>
      <c r="D1577" s="1">
        <v>8682.49</v>
      </c>
      <c r="E1577" s="3">
        <v>8727.09</v>
      </c>
      <c r="F1577" s="1">
        <v>2107400</v>
      </c>
    </row>
    <row r="1578" spans="1:6">
      <c r="A1578" s="2">
        <v>40689</v>
      </c>
      <c r="B1578" s="1">
        <v>8797.2900000000009</v>
      </c>
      <c r="C1578" s="1">
        <v>8807.08</v>
      </c>
      <c r="D1578" s="1">
        <v>8751.52</v>
      </c>
      <c r="E1578" s="3">
        <v>8788.4</v>
      </c>
      <c r="F1578" s="1">
        <v>1908000</v>
      </c>
    </row>
    <row r="1579" spans="1:6">
      <c r="A1579" s="2">
        <v>40690</v>
      </c>
      <c r="B1579" s="1">
        <v>8806.2900000000009</v>
      </c>
      <c r="C1579" s="1">
        <v>8860.0300000000007</v>
      </c>
      <c r="D1579" s="1">
        <v>8803.59</v>
      </c>
      <c r="E1579" s="3">
        <v>8810</v>
      </c>
      <c r="F1579" s="1">
        <v>2083800</v>
      </c>
    </row>
    <row r="1580" spans="1:6">
      <c r="A1580" s="2">
        <v>40693</v>
      </c>
      <c r="B1580" s="1">
        <v>8757.66</v>
      </c>
      <c r="C1580" s="1">
        <v>8844.0300000000007</v>
      </c>
      <c r="D1580" s="1">
        <v>8748.1299999999992</v>
      </c>
      <c r="E1580" s="3">
        <v>8823.68</v>
      </c>
      <c r="F1580" s="1">
        <v>1871400</v>
      </c>
    </row>
    <row r="1581" spans="1:6">
      <c r="A1581" s="2">
        <v>40694</v>
      </c>
      <c r="B1581" s="1">
        <v>8860.58</v>
      </c>
      <c r="C1581" s="1">
        <v>9003.6</v>
      </c>
      <c r="D1581" s="1">
        <v>8860.58</v>
      </c>
      <c r="E1581" s="3">
        <v>8988.84</v>
      </c>
      <c r="F1581" s="1">
        <v>2901000</v>
      </c>
    </row>
    <row r="1582" spans="1:6">
      <c r="A1582" s="2">
        <v>40695</v>
      </c>
      <c r="B1582" s="1">
        <v>8999.84</v>
      </c>
      <c r="C1582" s="1">
        <v>9089.4699999999993</v>
      </c>
      <c r="D1582" s="1">
        <v>8999.84</v>
      </c>
      <c r="E1582" s="3">
        <v>9062.35</v>
      </c>
      <c r="F1582" s="1">
        <v>2648800</v>
      </c>
    </row>
    <row r="1583" spans="1:6">
      <c r="A1583" s="2">
        <v>40696</v>
      </c>
      <c r="B1583" s="1">
        <v>8981.7099999999991</v>
      </c>
      <c r="C1583" s="1">
        <v>9036.27</v>
      </c>
      <c r="D1583" s="1">
        <v>8977.67</v>
      </c>
      <c r="E1583" s="3">
        <v>8991.36</v>
      </c>
      <c r="F1583" s="1">
        <v>2220600</v>
      </c>
    </row>
    <row r="1584" spans="1:6">
      <c r="A1584" s="2">
        <v>40697</v>
      </c>
      <c r="B1584" s="1">
        <v>9024.5400000000009</v>
      </c>
      <c r="C1584" s="1">
        <v>9052.18</v>
      </c>
      <c r="D1584" s="1">
        <v>8997.35</v>
      </c>
      <c r="E1584" s="3">
        <v>9046.2800000000007</v>
      </c>
      <c r="F1584" s="1">
        <v>1890800</v>
      </c>
    </row>
    <row r="1585" spans="1:6">
      <c r="A1585" s="2">
        <v>40701</v>
      </c>
      <c r="B1585" s="1">
        <v>9025.2099999999991</v>
      </c>
      <c r="C1585" s="1">
        <v>9059.19</v>
      </c>
      <c r="D1585" s="1">
        <v>8981.44</v>
      </c>
      <c r="E1585" s="3">
        <v>9057.1</v>
      </c>
      <c r="F1585" s="1">
        <v>1770400</v>
      </c>
    </row>
    <row r="1586" spans="1:6">
      <c r="A1586" s="2">
        <v>40702</v>
      </c>
      <c r="B1586" s="1">
        <v>9044.85</v>
      </c>
      <c r="C1586" s="1">
        <v>9070.25</v>
      </c>
      <c r="D1586" s="1">
        <v>9007.5300000000007</v>
      </c>
      <c r="E1586" s="3">
        <v>9007.5300000000007</v>
      </c>
      <c r="F1586" s="1">
        <v>1884200</v>
      </c>
    </row>
    <row r="1587" spans="1:6">
      <c r="A1587" s="2">
        <v>40703</v>
      </c>
      <c r="B1587" s="1">
        <v>9020.6</v>
      </c>
      <c r="C1587" s="1">
        <v>9045.44</v>
      </c>
      <c r="D1587" s="1">
        <v>8996.08</v>
      </c>
      <c r="E1587" s="3">
        <v>9000.94</v>
      </c>
      <c r="F1587" s="1">
        <v>1718400</v>
      </c>
    </row>
    <row r="1588" spans="1:6">
      <c r="A1588" s="2">
        <v>40704</v>
      </c>
      <c r="B1588" s="1">
        <v>9042.35</v>
      </c>
      <c r="C1588" s="1">
        <v>9053.39</v>
      </c>
      <c r="D1588" s="1">
        <v>8837.82</v>
      </c>
      <c r="E1588" s="3">
        <v>8837.82</v>
      </c>
      <c r="F1588" s="1">
        <v>2192800</v>
      </c>
    </row>
    <row r="1589" spans="1:6">
      <c r="A1589" s="2">
        <v>40707</v>
      </c>
      <c r="B1589" s="1">
        <v>8791.67</v>
      </c>
      <c r="C1589" s="1">
        <v>8811.9699999999993</v>
      </c>
      <c r="D1589" s="1">
        <v>8703.52</v>
      </c>
      <c r="E1589" s="3">
        <v>8712.9500000000007</v>
      </c>
      <c r="F1589" s="1">
        <v>1959600</v>
      </c>
    </row>
    <row r="1590" spans="1:6">
      <c r="A1590" s="2">
        <v>40708</v>
      </c>
      <c r="B1590" s="1">
        <v>8737.24</v>
      </c>
      <c r="C1590" s="1">
        <v>8836.51</v>
      </c>
      <c r="D1590" s="1">
        <v>8737.24</v>
      </c>
      <c r="E1590" s="3">
        <v>8829.2099999999991</v>
      </c>
      <c r="F1590" s="1">
        <v>1685800</v>
      </c>
    </row>
    <row r="1591" spans="1:6">
      <c r="A1591" s="2">
        <v>40709</v>
      </c>
      <c r="B1591" s="1">
        <v>8833.86</v>
      </c>
      <c r="C1591" s="1">
        <v>8876.14</v>
      </c>
      <c r="D1591" s="1">
        <v>8733.6</v>
      </c>
      <c r="E1591" s="3">
        <v>8831.4500000000007</v>
      </c>
      <c r="F1591" s="1">
        <v>2652000</v>
      </c>
    </row>
    <row r="1592" spans="1:6">
      <c r="A1592" s="2">
        <v>40710</v>
      </c>
      <c r="B1592" s="1">
        <v>8739.84</v>
      </c>
      <c r="C1592" s="1">
        <v>8739.84</v>
      </c>
      <c r="D1592" s="1">
        <v>8654.43</v>
      </c>
      <c r="E1592" s="3">
        <v>8654.43</v>
      </c>
      <c r="F1592" s="1">
        <v>2089000</v>
      </c>
    </row>
    <row r="1593" spans="1:6">
      <c r="A1593" s="2">
        <v>40711</v>
      </c>
      <c r="B1593" s="1">
        <v>8671.4500000000007</v>
      </c>
      <c r="C1593" s="1">
        <v>8702</v>
      </c>
      <c r="D1593" s="1">
        <v>8618.85</v>
      </c>
      <c r="E1593" s="3">
        <v>8636.1</v>
      </c>
      <c r="F1593" s="1">
        <v>2252000</v>
      </c>
    </row>
    <row r="1594" spans="1:6">
      <c r="A1594" s="2">
        <v>40714</v>
      </c>
      <c r="B1594" s="1">
        <v>8679.15</v>
      </c>
      <c r="C1594" s="1">
        <v>8685.33</v>
      </c>
      <c r="D1594" s="1">
        <v>8518.66</v>
      </c>
      <c r="E1594" s="3">
        <v>8530.68</v>
      </c>
      <c r="F1594" s="1">
        <v>2202800</v>
      </c>
    </row>
    <row r="1595" spans="1:6">
      <c r="A1595" s="2">
        <v>40715</v>
      </c>
      <c r="B1595" s="1">
        <v>8571.93</v>
      </c>
      <c r="C1595" s="1">
        <v>8617.9599999999991</v>
      </c>
      <c r="D1595" s="1">
        <v>8523.0400000000009</v>
      </c>
      <c r="E1595" s="3">
        <v>8597.6200000000008</v>
      </c>
      <c r="F1595" s="1">
        <v>2089200</v>
      </c>
    </row>
    <row r="1596" spans="1:6">
      <c r="A1596" s="2">
        <v>40716</v>
      </c>
      <c r="B1596" s="1">
        <v>8663.86</v>
      </c>
      <c r="C1596" s="1">
        <v>8679.3700000000008</v>
      </c>
      <c r="D1596" s="1">
        <v>8598.08</v>
      </c>
      <c r="E1596" s="3">
        <v>8621.0400000000009</v>
      </c>
      <c r="F1596" s="1">
        <v>2079600</v>
      </c>
    </row>
    <row r="1597" spans="1:6">
      <c r="A1597" s="2">
        <v>40717</v>
      </c>
      <c r="B1597" s="1">
        <v>8601.15</v>
      </c>
      <c r="C1597" s="1">
        <v>8619.39</v>
      </c>
      <c r="D1597" s="1">
        <v>8559.33</v>
      </c>
      <c r="E1597" s="3">
        <v>8567.2800000000007</v>
      </c>
      <c r="F1597" s="1">
        <v>1841400</v>
      </c>
    </row>
    <row r="1598" spans="1:6">
      <c r="A1598" s="2">
        <v>40718</v>
      </c>
      <c r="B1598" s="1">
        <v>8567.4599999999991</v>
      </c>
      <c r="C1598" s="1">
        <v>8569.59</v>
      </c>
      <c r="D1598" s="1">
        <v>8508.16</v>
      </c>
      <c r="E1598" s="3">
        <v>8532.83</v>
      </c>
      <c r="F1598" s="1">
        <v>2049400</v>
      </c>
    </row>
    <row r="1599" spans="1:6">
      <c r="A1599" s="2">
        <v>40721</v>
      </c>
      <c r="B1599" s="1">
        <v>8456.36</v>
      </c>
      <c r="C1599" s="1">
        <v>8519.2099999999991</v>
      </c>
      <c r="D1599" s="1">
        <v>8433.4599999999991</v>
      </c>
      <c r="E1599" s="3">
        <v>8500.16</v>
      </c>
      <c r="F1599" s="1">
        <v>2003800</v>
      </c>
    </row>
    <row r="1600" spans="1:6">
      <c r="A1600" s="2">
        <v>40722</v>
      </c>
      <c r="B1600" s="1">
        <v>8536.1299999999992</v>
      </c>
      <c r="C1600" s="1">
        <v>8572.6200000000008</v>
      </c>
      <c r="D1600" s="1">
        <v>8478.69</v>
      </c>
      <c r="E1600" s="3">
        <v>8478.86</v>
      </c>
      <c r="F1600" s="1">
        <v>1840800</v>
      </c>
    </row>
    <row r="1601" spans="1:6">
      <c r="A1601" s="2">
        <v>40723</v>
      </c>
      <c r="B1601" s="1">
        <v>8540.35</v>
      </c>
      <c r="C1601" s="1">
        <v>8598.2199999999993</v>
      </c>
      <c r="D1601" s="1">
        <v>8499.24</v>
      </c>
      <c r="E1601" s="3">
        <v>8573.3799999999992</v>
      </c>
      <c r="F1601" s="1">
        <v>2338600</v>
      </c>
    </row>
    <row r="1602" spans="1:6">
      <c r="A1602" s="2">
        <v>40724</v>
      </c>
      <c r="B1602" s="1">
        <v>8582.08</v>
      </c>
      <c r="C1602" s="1">
        <v>8652.59</v>
      </c>
      <c r="D1602" s="1">
        <v>8576.65</v>
      </c>
      <c r="E1602" s="3">
        <v>8652.59</v>
      </c>
      <c r="F1602" s="1">
        <v>2275800</v>
      </c>
    </row>
    <row r="1603" spans="1:6">
      <c r="A1603" s="2">
        <v>40725</v>
      </c>
      <c r="B1603" s="1">
        <v>8684.39</v>
      </c>
      <c r="C1603" s="1">
        <v>8744.2000000000007</v>
      </c>
      <c r="D1603" s="1">
        <v>8659.57</v>
      </c>
      <c r="E1603" s="3">
        <v>8739.82</v>
      </c>
      <c r="F1603" s="1">
        <v>2416000</v>
      </c>
    </row>
    <row r="1604" spans="1:6">
      <c r="A1604" s="2">
        <v>40728</v>
      </c>
      <c r="B1604" s="1">
        <v>8801.51</v>
      </c>
      <c r="C1604" s="1">
        <v>8808.4699999999993</v>
      </c>
      <c r="D1604" s="1">
        <v>8772.33</v>
      </c>
      <c r="E1604" s="3">
        <v>8774.7199999999993</v>
      </c>
      <c r="F1604" s="1">
        <v>2317600</v>
      </c>
    </row>
    <row r="1605" spans="1:6">
      <c r="A1605" s="2">
        <v>40729</v>
      </c>
      <c r="B1605" s="1">
        <v>8777.2199999999993</v>
      </c>
      <c r="C1605" s="1">
        <v>8794.14</v>
      </c>
      <c r="D1605" s="1">
        <v>8743.4500000000007</v>
      </c>
      <c r="E1605" s="3">
        <v>8784.44</v>
      </c>
      <c r="F1605" s="1">
        <v>2195200</v>
      </c>
    </row>
    <row r="1606" spans="1:6">
      <c r="A1606" s="2">
        <v>40730</v>
      </c>
      <c r="B1606" s="1">
        <v>8790.94</v>
      </c>
      <c r="C1606" s="1">
        <v>8842.17</v>
      </c>
      <c r="D1606" s="1">
        <v>8768.35</v>
      </c>
      <c r="E1606" s="3">
        <v>8824.44</v>
      </c>
      <c r="F1606" s="1">
        <v>2197000</v>
      </c>
    </row>
    <row r="1607" spans="1:6">
      <c r="A1607" s="2">
        <v>40731</v>
      </c>
      <c r="B1607" s="1">
        <v>8795</v>
      </c>
      <c r="C1607" s="1">
        <v>8795.8799999999992</v>
      </c>
      <c r="D1607" s="1">
        <v>8757.4699999999993</v>
      </c>
      <c r="E1607" s="3">
        <v>8773.42</v>
      </c>
      <c r="F1607" s="1">
        <v>2347600</v>
      </c>
    </row>
    <row r="1608" spans="1:6">
      <c r="A1608" s="2">
        <v>40732</v>
      </c>
      <c r="B1608" s="1">
        <v>8782.7199999999993</v>
      </c>
      <c r="C1608" s="1">
        <v>8839.14</v>
      </c>
      <c r="D1608" s="1">
        <v>8740</v>
      </c>
      <c r="E1608" s="3">
        <v>8749.5499999999993</v>
      </c>
      <c r="F1608" s="1">
        <v>2652000</v>
      </c>
    </row>
    <row r="1609" spans="1:6">
      <c r="A1609" s="2">
        <v>40735</v>
      </c>
      <c r="B1609" s="1">
        <v>8749.5499999999993</v>
      </c>
      <c r="C1609" s="1">
        <v>8749.5499999999993</v>
      </c>
      <c r="D1609" s="1">
        <v>8633.5499999999993</v>
      </c>
      <c r="E1609" s="3">
        <v>8665.85</v>
      </c>
      <c r="F1609" s="1">
        <v>2013200</v>
      </c>
    </row>
    <row r="1610" spans="1:6">
      <c r="A1610" s="2">
        <v>40736</v>
      </c>
      <c r="B1610" s="1">
        <v>8581.43</v>
      </c>
      <c r="C1610" s="1">
        <v>8595.07</v>
      </c>
      <c r="D1610" s="1">
        <v>8479.9</v>
      </c>
      <c r="E1610" s="3">
        <v>8491.01</v>
      </c>
      <c r="F1610" s="1">
        <v>2547400</v>
      </c>
    </row>
    <row r="1611" spans="1:6">
      <c r="A1611" s="2">
        <v>40737</v>
      </c>
      <c r="B1611" s="1">
        <v>8480.26</v>
      </c>
      <c r="C1611" s="1">
        <v>8539.18</v>
      </c>
      <c r="D1611" s="1">
        <v>8452.86</v>
      </c>
      <c r="E1611" s="3">
        <v>8488.06</v>
      </c>
      <c r="F1611" s="1">
        <v>2393600</v>
      </c>
    </row>
    <row r="1612" spans="1:6">
      <c r="A1612" s="2">
        <v>40738</v>
      </c>
      <c r="B1612" s="1">
        <v>8495.51</v>
      </c>
      <c r="C1612" s="1">
        <v>8531.9599999999991</v>
      </c>
      <c r="D1612" s="1">
        <v>8410.44</v>
      </c>
      <c r="E1612" s="3">
        <v>8481.35</v>
      </c>
      <c r="F1612" s="1">
        <v>2518200</v>
      </c>
    </row>
    <row r="1613" spans="1:6">
      <c r="A1613" s="2">
        <v>40739</v>
      </c>
      <c r="B1613" s="1">
        <v>8494.7000000000007</v>
      </c>
      <c r="C1613" s="1">
        <v>8579.7999999999993</v>
      </c>
      <c r="D1613" s="1">
        <v>8462.0499999999993</v>
      </c>
      <c r="E1613" s="3">
        <v>8574.91</v>
      </c>
      <c r="F1613" s="1">
        <v>2598800</v>
      </c>
    </row>
    <row r="1614" spans="1:6">
      <c r="A1614" s="2">
        <v>40742</v>
      </c>
      <c r="B1614" s="1">
        <v>8550.16</v>
      </c>
      <c r="C1614" s="1">
        <v>8580.33</v>
      </c>
      <c r="D1614" s="1">
        <v>8473.91</v>
      </c>
      <c r="E1614" s="3">
        <v>8538.57</v>
      </c>
      <c r="F1614" s="1">
        <v>2457000</v>
      </c>
    </row>
    <row r="1615" spans="1:6">
      <c r="A1615" s="2">
        <v>40743</v>
      </c>
      <c r="B1615" s="1">
        <v>8528.2000000000007</v>
      </c>
      <c r="C1615" s="1">
        <v>8554.41</v>
      </c>
      <c r="D1615" s="1">
        <v>8490.7900000000009</v>
      </c>
      <c r="E1615" s="3">
        <v>8524.57</v>
      </c>
      <c r="F1615" s="1">
        <v>2247800</v>
      </c>
    </row>
    <row r="1616" spans="1:6">
      <c r="A1616" s="2">
        <v>40744</v>
      </c>
      <c r="B1616" s="1">
        <v>8612.5300000000007</v>
      </c>
      <c r="C1616" s="1">
        <v>8706.17</v>
      </c>
      <c r="D1616" s="1">
        <v>8612.5300000000007</v>
      </c>
      <c r="E1616" s="3">
        <v>8706.17</v>
      </c>
      <c r="F1616" s="1">
        <v>2872000</v>
      </c>
    </row>
    <row r="1617" spans="1:6">
      <c r="A1617" s="2">
        <v>40745</v>
      </c>
      <c r="B1617" s="1">
        <v>8705.84</v>
      </c>
      <c r="C1617" s="1">
        <v>8725.9699999999993</v>
      </c>
      <c r="D1617" s="1">
        <v>8683.0499999999993</v>
      </c>
      <c r="E1617" s="3">
        <v>8717.14</v>
      </c>
      <c r="F1617" s="1">
        <v>2804400</v>
      </c>
    </row>
    <row r="1618" spans="1:6">
      <c r="A1618" s="2">
        <v>40746</v>
      </c>
      <c r="B1618" s="1">
        <v>8770.9500000000007</v>
      </c>
      <c r="C1618" s="1">
        <v>8794.48</v>
      </c>
      <c r="D1618" s="1">
        <v>8741.09</v>
      </c>
      <c r="E1618" s="3">
        <v>8765.32</v>
      </c>
      <c r="F1618" s="1">
        <v>3259600</v>
      </c>
    </row>
    <row r="1619" spans="1:6">
      <c r="A1619" s="2">
        <v>40749</v>
      </c>
      <c r="B1619" s="1">
        <v>8764.68</v>
      </c>
      <c r="C1619" s="1">
        <v>8786.0300000000007</v>
      </c>
      <c r="D1619" s="1">
        <v>8661.76</v>
      </c>
      <c r="E1619" s="3">
        <v>8683.51</v>
      </c>
      <c r="F1619" s="1">
        <v>2429400</v>
      </c>
    </row>
    <row r="1620" spans="1:6">
      <c r="A1620" s="2">
        <v>40750</v>
      </c>
      <c r="B1620" s="1">
        <v>8700.59</v>
      </c>
      <c r="C1620" s="1">
        <v>8794.24</v>
      </c>
      <c r="D1620" s="1">
        <v>8689.15</v>
      </c>
      <c r="E1620" s="3">
        <v>8794.24</v>
      </c>
      <c r="F1620" s="1">
        <v>2358200</v>
      </c>
    </row>
    <row r="1621" spans="1:6">
      <c r="A1621" s="2">
        <v>40751</v>
      </c>
      <c r="B1621" s="1">
        <v>8775.18</v>
      </c>
      <c r="C1621" s="1">
        <v>8819.93</v>
      </c>
      <c r="D1621" s="1">
        <v>8754.51</v>
      </c>
      <c r="E1621" s="3">
        <v>8817.49</v>
      </c>
      <c r="F1621" s="1">
        <v>2979000</v>
      </c>
    </row>
    <row r="1622" spans="1:6">
      <c r="A1622" s="2">
        <v>40752</v>
      </c>
      <c r="B1622" s="1">
        <v>8739.83</v>
      </c>
      <c r="C1622" s="1">
        <v>8790.68</v>
      </c>
      <c r="D1622" s="1">
        <v>8702.84</v>
      </c>
      <c r="E1622" s="3">
        <v>8767.2000000000007</v>
      </c>
      <c r="F1622" s="1">
        <v>2852400</v>
      </c>
    </row>
    <row r="1623" spans="1:6">
      <c r="A1623" s="2">
        <v>40753</v>
      </c>
      <c r="B1623" s="1">
        <v>8737.7199999999993</v>
      </c>
      <c r="C1623" s="1">
        <v>8771.64</v>
      </c>
      <c r="D1623" s="1">
        <v>8638.67</v>
      </c>
      <c r="E1623" s="3">
        <v>8644.18</v>
      </c>
      <c r="F1623" s="1">
        <v>3088600</v>
      </c>
    </row>
    <row r="1624" spans="1:6">
      <c r="A1624" s="2">
        <v>40756</v>
      </c>
      <c r="B1624" s="1">
        <v>8629.9699999999993</v>
      </c>
      <c r="C1624" s="1">
        <v>8707.8700000000008</v>
      </c>
      <c r="D1624" s="1">
        <v>8629.9699999999993</v>
      </c>
      <c r="E1624" s="3">
        <v>8701.3799999999992</v>
      </c>
      <c r="F1624" s="1">
        <v>3193600</v>
      </c>
    </row>
    <row r="1625" spans="1:6">
      <c r="A1625" s="2">
        <v>40757</v>
      </c>
      <c r="B1625" s="1">
        <v>8629.09</v>
      </c>
      <c r="C1625" s="1">
        <v>8629.09</v>
      </c>
      <c r="D1625" s="1">
        <v>8557.7000000000007</v>
      </c>
      <c r="E1625" s="3">
        <v>8584.7199999999993</v>
      </c>
      <c r="F1625" s="1">
        <v>2822400</v>
      </c>
    </row>
    <row r="1626" spans="1:6">
      <c r="A1626" s="2">
        <v>40758</v>
      </c>
      <c r="B1626" s="1">
        <v>8466.35</v>
      </c>
      <c r="C1626" s="1">
        <v>8472.27</v>
      </c>
      <c r="D1626" s="1">
        <v>8360.73</v>
      </c>
      <c r="E1626" s="3">
        <v>8456.86</v>
      </c>
      <c r="F1626" s="1">
        <v>3447400</v>
      </c>
    </row>
    <row r="1627" spans="1:6">
      <c r="A1627" s="2">
        <v>40759</v>
      </c>
      <c r="B1627" s="1">
        <v>8472.3700000000008</v>
      </c>
      <c r="C1627" s="1">
        <v>8496.07</v>
      </c>
      <c r="D1627" s="1">
        <v>8317.27</v>
      </c>
      <c r="E1627" s="3">
        <v>8317.27</v>
      </c>
      <c r="F1627" s="1">
        <v>3285200</v>
      </c>
    </row>
    <row r="1628" spans="1:6">
      <c r="A1628" s="2">
        <v>40760</v>
      </c>
      <c r="B1628" s="1">
        <v>7962.87</v>
      </c>
      <c r="C1628" s="1">
        <v>7975.82</v>
      </c>
      <c r="D1628" s="1">
        <v>7844.77</v>
      </c>
      <c r="E1628" s="3">
        <v>7853.13</v>
      </c>
      <c r="F1628" s="1">
        <v>4304800</v>
      </c>
    </row>
    <row r="1629" spans="1:6">
      <c r="A1629" s="2">
        <v>40763</v>
      </c>
      <c r="B1629" s="1">
        <v>7769.6</v>
      </c>
      <c r="C1629" s="1">
        <v>7799.49</v>
      </c>
      <c r="D1629" s="1">
        <v>7451.29</v>
      </c>
      <c r="E1629" s="3">
        <v>7552.8</v>
      </c>
      <c r="F1629" s="1">
        <v>4298800</v>
      </c>
    </row>
    <row r="1630" spans="1:6">
      <c r="A1630" s="2">
        <v>40764</v>
      </c>
      <c r="B1630" s="1">
        <v>7261.54</v>
      </c>
      <c r="C1630" s="1">
        <v>7599.14</v>
      </c>
      <c r="D1630" s="1">
        <v>7148.76</v>
      </c>
      <c r="E1630" s="3">
        <v>7493.12</v>
      </c>
      <c r="F1630" s="1">
        <v>5373400</v>
      </c>
    </row>
    <row r="1631" spans="1:6">
      <c r="A1631" s="2">
        <v>40765</v>
      </c>
      <c r="B1631" s="1">
        <v>7717.58</v>
      </c>
      <c r="C1631" s="1">
        <v>7751.59</v>
      </c>
      <c r="D1631" s="1">
        <v>7632.34</v>
      </c>
      <c r="E1631" s="3">
        <v>7736.32</v>
      </c>
      <c r="F1631" s="1">
        <v>4546000</v>
      </c>
    </row>
    <row r="1632" spans="1:6">
      <c r="A1632" s="2">
        <v>40766</v>
      </c>
      <c r="B1632" s="1">
        <v>7566.39</v>
      </c>
      <c r="C1632" s="1">
        <v>7761.4</v>
      </c>
      <c r="D1632" s="1">
        <v>7499.54</v>
      </c>
      <c r="E1632" s="3">
        <v>7719.09</v>
      </c>
      <c r="F1632" s="1">
        <v>3751200</v>
      </c>
    </row>
    <row r="1633" spans="1:6">
      <c r="A1633" s="2">
        <v>40767</v>
      </c>
      <c r="B1633" s="1">
        <v>7825.8</v>
      </c>
      <c r="C1633" s="1">
        <v>7853.53</v>
      </c>
      <c r="D1633" s="1">
        <v>7637.02</v>
      </c>
      <c r="E1633" s="3">
        <v>7637.02</v>
      </c>
      <c r="F1633" s="1">
        <v>3474600</v>
      </c>
    </row>
    <row r="1634" spans="1:6">
      <c r="A1634" s="2">
        <v>40770</v>
      </c>
      <c r="B1634" s="1">
        <v>7769.17</v>
      </c>
      <c r="C1634" s="1">
        <v>7819.39</v>
      </c>
      <c r="D1634" s="1">
        <v>7748.46</v>
      </c>
      <c r="E1634" s="3">
        <v>7819.39</v>
      </c>
      <c r="F1634" s="1">
        <v>2220000</v>
      </c>
    </row>
    <row r="1635" spans="1:6">
      <c r="A1635" s="2">
        <v>40771</v>
      </c>
      <c r="B1635" s="1">
        <v>7886.93</v>
      </c>
      <c r="C1635" s="1">
        <v>7896.19</v>
      </c>
      <c r="D1635" s="1">
        <v>7778.65</v>
      </c>
      <c r="E1635" s="3">
        <v>7798.59</v>
      </c>
      <c r="F1635" s="1">
        <v>2422600</v>
      </c>
    </row>
    <row r="1636" spans="1:6">
      <c r="A1636" s="2">
        <v>40772</v>
      </c>
      <c r="B1636" s="1">
        <v>7807.67</v>
      </c>
      <c r="C1636" s="1">
        <v>7821.99</v>
      </c>
      <c r="D1636" s="1">
        <v>7732.32</v>
      </c>
      <c r="E1636" s="3">
        <v>7741.76</v>
      </c>
      <c r="F1636" s="1">
        <v>2395200</v>
      </c>
    </row>
    <row r="1637" spans="1:6">
      <c r="A1637" s="2">
        <v>40773</v>
      </c>
      <c r="B1637" s="1">
        <v>7721.19</v>
      </c>
      <c r="C1637" s="1">
        <v>7721.19</v>
      </c>
      <c r="D1637" s="1">
        <v>7561.02</v>
      </c>
      <c r="E1637" s="3">
        <v>7614.97</v>
      </c>
      <c r="F1637" s="1">
        <v>2615600</v>
      </c>
    </row>
    <row r="1638" spans="1:6">
      <c r="A1638" s="2">
        <v>40774</v>
      </c>
      <c r="B1638" s="1">
        <v>7414.36</v>
      </c>
      <c r="C1638" s="1">
        <v>7429.96</v>
      </c>
      <c r="D1638" s="1">
        <v>7316.83</v>
      </c>
      <c r="E1638" s="3">
        <v>7342.96</v>
      </c>
      <c r="F1638" s="1">
        <v>2901400</v>
      </c>
    </row>
    <row r="1639" spans="1:6">
      <c r="A1639" s="2">
        <v>40777</v>
      </c>
      <c r="B1639" s="1">
        <v>7348.71</v>
      </c>
      <c r="C1639" s="1">
        <v>7468.74</v>
      </c>
      <c r="D1639" s="1">
        <v>7248.69</v>
      </c>
      <c r="E1639" s="3">
        <v>7312.59</v>
      </c>
      <c r="F1639" s="1">
        <v>2848000</v>
      </c>
    </row>
    <row r="1640" spans="1:6">
      <c r="A1640" s="2">
        <v>40778</v>
      </c>
      <c r="B1640" s="1">
        <v>7369.43</v>
      </c>
      <c r="C1640" s="1">
        <v>7564.64</v>
      </c>
      <c r="D1640" s="1">
        <v>7349.57</v>
      </c>
      <c r="E1640" s="3">
        <v>7550.23</v>
      </c>
      <c r="F1640" s="1">
        <v>2798400</v>
      </c>
    </row>
    <row r="1641" spans="1:6">
      <c r="A1641" s="2">
        <v>40779</v>
      </c>
      <c r="B1641" s="1">
        <v>7592.51</v>
      </c>
      <c r="C1641" s="1">
        <v>7594.81</v>
      </c>
      <c r="D1641" s="1">
        <v>7432.52</v>
      </c>
      <c r="E1641" s="3">
        <v>7502.93</v>
      </c>
      <c r="F1641" s="1">
        <v>2874400</v>
      </c>
    </row>
    <row r="1642" spans="1:6">
      <c r="A1642" s="2">
        <v>40780</v>
      </c>
      <c r="B1642" s="1">
        <v>7559.47</v>
      </c>
      <c r="C1642" s="1">
        <v>7564.87</v>
      </c>
      <c r="D1642" s="1">
        <v>7409.02</v>
      </c>
      <c r="E1642" s="3">
        <v>7410.87</v>
      </c>
      <c r="F1642" s="1">
        <v>2588200</v>
      </c>
    </row>
    <row r="1643" spans="1:6">
      <c r="A1643" s="2">
        <v>40781</v>
      </c>
      <c r="B1643" s="1">
        <v>7438.52</v>
      </c>
      <c r="C1643" s="1">
        <v>7503.38</v>
      </c>
      <c r="D1643" s="1">
        <v>7389.57</v>
      </c>
      <c r="E1643" s="3">
        <v>7445.1</v>
      </c>
      <c r="F1643" s="1">
        <v>2441000</v>
      </c>
    </row>
    <row r="1644" spans="1:6">
      <c r="A1644" s="2">
        <v>40784</v>
      </c>
      <c r="B1644" s="1">
        <v>7482.92</v>
      </c>
      <c r="C1644" s="1">
        <v>7608.77</v>
      </c>
      <c r="D1644" s="1">
        <v>7474.31</v>
      </c>
      <c r="E1644" s="3">
        <v>7578.01</v>
      </c>
      <c r="F1644" s="1">
        <v>1952800</v>
      </c>
    </row>
    <row r="1645" spans="1:6">
      <c r="A1645" s="2">
        <v>40785</v>
      </c>
      <c r="B1645" s="1">
        <v>7654.37</v>
      </c>
      <c r="C1645" s="1">
        <v>7675.17</v>
      </c>
      <c r="D1645" s="1">
        <v>7599.27</v>
      </c>
      <c r="E1645" s="3">
        <v>7646.19</v>
      </c>
      <c r="F1645" s="1">
        <v>2556600</v>
      </c>
    </row>
    <row r="1646" spans="1:6">
      <c r="A1646" s="2">
        <v>40786</v>
      </c>
      <c r="B1646" s="1">
        <v>7665.22</v>
      </c>
      <c r="C1646" s="1">
        <v>7741.36</v>
      </c>
      <c r="D1646" s="1">
        <v>7602.68</v>
      </c>
      <c r="E1646" s="3">
        <v>7741.36</v>
      </c>
      <c r="F1646" s="1">
        <v>2482400</v>
      </c>
    </row>
    <row r="1647" spans="1:6">
      <c r="A1647" s="2">
        <v>40787</v>
      </c>
      <c r="B1647" s="1">
        <v>7799.18</v>
      </c>
      <c r="C1647" s="1">
        <v>7886.04</v>
      </c>
      <c r="D1647" s="1">
        <v>7755.55</v>
      </c>
      <c r="E1647" s="3">
        <v>7757.76</v>
      </c>
      <c r="F1647" s="1">
        <v>3465400</v>
      </c>
    </row>
    <row r="1648" spans="1:6">
      <c r="A1648" s="2">
        <v>40788</v>
      </c>
      <c r="B1648" s="1">
        <v>7801.28</v>
      </c>
      <c r="C1648" s="1">
        <v>7801.28</v>
      </c>
      <c r="D1648" s="1">
        <v>7703.1</v>
      </c>
      <c r="E1648" s="3">
        <v>7757.06</v>
      </c>
      <c r="F1648" s="1">
        <v>2128800</v>
      </c>
    </row>
    <row r="1649" spans="1:6">
      <c r="A1649" s="2">
        <v>40791</v>
      </c>
      <c r="B1649" s="1">
        <v>7637.9</v>
      </c>
      <c r="C1649" s="1">
        <v>7637.9</v>
      </c>
      <c r="D1649" s="1">
        <v>7538.58</v>
      </c>
      <c r="E1649" s="3">
        <v>7551.57</v>
      </c>
      <c r="F1649" s="1">
        <v>2161200</v>
      </c>
    </row>
    <row r="1650" spans="1:6">
      <c r="A1650" s="2">
        <v>40792</v>
      </c>
      <c r="B1650" s="1">
        <v>7496.24</v>
      </c>
      <c r="C1650" s="1">
        <v>7522.94</v>
      </c>
      <c r="D1650" s="1">
        <v>7357.76</v>
      </c>
      <c r="E1650" s="3">
        <v>7367.19</v>
      </c>
      <c r="F1650" s="1">
        <v>2654200</v>
      </c>
    </row>
    <row r="1651" spans="1:6">
      <c r="A1651" s="2">
        <v>40793</v>
      </c>
      <c r="B1651" s="1">
        <v>7468.29</v>
      </c>
      <c r="C1651" s="1">
        <v>7529.01</v>
      </c>
      <c r="D1651" s="1">
        <v>7428.7</v>
      </c>
      <c r="E1651" s="3">
        <v>7529.01</v>
      </c>
      <c r="F1651" s="1">
        <v>2179800</v>
      </c>
    </row>
    <row r="1652" spans="1:6">
      <c r="A1652" s="2">
        <v>40794</v>
      </c>
      <c r="B1652" s="1">
        <v>7601.29</v>
      </c>
      <c r="C1652" s="1">
        <v>7626.78</v>
      </c>
      <c r="D1652" s="1">
        <v>7520.76</v>
      </c>
      <c r="E1652" s="3">
        <v>7548.37</v>
      </c>
      <c r="F1652" s="1">
        <v>2342000</v>
      </c>
    </row>
    <row r="1653" spans="1:6">
      <c r="A1653" s="2">
        <v>40795</v>
      </c>
      <c r="B1653" s="1">
        <v>7568.22</v>
      </c>
      <c r="C1653" s="1">
        <v>7651.27</v>
      </c>
      <c r="D1653" s="1">
        <v>7547</v>
      </c>
      <c r="E1653" s="3">
        <v>7610.57</v>
      </c>
      <c r="F1653" s="1">
        <v>2094200</v>
      </c>
    </row>
    <row r="1654" spans="1:6">
      <c r="A1654" s="2">
        <v>40799</v>
      </c>
      <c r="B1654" s="1">
        <v>7530</v>
      </c>
      <c r="C1654" s="1">
        <v>7538.04</v>
      </c>
      <c r="D1654" s="1">
        <v>7382</v>
      </c>
      <c r="E1654" s="3">
        <v>7391.37</v>
      </c>
      <c r="F1654" s="1">
        <v>2371600</v>
      </c>
    </row>
    <row r="1655" spans="1:6">
      <c r="A1655" s="2">
        <v>40800</v>
      </c>
      <c r="B1655" s="1">
        <v>7455.5</v>
      </c>
      <c r="C1655" s="1">
        <v>7477.86</v>
      </c>
      <c r="D1655" s="1">
        <v>7186.75</v>
      </c>
      <c r="E1655" s="3">
        <v>7228.47</v>
      </c>
      <c r="F1655" s="1">
        <v>3096600</v>
      </c>
    </row>
    <row r="1656" spans="1:6">
      <c r="A1656" s="2">
        <v>40801</v>
      </c>
      <c r="B1656" s="1">
        <v>7374.58</v>
      </c>
      <c r="C1656" s="1">
        <v>7430.29</v>
      </c>
      <c r="D1656" s="1">
        <v>7348.21</v>
      </c>
      <c r="E1656" s="3">
        <v>7385.68</v>
      </c>
      <c r="F1656" s="1">
        <v>2425000</v>
      </c>
    </row>
    <row r="1657" spans="1:6">
      <c r="A1657" s="2">
        <v>40802</v>
      </c>
      <c r="B1657" s="1">
        <v>7494.29</v>
      </c>
      <c r="C1657" s="1">
        <v>7606.7</v>
      </c>
      <c r="D1657" s="1">
        <v>7494.29</v>
      </c>
      <c r="E1657" s="3">
        <v>7577.4</v>
      </c>
      <c r="F1657" s="1">
        <v>3027600</v>
      </c>
    </row>
    <row r="1658" spans="1:6">
      <c r="A1658" s="2">
        <v>40805</v>
      </c>
      <c r="B1658" s="1">
        <v>7572.83</v>
      </c>
      <c r="C1658" s="1">
        <v>7572.94</v>
      </c>
      <c r="D1658" s="1">
        <v>7468.77</v>
      </c>
      <c r="E1658" s="3">
        <v>7480.88</v>
      </c>
      <c r="F1658" s="1">
        <v>1743600</v>
      </c>
    </row>
    <row r="1659" spans="1:6">
      <c r="A1659" s="2">
        <v>40806</v>
      </c>
      <c r="B1659" s="1">
        <v>7485.6</v>
      </c>
      <c r="C1659" s="1">
        <v>7544.88</v>
      </c>
      <c r="D1659" s="1">
        <v>7389.39</v>
      </c>
      <c r="E1659" s="3">
        <v>7492.85</v>
      </c>
      <c r="F1659" s="1">
        <v>2267200</v>
      </c>
    </row>
    <row r="1660" spans="1:6">
      <c r="A1660" s="2">
        <v>40807</v>
      </c>
      <c r="B1660" s="1">
        <v>7515.66</v>
      </c>
      <c r="C1660" s="1">
        <v>7574.78</v>
      </c>
      <c r="D1660" s="1">
        <v>7465.98</v>
      </c>
      <c r="E1660" s="3">
        <v>7535.88</v>
      </c>
      <c r="F1660" s="1">
        <v>2492600</v>
      </c>
    </row>
    <row r="1661" spans="1:6">
      <c r="A1661" s="2">
        <v>40808</v>
      </c>
      <c r="B1661" s="1">
        <v>7419.49</v>
      </c>
      <c r="C1661" s="1">
        <v>7419.49</v>
      </c>
      <c r="D1661" s="1">
        <v>7287.76</v>
      </c>
      <c r="E1661" s="3">
        <v>7305.5</v>
      </c>
      <c r="F1661" s="1">
        <v>2665400</v>
      </c>
    </row>
    <row r="1662" spans="1:6">
      <c r="A1662" s="2">
        <v>40809</v>
      </c>
      <c r="B1662" s="1">
        <v>7101.34</v>
      </c>
      <c r="C1662" s="1">
        <v>7126.81</v>
      </c>
      <c r="D1662" s="1">
        <v>6997.61</v>
      </c>
      <c r="E1662" s="3">
        <v>7046.22</v>
      </c>
      <c r="F1662" s="1">
        <v>3274800</v>
      </c>
    </row>
    <row r="1663" spans="1:6">
      <c r="A1663" s="2">
        <v>40812</v>
      </c>
      <c r="B1663" s="1">
        <v>7026.49</v>
      </c>
      <c r="C1663" s="1">
        <v>7058.43</v>
      </c>
      <c r="D1663" s="1">
        <v>6877.12</v>
      </c>
      <c r="E1663" s="3">
        <v>6877.12</v>
      </c>
      <c r="F1663" s="1">
        <v>2739400</v>
      </c>
    </row>
    <row r="1664" spans="1:6">
      <c r="A1664" s="2">
        <v>40813</v>
      </c>
      <c r="B1664" s="1">
        <v>7031.13</v>
      </c>
      <c r="C1664" s="1">
        <v>7119.14</v>
      </c>
      <c r="D1664" s="1">
        <v>7027.89</v>
      </c>
      <c r="E1664" s="3">
        <v>7089.95</v>
      </c>
      <c r="F1664" s="1">
        <v>2696600</v>
      </c>
    </row>
    <row r="1665" spans="1:6">
      <c r="A1665" s="2">
        <v>40814</v>
      </c>
      <c r="B1665" s="1">
        <v>7148.38</v>
      </c>
      <c r="C1665" s="1">
        <v>7154.4</v>
      </c>
      <c r="D1665" s="1">
        <v>7099.73</v>
      </c>
      <c r="E1665" s="3">
        <v>7146.98</v>
      </c>
      <c r="F1665" s="1">
        <v>2370600</v>
      </c>
    </row>
    <row r="1666" spans="1:6">
      <c r="A1666" s="2">
        <v>40815</v>
      </c>
      <c r="B1666" s="1">
        <v>7090.12</v>
      </c>
      <c r="C1666" s="1">
        <v>7218.57</v>
      </c>
      <c r="D1666" s="1">
        <v>7061.01</v>
      </c>
      <c r="E1666" s="3">
        <v>7182.61</v>
      </c>
      <c r="F1666" s="1">
        <v>2291800</v>
      </c>
    </row>
    <row r="1667" spans="1:6">
      <c r="A1667" s="2">
        <v>40816</v>
      </c>
      <c r="B1667" s="1">
        <v>7222.16</v>
      </c>
      <c r="C1667" s="1">
        <v>7251.87</v>
      </c>
      <c r="D1667" s="1">
        <v>7163.75</v>
      </c>
      <c r="E1667" s="3">
        <v>7225.38</v>
      </c>
      <c r="F1667" s="1">
        <v>2340800</v>
      </c>
    </row>
    <row r="1668" spans="1:6">
      <c r="A1668" s="2">
        <v>40819</v>
      </c>
      <c r="B1668" s="1">
        <v>7128.66</v>
      </c>
      <c r="C1668" s="1">
        <v>7128.66</v>
      </c>
      <c r="D1668" s="1">
        <v>6998.37</v>
      </c>
      <c r="E1668" s="3">
        <v>7013.97</v>
      </c>
      <c r="F1668" s="1">
        <v>2067600</v>
      </c>
    </row>
    <row r="1669" spans="1:6">
      <c r="A1669" s="2">
        <v>40820</v>
      </c>
      <c r="B1669" s="1">
        <v>6937.24</v>
      </c>
      <c r="C1669" s="1">
        <v>7047.99</v>
      </c>
      <c r="D1669" s="1">
        <v>6889.99</v>
      </c>
      <c r="E1669" s="3">
        <v>7047.87</v>
      </c>
      <c r="F1669" s="1">
        <v>2281000</v>
      </c>
    </row>
    <row r="1670" spans="1:6">
      <c r="A1670" s="2">
        <v>40821</v>
      </c>
      <c r="B1670" s="1">
        <v>7061.17</v>
      </c>
      <c r="C1670" s="1">
        <v>7091.01</v>
      </c>
      <c r="D1670" s="1">
        <v>6989.15</v>
      </c>
      <c r="E1670" s="3">
        <v>6989.15</v>
      </c>
      <c r="F1670" s="1">
        <v>1735200</v>
      </c>
    </row>
    <row r="1671" spans="1:6">
      <c r="A1671" s="2">
        <v>40822</v>
      </c>
      <c r="B1671" s="1">
        <v>7094.61</v>
      </c>
      <c r="C1671" s="1">
        <v>7170.92</v>
      </c>
      <c r="D1671" s="1">
        <v>7094.61</v>
      </c>
      <c r="E1671" s="3">
        <v>7132</v>
      </c>
      <c r="F1671" s="1">
        <v>2206600</v>
      </c>
    </row>
    <row r="1672" spans="1:6">
      <c r="A1672" s="2">
        <v>40823</v>
      </c>
      <c r="B1672" s="1">
        <v>7210.92</v>
      </c>
      <c r="C1672" s="1">
        <v>7253.09</v>
      </c>
      <c r="D1672" s="1">
        <v>7196.22</v>
      </c>
      <c r="E1672" s="3">
        <v>7211.96</v>
      </c>
      <c r="F1672" s="1">
        <v>2301800</v>
      </c>
    </row>
    <row r="1673" spans="1:6">
      <c r="A1673" s="2">
        <v>40827</v>
      </c>
      <c r="B1673" s="1">
        <v>7348.86</v>
      </c>
      <c r="C1673" s="1">
        <v>7398.71</v>
      </c>
      <c r="D1673" s="1">
        <v>7348.86</v>
      </c>
      <c r="E1673" s="3">
        <v>7398.71</v>
      </c>
      <c r="F1673" s="1">
        <v>2742000</v>
      </c>
    </row>
    <row r="1674" spans="1:6">
      <c r="A1674" s="2">
        <v>40828</v>
      </c>
      <c r="B1674" s="1">
        <v>7390.06</v>
      </c>
      <c r="C1674" s="1">
        <v>7407.08</v>
      </c>
      <c r="D1674" s="1">
        <v>7323.54</v>
      </c>
      <c r="E1674" s="3">
        <v>7382.35</v>
      </c>
      <c r="F1674" s="1">
        <v>2189800</v>
      </c>
    </row>
    <row r="1675" spans="1:6">
      <c r="A1675" s="2">
        <v>40829</v>
      </c>
      <c r="B1675" s="1">
        <v>7423.18</v>
      </c>
      <c r="C1675" s="1">
        <v>7444.33</v>
      </c>
      <c r="D1675" s="1">
        <v>7372.41</v>
      </c>
      <c r="E1675" s="3">
        <v>7428.33</v>
      </c>
      <c r="F1675" s="1">
        <v>2356600</v>
      </c>
    </row>
    <row r="1676" spans="1:6">
      <c r="A1676" s="2">
        <v>40830</v>
      </c>
      <c r="B1676" s="1">
        <v>7430.5</v>
      </c>
      <c r="C1676" s="1">
        <v>7430.5</v>
      </c>
      <c r="D1676" s="1">
        <v>7353.8</v>
      </c>
      <c r="E1676" s="3">
        <v>7358.08</v>
      </c>
      <c r="F1676" s="1">
        <v>1807200</v>
      </c>
    </row>
    <row r="1677" spans="1:6">
      <c r="A1677" s="2">
        <v>40833</v>
      </c>
      <c r="B1677" s="1">
        <v>7412.88</v>
      </c>
      <c r="C1677" s="1">
        <v>7475.06</v>
      </c>
      <c r="D1677" s="1">
        <v>7401.3</v>
      </c>
      <c r="E1677" s="3">
        <v>7461.12</v>
      </c>
      <c r="F1677" s="1">
        <v>1882200</v>
      </c>
    </row>
    <row r="1678" spans="1:6">
      <c r="A1678" s="2">
        <v>40834</v>
      </c>
      <c r="B1678" s="1">
        <v>7352.12</v>
      </c>
      <c r="C1678" s="1">
        <v>7379.08</v>
      </c>
      <c r="D1678" s="1">
        <v>7322.01</v>
      </c>
      <c r="E1678" s="3">
        <v>7359.48</v>
      </c>
      <c r="F1678" s="1">
        <v>1638200</v>
      </c>
    </row>
    <row r="1679" spans="1:6">
      <c r="A1679" s="2">
        <v>40835</v>
      </c>
      <c r="B1679" s="1">
        <v>7393.73</v>
      </c>
      <c r="C1679" s="1">
        <v>7393.73</v>
      </c>
      <c r="D1679" s="1">
        <v>7316.58</v>
      </c>
      <c r="E1679" s="3">
        <v>7353.37</v>
      </c>
      <c r="F1679" s="1">
        <v>1715800</v>
      </c>
    </row>
    <row r="1680" spans="1:6">
      <c r="A1680" s="2">
        <v>40836</v>
      </c>
      <c r="B1680" s="1">
        <v>7347.93</v>
      </c>
      <c r="C1680" s="1">
        <v>7361.22</v>
      </c>
      <c r="D1680" s="1">
        <v>7240.15</v>
      </c>
      <c r="E1680" s="3">
        <v>7244.32</v>
      </c>
      <c r="F1680" s="1">
        <v>1616000</v>
      </c>
    </row>
    <row r="1681" spans="1:6">
      <c r="A1681" s="2">
        <v>40837</v>
      </c>
      <c r="B1681" s="1">
        <v>7272.51</v>
      </c>
      <c r="C1681" s="1">
        <v>7272.51</v>
      </c>
      <c r="D1681" s="1">
        <v>7205.21</v>
      </c>
      <c r="E1681" s="3">
        <v>7254.51</v>
      </c>
      <c r="F1681" s="1">
        <v>1398600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X1682"/>
  <sheetViews>
    <sheetView tabSelected="1" topLeftCell="O1" zoomScaleNormal="100" workbookViewId="0">
      <selection activeCell="Z10" sqref="Z10"/>
    </sheetView>
  </sheetViews>
  <sheetFormatPr defaultRowHeight="16.5"/>
  <cols>
    <col min="1" max="1" width="12.75" style="4" customWidth="1"/>
    <col min="2" max="5" width="9" style="4"/>
    <col min="6" max="6" width="11.5" style="4" customWidth="1"/>
    <col min="7" max="8" width="9" style="8"/>
    <col min="9" max="9" width="10.625" style="8" customWidth="1"/>
    <col min="10" max="11" width="9" style="8"/>
    <col min="12" max="12" width="10.5" style="8" customWidth="1"/>
    <col min="13" max="15" width="9" style="9"/>
    <col min="16" max="18" width="9" style="14"/>
    <col min="19" max="21" width="9" style="17"/>
    <col min="22" max="23" width="11" style="32" customWidth="1"/>
    <col min="24" max="24" width="10.5" style="32" customWidth="1"/>
    <col min="25" max="25" width="9" style="32"/>
    <col min="26" max="27" width="9" style="3"/>
  </cols>
  <sheetData>
    <row r="1" spans="1:25">
      <c r="A1" s="22" t="s">
        <v>15</v>
      </c>
      <c r="B1" s="22"/>
      <c r="C1" s="22"/>
      <c r="D1" s="22"/>
      <c r="E1" s="22"/>
      <c r="F1" s="22"/>
      <c r="G1" s="24" t="s">
        <v>16</v>
      </c>
      <c r="H1" s="24"/>
      <c r="I1" s="24"/>
      <c r="J1" s="24"/>
      <c r="K1" s="24"/>
      <c r="L1" s="24"/>
      <c r="M1" s="23" t="s">
        <v>11</v>
      </c>
      <c r="N1" s="23"/>
      <c r="O1" s="23"/>
      <c r="P1" s="27" t="s">
        <v>27</v>
      </c>
      <c r="Q1" s="27"/>
      <c r="R1" s="27"/>
      <c r="S1" s="21" t="s">
        <v>32</v>
      </c>
      <c r="T1" s="21"/>
      <c r="U1" s="21"/>
      <c r="V1" s="34" t="s">
        <v>36</v>
      </c>
      <c r="W1" s="34"/>
      <c r="X1" s="34"/>
    </row>
    <row r="2" spans="1:25">
      <c r="A2" s="6" t="s">
        <v>0</v>
      </c>
      <c r="B2" s="6" t="s">
        <v>5</v>
      </c>
      <c r="C2" s="6" t="s">
        <v>4</v>
      </c>
      <c r="D2" s="6" t="s">
        <v>3</v>
      </c>
      <c r="E2" s="6" t="s">
        <v>2</v>
      </c>
      <c r="F2" s="6" t="s">
        <v>1</v>
      </c>
      <c r="G2" s="7" t="s">
        <v>6</v>
      </c>
      <c r="H2" s="7" t="s">
        <v>7</v>
      </c>
      <c r="I2" s="8" t="s">
        <v>8</v>
      </c>
      <c r="J2" s="8" t="s">
        <v>9</v>
      </c>
      <c r="K2" s="8" t="s">
        <v>26</v>
      </c>
      <c r="L2" s="8" t="s">
        <v>10</v>
      </c>
      <c r="M2" s="9" t="s">
        <v>12</v>
      </c>
      <c r="N2" s="9" t="s">
        <v>13</v>
      </c>
      <c r="O2" s="9" t="s">
        <v>14</v>
      </c>
      <c r="P2" s="14" t="s">
        <v>28</v>
      </c>
      <c r="Q2" s="14" t="s">
        <v>29</v>
      </c>
      <c r="R2" s="14" t="s">
        <v>30</v>
      </c>
      <c r="S2" s="17" t="s">
        <v>33</v>
      </c>
      <c r="T2" s="17" t="s">
        <v>35</v>
      </c>
      <c r="U2" s="17" t="s">
        <v>34</v>
      </c>
      <c r="V2" s="32" t="s">
        <v>39</v>
      </c>
      <c r="W2" s="32" t="s">
        <v>37</v>
      </c>
      <c r="X2" s="32" t="s">
        <v>38</v>
      </c>
      <c r="Y2" s="32" t="s">
        <v>44</v>
      </c>
    </row>
    <row r="3" spans="1:25">
      <c r="A3" s="5">
        <v>38355</v>
      </c>
      <c r="B3" s="4">
        <v>6166.39</v>
      </c>
      <c r="C3" s="4">
        <v>6183.15</v>
      </c>
      <c r="D3" s="4">
        <v>6129.28</v>
      </c>
      <c r="E3" s="4">
        <v>6143.12</v>
      </c>
      <c r="F3" s="4">
        <v>4212000</v>
      </c>
      <c r="G3" s="8" t="s">
        <v>17</v>
      </c>
      <c r="H3" s="8">
        <f>E3-B3</f>
        <v>-23.270000000000437</v>
      </c>
    </row>
    <row r="4" spans="1:25">
      <c r="A4" s="5">
        <v>38356</v>
      </c>
      <c r="B4" s="4">
        <v>6117.87</v>
      </c>
      <c r="C4" s="4">
        <v>6129.38</v>
      </c>
      <c r="D4" s="4">
        <v>6053.18</v>
      </c>
      <c r="E4" s="4">
        <v>6060.46</v>
      </c>
      <c r="F4" s="4">
        <v>3213200</v>
      </c>
      <c r="G4" s="8">
        <f>B4-E3</f>
        <v>-25.25</v>
      </c>
      <c r="H4" s="8">
        <f t="shared" ref="H4:H67" si="0">E4-B4</f>
        <v>-57.409999999999854</v>
      </c>
      <c r="J4" s="10" t="s">
        <v>18</v>
      </c>
      <c r="K4" s="25" t="s">
        <v>20</v>
      </c>
      <c r="L4" s="26"/>
      <c r="M4" s="11" t="s">
        <v>24</v>
      </c>
      <c r="N4" s="11" t="s">
        <v>25</v>
      </c>
      <c r="P4" s="14">
        <f>100*LN(E4/E3)</f>
        <v>-1.3547051629280942</v>
      </c>
      <c r="Q4" s="28" t="s">
        <v>31</v>
      </c>
      <c r="R4" s="29"/>
      <c r="S4" s="18"/>
      <c r="T4" s="18"/>
      <c r="U4" s="19" t="s">
        <v>41</v>
      </c>
      <c r="V4" s="35" t="s">
        <v>40</v>
      </c>
      <c r="W4" s="35" t="s">
        <v>42</v>
      </c>
      <c r="X4" s="35" t="s">
        <v>43</v>
      </c>
    </row>
    <row r="5" spans="1:25">
      <c r="A5" s="5">
        <v>38357</v>
      </c>
      <c r="B5" s="4">
        <v>5999.47</v>
      </c>
      <c r="C5" s="4">
        <v>6030.19</v>
      </c>
      <c r="D5" s="4">
        <v>5988.37</v>
      </c>
      <c r="E5" s="4">
        <v>5988.37</v>
      </c>
      <c r="F5" s="4">
        <v>2850000</v>
      </c>
      <c r="G5" s="8">
        <f t="shared" ref="G5:G68" si="1">B5-E4</f>
        <v>-60.989999999999782</v>
      </c>
      <c r="H5" s="8">
        <f t="shared" si="0"/>
        <v>-11.100000000000364</v>
      </c>
      <c r="J5" s="10">
        <v>3</v>
      </c>
      <c r="K5" s="10" t="s">
        <v>21</v>
      </c>
      <c r="L5" s="10">
        <f ca="1">L1682</f>
        <v>14540.000000000011</v>
      </c>
      <c r="M5" s="11">
        <v>10</v>
      </c>
      <c r="N5" s="11">
        <v>20</v>
      </c>
      <c r="P5" s="14">
        <f t="shared" ref="P5:P68" si="2">100*LN(E5/E4)</f>
        <v>-1.1966449895542586</v>
      </c>
      <c r="Q5" s="16">
        <v>10</v>
      </c>
      <c r="R5" s="16">
        <v>40</v>
      </c>
      <c r="S5" s="18"/>
      <c r="T5" s="18"/>
      <c r="U5" s="19">
        <f>2/15</f>
        <v>0.13333333333333333</v>
      </c>
      <c r="V5" s="35">
        <v>14</v>
      </c>
      <c r="W5" s="35">
        <v>1.5</v>
      </c>
      <c r="X5" s="35">
        <v>1.5</v>
      </c>
    </row>
    <row r="6" spans="1:25">
      <c r="A6" s="5">
        <v>38358</v>
      </c>
      <c r="B6" s="4">
        <v>5988.72</v>
      </c>
      <c r="C6" s="4">
        <v>6002.52</v>
      </c>
      <c r="D6" s="4">
        <v>5971.58</v>
      </c>
      <c r="E6" s="4">
        <v>5982.12</v>
      </c>
      <c r="F6" s="4">
        <v>2381000</v>
      </c>
      <c r="G6" s="8">
        <f t="shared" si="1"/>
        <v>0.3500000000003638</v>
      </c>
      <c r="H6" s="8">
        <f t="shared" si="0"/>
        <v>-6.6000000000003638</v>
      </c>
      <c r="J6" s="10" t="s">
        <v>19</v>
      </c>
      <c r="K6" s="10" t="s">
        <v>22</v>
      </c>
      <c r="L6" s="10">
        <f>E1682-B53</f>
        <v>1249.1500000000005</v>
      </c>
      <c r="P6" s="14">
        <f t="shared" si="2"/>
        <v>-0.10442347085090578</v>
      </c>
    </row>
    <row r="7" spans="1:25">
      <c r="A7" s="5">
        <v>38359</v>
      </c>
      <c r="B7" s="4">
        <v>5990.78</v>
      </c>
      <c r="C7" s="4">
        <v>6007.34</v>
      </c>
      <c r="D7" s="4">
        <v>5934.83</v>
      </c>
      <c r="E7" s="4">
        <v>5935.99</v>
      </c>
      <c r="F7" s="4">
        <v>2991000</v>
      </c>
      <c r="G7" s="8">
        <f t="shared" si="1"/>
        <v>8.6599999999998545</v>
      </c>
      <c r="H7" s="8">
        <f t="shared" si="0"/>
        <v>-54.789999999999964</v>
      </c>
      <c r="J7" s="10">
        <v>-3</v>
      </c>
      <c r="K7" s="10" t="s">
        <v>23</v>
      </c>
      <c r="L7" s="10">
        <f ca="1">L5-L6</f>
        <v>13290.850000000009</v>
      </c>
      <c r="P7" s="14">
        <f t="shared" si="2"/>
        <v>-0.77411989595534936</v>
      </c>
    </row>
    <row r="8" spans="1:25">
      <c r="A8" s="5">
        <v>38362</v>
      </c>
      <c r="B8" s="4">
        <v>5950.12</v>
      </c>
      <c r="C8" s="4">
        <v>5962.64</v>
      </c>
      <c r="D8" s="4">
        <v>5929.11</v>
      </c>
      <c r="E8" s="4">
        <v>5942.85</v>
      </c>
      <c r="F8" s="4">
        <v>2406400</v>
      </c>
      <c r="G8" s="8">
        <f t="shared" si="1"/>
        <v>14.130000000000109</v>
      </c>
      <c r="H8" s="8">
        <f t="shared" si="0"/>
        <v>-7.2699999999995271</v>
      </c>
      <c r="P8" s="14">
        <f t="shared" si="2"/>
        <v>0.11549950605633869</v>
      </c>
    </row>
    <row r="9" spans="1:25">
      <c r="A9" s="5">
        <v>38363</v>
      </c>
      <c r="B9" s="4">
        <v>5948.07</v>
      </c>
      <c r="C9" s="4">
        <v>5993.39</v>
      </c>
      <c r="D9" s="4">
        <v>5942.14</v>
      </c>
      <c r="E9" s="4">
        <v>5975.66</v>
      </c>
      <c r="F9" s="4">
        <v>2509600</v>
      </c>
      <c r="G9" s="8">
        <f t="shared" si="1"/>
        <v>5.2199999999993452</v>
      </c>
      <c r="H9" s="8">
        <f t="shared" si="0"/>
        <v>27.590000000000146</v>
      </c>
      <c r="P9" s="14">
        <f t="shared" si="2"/>
        <v>0.5505735680230972</v>
      </c>
    </row>
    <row r="10" spans="1:25">
      <c r="A10" s="5">
        <v>38364</v>
      </c>
      <c r="B10" s="4">
        <v>5957.9</v>
      </c>
      <c r="C10" s="4">
        <v>5978.41</v>
      </c>
      <c r="D10" s="4">
        <v>5878.39</v>
      </c>
      <c r="E10" s="4">
        <v>5879.08</v>
      </c>
      <c r="F10" s="4">
        <v>2901000</v>
      </c>
      <c r="G10" s="8">
        <f t="shared" si="1"/>
        <v>-17.760000000000218</v>
      </c>
      <c r="H10" s="8">
        <f t="shared" si="0"/>
        <v>-78.819999999999709</v>
      </c>
      <c r="P10" s="14">
        <f t="shared" si="2"/>
        <v>-1.6294264884381755</v>
      </c>
    </row>
    <row r="11" spans="1:25">
      <c r="A11" s="5">
        <v>38365</v>
      </c>
      <c r="B11" s="4">
        <v>5899.76</v>
      </c>
      <c r="C11" s="4">
        <v>5922.26</v>
      </c>
      <c r="D11" s="4">
        <v>5828.09</v>
      </c>
      <c r="E11" s="4">
        <v>5853.94</v>
      </c>
      <c r="F11" s="4">
        <v>3119800</v>
      </c>
      <c r="G11" s="8">
        <f t="shared" si="1"/>
        <v>20.680000000000291</v>
      </c>
      <c r="H11" s="8">
        <f t="shared" si="0"/>
        <v>-45.820000000000618</v>
      </c>
      <c r="P11" s="14">
        <f t="shared" si="2"/>
        <v>-0.42853482689040351</v>
      </c>
    </row>
    <row r="12" spans="1:25" hidden="1">
      <c r="A12" s="5">
        <v>38366</v>
      </c>
      <c r="B12" s="4">
        <v>5831.7</v>
      </c>
      <c r="C12" s="4">
        <v>5895.35</v>
      </c>
      <c r="D12" s="4">
        <v>5813.15</v>
      </c>
      <c r="E12" s="4">
        <v>5889.52</v>
      </c>
      <c r="F12" s="4">
        <v>3104200</v>
      </c>
      <c r="G12" s="8">
        <f t="shared" si="1"/>
        <v>-22.239999999999782</v>
      </c>
      <c r="H12" s="8">
        <f t="shared" si="0"/>
        <v>57.820000000000618</v>
      </c>
      <c r="P12" s="14">
        <f t="shared" si="2"/>
        <v>0.6059561469898902</v>
      </c>
    </row>
    <row r="13" spans="1:25" hidden="1">
      <c r="A13" s="5">
        <v>38369</v>
      </c>
      <c r="B13" s="4">
        <v>5955.62</v>
      </c>
      <c r="C13" s="4">
        <v>5969.03</v>
      </c>
      <c r="D13" s="4">
        <v>5940.06</v>
      </c>
      <c r="E13" s="4">
        <v>5945.27</v>
      </c>
      <c r="F13" s="4">
        <v>3187800</v>
      </c>
      <c r="G13" s="8">
        <f t="shared" si="1"/>
        <v>66.099999999999454</v>
      </c>
      <c r="H13" s="8">
        <f t="shared" si="0"/>
        <v>-10.349999999999454</v>
      </c>
      <c r="P13" s="14">
        <f t="shared" si="2"/>
        <v>0.94214451427382917</v>
      </c>
    </row>
    <row r="14" spans="1:25" hidden="1">
      <c r="A14" s="5">
        <v>38370</v>
      </c>
      <c r="B14" s="4">
        <v>5964.08</v>
      </c>
      <c r="C14" s="4">
        <v>5964.08</v>
      </c>
      <c r="D14" s="4">
        <v>5926.8</v>
      </c>
      <c r="E14" s="4">
        <v>5933.57</v>
      </c>
      <c r="F14" s="4">
        <v>2337600</v>
      </c>
      <c r="G14" s="8">
        <f t="shared" si="1"/>
        <v>18.809999999999491</v>
      </c>
      <c r="H14" s="8">
        <f t="shared" si="0"/>
        <v>-30.510000000000218</v>
      </c>
      <c r="P14" s="14">
        <f t="shared" si="2"/>
        <v>-0.19698899527993571</v>
      </c>
    </row>
    <row r="15" spans="1:25" hidden="1">
      <c r="A15" s="5">
        <v>38371</v>
      </c>
      <c r="B15" s="4">
        <v>5952.59</v>
      </c>
      <c r="C15" s="4">
        <v>5961.78</v>
      </c>
      <c r="D15" s="4">
        <v>5895.35</v>
      </c>
      <c r="E15" s="4">
        <v>5895.35</v>
      </c>
      <c r="F15" s="4">
        <v>2667200</v>
      </c>
      <c r="G15" s="8">
        <f t="shared" si="1"/>
        <v>19.020000000000437</v>
      </c>
      <c r="H15" s="8">
        <f t="shared" si="0"/>
        <v>-57.239999999999782</v>
      </c>
      <c r="P15" s="14">
        <f t="shared" si="2"/>
        <v>-0.64621508985735365</v>
      </c>
    </row>
    <row r="16" spans="1:25" hidden="1">
      <c r="A16" s="5">
        <v>38372</v>
      </c>
      <c r="B16" s="4">
        <v>5835.68</v>
      </c>
      <c r="C16" s="4">
        <v>5918.33</v>
      </c>
      <c r="D16" s="4">
        <v>5835.68</v>
      </c>
      <c r="E16" s="4">
        <v>5888.1</v>
      </c>
      <c r="F16" s="4">
        <v>3150000</v>
      </c>
      <c r="G16" s="8">
        <f t="shared" si="1"/>
        <v>-59.670000000000073</v>
      </c>
      <c r="H16" s="8">
        <f t="shared" si="0"/>
        <v>52.420000000000073</v>
      </c>
      <c r="P16" s="14">
        <f t="shared" si="2"/>
        <v>-0.12305395983087493</v>
      </c>
    </row>
    <row r="17" spans="1:16" hidden="1">
      <c r="A17" s="5">
        <v>38373</v>
      </c>
      <c r="B17" s="4">
        <v>5877.31</v>
      </c>
      <c r="C17" s="4">
        <v>5898.86</v>
      </c>
      <c r="D17" s="4">
        <v>5846.95</v>
      </c>
      <c r="E17" s="4">
        <v>5848.91</v>
      </c>
      <c r="F17" s="4">
        <v>2485600</v>
      </c>
      <c r="G17" s="8">
        <f t="shared" si="1"/>
        <v>-10.789999999999964</v>
      </c>
      <c r="H17" s="8">
        <f t="shared" si="0"/>
        <v>-28.400000000000546</v>
      </c>
      <c r="P17" s="14">
        <f t="shared" si="2"/>
        <v>-0.6678045881185195</v>
      </c>
    </row>
    <row r="18" spans="1:16" hidden="1">
      <c r="A18" s="5">
        <v>38376</v>
      </c>
      <c r="B18" s="4">
        <v>5859.89</v>
      </c>
      <c r="C18" s="4">
        <v>5862.62</v>
      </c>
      <c r="D18" s="4">
        <v>5763.84</v>
      </c>
      <c r="E18" s="4">
        <v>5771.48</v>
      </c>
      <c r="F18" s="4">
        <v>2611600</v>
      </c>
      <c r="G18" s="8">
        <f t="shared" si="1"/>
        <v>10.980000000000473</v>
      </c>
      <c r="H18" s="8">
        <f t="shared" si="0"/>
        <v>-88.410000000000764</v>
      </c>
      <c r="P18" s="14">
        <f t="shared" si="2"/>
        <v>-1.3326772333642432</v>
      </c>
    </row>
    <row r="19" spans="1:16" hidden="1">
      <c r="A19" s="5">
        <v>38377</v>
      </c>
      <c r="B19" s="4">
        <v>5759.21</v>
      </c>
      <c r="C19" s="4">
        <v>5796.85</v>
      </c>
      <c r="D19" s="4">
        <v>5734.87</v>
      </c>
      <c r="E19" s="4">
        <v>5782.75</v>
      </c>
      <c r="F19" s="4">
        <v>2587400</v>
      </c>
      <c r="G19" s="8">
        <f t="shared" si="1"/>
        <v>-12.269999999999527</v>
      </c>
      <c r="H19" s="8">
        <f t="shared" si="0"/>
        <v>23.539999999999964</v>
      </c>
      <c r="P19" s="14">
        <f t="shared" si="2"/>
        <v>0.19508013210948572</v>
      </c>
    </row>
    <row r="20" spans="1:16" hidden="1">
      <c r="A20" s="5">
        <v>38378</v>
      </c>
      <c r="B20" s="4">
        <v>5815.48</v>
      </c>
      <c r="C20" s="4">
        <v>5847.41</v>
      </c>
      <c r="D20" s="4">
        <v>5810.14</v>
      </c>
      <c r="E20" s="4">
        <v>5835.37</v>
      </c>
      <c r="F20" s="4">
        <v>2345600</v>
      </c>
      <c r="G20" s="8">
        <f t="shared" si="1"/>
        <v>32.729999999999563</v>
      </c>
      <c r="H20" s="8">
        <f t="shared" si="0"/>
        <v>19.890000000000327</v>
      </c>
      <c r="P20" s="14">
        <f t="shared" si="2"/>
        <v>0.9058326098044116</v>
      </c>
    </row>
    <row r="21" spans="1:16" hidden="1">
      <c r="A21" s="5">
        <v>38379</v>
      </c>
      <c r="B21" s="4">
        <v>5849.23</v>
      </c>
      <c r="C21" s="4">
        <v>5859.7</v>
      </c>
      <c r="D21" s="4">
        <v>5820.72</v>
      </c>
      <c r="E21" s="4">
        <v>5842.76</v>
      </c>
      <c r="F21" s="4">
        <v>2340400</v>
      </c>
      <c r="G21" s="8">
        <f t="shared" si="1"/>
        <v>13.859999999999673</v>
      </c>
      <c r="H21" s="8">
        <f t="shared" si="0"/>
        <v>-6.4699999999993452</v>
      </c>
      <c r="P21" s="14">
        <f t="shared" si="2"/>
        <v>0.12656137560428846</v>
      </c>
    </row>
    <row r="22" spans="1:16" hidden="1">
      <c r="A22" s="5">
        <v>38380</v>
      </c>
      <c r="B22" s="4">
        <v>5845.59</v>
      </c>
      <c r="C22" s="4">
        <v>5902.72</v>
      </c>
      <c r="D22" s="4">
        <v>5836.47</v>
      </c>
      <c r="E22" s="4">
        <v>5879.93</v>
      </c>
      <c r="F22" s="4">
        <v>3053000</v>
      </c>
      <c r="G22" s="8">
        <f t="shared" si="1"/>
        <v>2.8299999999999272</v>
      </c>
      <c r="H22" s="8">
        <f t="shared" si="0"/>
        <v>34.340000000000146</v>
      </c>
      <c r="P22" s="14">
        <f t="shared" si="2"/>
        <v>0.63415691394083951</v>
      </c>
    </row>
    <row r="23" spans="1:16" hidden="1">
      <c r="A23" s="5">
        <v>38383</v>
      </c>
      <c r="B23" s="4">
        <v>5905.3</v>
      </c>
      <c r="C23" s="4">
        <v>6002.37</v>
      </c>
      <c r="D23" s="4">
        <v>5900.37</v>
      </c>
      <c r="E23" s="4">
        <v>5994.23</v>
      </c>
      <c r="F23" s="4">
        <v>4459200</v>
      </c>
      <c r="G23" s="8">
        <f t="shared" si="1"/>
        <v>25.369999999999891</v>
      </c>
      <c r="H23" s="8">
        <f t="shared" si="0"/>
        <v>88.929999999999382</v>
      </c>
      <c r="P23" s="14">
        <f t="shared" si="2"/>
        <v>1.9252482785566034</v>
      </c>
    </row>
    <row r="24" spans="1:16" hidden="1">
      <c r="A24" s="5">
        <v>38384</v>
      </c>
      <c r="B24" s="4">
        <v>6015.78</v>
      </c>
      <c r="C24" s="4">
        <v>6015.78</v>
      </c>
      <c r="D24" s="4">
        <v>5979.92</v>
      </c>
      <c r="E24" s="4">
        <v>5981.54</v>
      </c>
      <c r="F24" s="4">
        <v>3192200</v>
      </c>
      <c r="G24" s="8">
        <f t="shared" si="1"/>
        <v>21.550000000000182</v>
      </c>
      <c r="H24" s="8">
        <f t="shared" si="0"/>
        <v>-34.239999999999782</v>
      </c>
      <c r="P24" s="14">
        <f t="shared" si="2"/>
        <v>-0.21192799710748411</v>
      </c>
    </row>
    <row r="25" spans="1:16" hidden="1">
      <c r="A25" s="5">
        <v>38385</v>
      </c>
      <c r="B25" s="4">
        <v>6016.33</v>
      </c>
      <c r="C25" s="4">
        <v>6064.66</v>
      </c>
      <c r="D25" s="4">
        <v>6010.76</v>
      </c>
      <c r="E25" s="4">
        <v>6018.69</v>
      </c>
      <c r="F25" s="4">
        <v>4000600</v>
      </c>
      <c r="G25" s="8">
        <f t="shared" si="1"/>
        <v>34.789999999999964</v>
      </c>
      <c r="H25" s="8">
        <f t="shared" si="0"/>
        <v>2.3599999999996726</v>
      </c>
      <c r="P25" s="14">
        <f t="shared" si="2"/>
        <v>0.61915677749972475</v>
      </c>
    </row>
    <row r="26" spans="1:16" hidden="1">
      <c r="A26" s="5">
        <v>38386</v>
      </c>
      <c r="B26" s="4">
        <v>6028.94</v>
      </c>
      <c r="C26" s="4">
        <v>6044.43</v>
      </c>
      <c r="D26" s="4">
        <v>6006.23</v>
      </c>
      <c r="E26" s="4">
        <v>6034.6</v>
      </c>
      <c r="F26" s="4">
        <v>3194800</v>
      </c>
      <c r="G26" s="8">
        <f t="shared" si="1"/>
        <v>10.25</v>
      </c>
      <c r="H26" s="8">
        <f t="shared" si="0"/>
        <v>5.660000000000764</v>
      </c>
      <c r="P26" s="14">
        <f t="shared" si="2"/>
        <v>0.26399446524791559</v>
      </c>
    </row>
    <row r="27" spans="1:16" hidden="1">
      <c r="A27" s="5">
        <v>38397</v>
      </c>
      <c r="B27" s="4">
        <v>6130.32</v>
      </c>
      <c r="C27" s="4">
        <v>6148.95</v>
      </c>
      <c r="D27" s="4">
        <v>6089.44</v>
      </c>
      <c r="E27" s="4">
        <v>6112.4</v>
      </c>
      <c r="F27" s="4">
        <v>3814400</v>
      </c>
      <c r="G27" s="8">
        <f t="shared" si="1"/>
        <v>95.719999999999345</v>
      </c>
      <c r="H27" s="8">
        <f t="shared" si="0"/>
        <v>-17.920000000000073</v>
      </c>
      <c r="P27" s="14">
        <f t="shared" si="2"/>
        <v>1.2809922429228651</v>
      </c>
    </row>
    <row r="28" spans="1:16" hidden="1">
      <c r="A28" s="5">
        <v>38398</v>
      </c>
      <c r="B28" s="4">
        <v>6121.97</v>
      </c>
      <c r="C28" s="4">
        <v>6142.44</v>
      </c>
      <c r="D28" s="4">
        <v>6106.5</v>
      </c>
      <c r="E28" s="4">
        <v>6122.39</v>
      </c>
      <c r="F28" s="4">
        <v>3044800</v>
      </c>
      <c r="G28" s="8">
        <f t="shared" si="1"/>
        <v>9.5700000000006185</v>
      </c>
      <c r="H28" s="8">
        <f t="shared" si="0"/>
        <v>0.42000000000007276</v>
      </c>
      <c r="P28" s="14">
        <f t="shared" si="2"/>
        <v>0.1633048416875324</v>
      </c>
    </row>
    <row r="29" spans="1:16" hidden="1">
      <c r="A29" s="5">
        <v>38399</v>
      </c>
      <c r="B29" s="4">
        <v>6134.53</v>
      </c>
      <c r="C29" s="4">
        <v>6158.8</v>
      </c>
      <c r="D29" s="4">
        <v>6086.3</v>
      </c>
      <c r="E29" s="4">
        <v>6143.49</v>
      </c>
      <c r="F29" s="4">
        <v>3705600</v>
      </c>
      <c r="G29" s="8">
        <f t="shared" si="1"/>
        <v>12.139999999999418</v>
      </c>
      <c r="H29" s="8">
        <f t="shared" si="0"/>
        <v>8.9600000000000364</v>
      </c>
      <c r="P29" s="14">
        <f t="shared" si="2"/>
        <v>0.34404414216915719</v>
      </c>
    </row>
    <row r="30" spans="1:16" hidden="1">
      <c r="A30" s="5">
        <v>38400</v>
      </c>
      <c r="B30" s="4">
        <v>6118.62</v>
      </c>
      <c r="C30" s="4">
        <v>6139.65</v>
      </c>
      <c r="D30" s="4">
        <v>6072.16</v>
      </c>
      <c r="E30" s="4">
        <v>6072.16</v>
      </c>
      <c r="F30" s="4">
        <v>3709200</v>
      </c>
      <c r="G30" s="8">
        <f t="shared" si="1"/>
        <v>-24.869999999999891</v>
      </c>
      <c r="H30" s="8">
        <f t="shared" si="0"/>
        <v>-46.460000000000036</v>
      </c>
      <c r="P30" s="14">
        <f t="shared" si="2"/>
        <v>-1.1678594380237302</v>
      </c>
    </row>
    <row r="31" spans="1:16" hidden="1">
      <c r="A31" s="5">
        <v>38401</v>
      </c>
      <c r="B31" s="4">
        <v>6072.45</v>
      </c>
      <c r="C31" s="4">
        <v>6128.64</v>
      </c>
      <c r="D31" s="4">
        <v>6062.96</v>
      </c>
      <c r="E31" s="4">
        <v>6115.43</v>
      </c>
      <c r="F31" s="4">
        <v>3656200</v>
      </c>
      <c r="G31" s="8">
        <f t="shared" si="1"/>
        <v>0.28999999999996362</v>
      </c>
      <c r="H31" s="8">
        <f t="shared" si="0"/>
        <v>42.980000000000473</v>
      </c>
      <c r="P31" s="14">
        <f t="shared" si="2"/>
        <v>0.71006953475645096</v>
      </c>
    </row>
    <row r="32" spans="1:16" hidden="1">
      <c r="A32" s="5">
        <v>38404</v>
      </c>
      <c r="B32" s="4">
        <v>6145.56</v>
      </c>
      <c r="C32" s="4">
        <v>6172.27</v>
      </c>
      <c r="D32" s="4">
        <v>6133.11</v>
      </c>
      <c r="E32" s="4">
        <v>6142.78</v>
      </c>
      <c r="F32" s="4">
        <v>4384400</v>
      </c>
      <c r="G32" s="8">
        <f t="shared" si="1"/>
        <v>30.130000000000109</v>
      </c>
      <c r="H32" s="8">
        <f t="shared" si="0"/>
        <v>-2.7800000000006548</v>
      </c>
      <c r="P32" s="14">
        <f t="shared" si="2"/>
        <v>0.44623228650010288</v>
      </c>
    </row>
    <row r="33" spans="1:16" hidden="1">
      <c r="A33" s="5">
        <v>38405</v>
      </c>
      <c r="B33" s="4">
        <v>6155.54</v>
      </c>
      <c r="C33" s="4">
        <v>6161</v>
      </c>
      <c r="D33" s="4">
        <v>6106.19</v>
      </c>
      <c r="E33" s="4">
        <v>6107.17</v>
      </c>
      <c r="F33" s="4">
        <v>3149000</v>
      </c>
      <c r="G33" s="8">
        <f t="shared" si="1"/>
        <v>12.760000000000218</v>
      </c>
      <c r="H33" s="8">
        <f t="shared" si="0"/>
        <v>-48.369999999999891</v>
      </c>
      <c r="P33" s="14">
        <f t="shared" si="2"/>
        <v>-0.58139176578361895</v>
      </c>
    </row>
    <row r="34" spans="1:16" hidden="1">
      <c r="A34" s="5">
        <v>38406</v>
      </c>
      <c r="B34" s="4">
        <v>6082.34</v>
      </c>
      <c r="C34" s="4">
        <v>6128.7</v>
      </c>
      <c r="D34" s="4">
        <v>6048.63</v>
      </c>
      <c r="E34" s="4">
        <v>6121.52</v>
      </c>
      <c r="F34" s="4">
        <v>3264600</v>
      </c>
      <c r="G34" s="8">
        <f t="shared" si="1"/>
        <v>-24.829999999999927</v>
      </c>
      <c r="H34" s="8">
        <f t="shared" si="0"/>
        <v>39.180000000000291</v>
      </c>
      <c r="P34" s="14">
        <f t="shared" si="2"/>
        <v>0.23469409375504791</v>
      </c>
    </row>
    <row r="35" spans="1:16" hidden="1">
      <c r="A35" s="5">
        <v>38407</v>
      </c>
      <c r="B35" s="4">
        <v>6123.59</v>
      </c>
      <c r="C35" s="4">
        <v>6171.56</v>
      </c>
      <c r="D35" s="4">
        <v>6109.9</v>
      </c>
      <c r="E35" s="4">
        <v>6128.34</v>
      </c>
      <c r="F35" s="4">
        <v>4080200</v>
      </c>
      <c r="G35" s="8">
        <f t="shared" si="1"/>
        <v>2.069999999999709</v>
      </c>
      <c r="H35" s="8">
        <f t="shared" si="0"/>
        <v>4.75</v>
      </c>
      <c r="P35" s="14">
        <f t="shared" si="2"/>
        <v>0.11134822283102311</v>
      </c>
    </row>
    <row r="36" spans="1:16" hidden="1">
      <c r="A36" s="5">
        <v>38408</v>
      </c>
      <c r="B36" s="4">
        <v>6195.24</v>
      </c>
      <c r="C36" s="4">
        <v>6233.53</v>
      </c>
      <c r="D36" s="4">
        <v>6192.38</v>
      </c>
      <c r="E36" s="4">
        <v>6207.83</v>
      </c>
      <c r="F36" s="4">
        <v>5020600</v>
      </c>
      <c r="G36" s="8">
        <f t="shared" si="1"/>
        <v>66.899999999999636</v>
      </c>
      <c r="H36" s="8">
        <f t="shared" si="0"/>
        <v>12.590000000000146</v>
      </c>
      <c r="P36" s="14">
        <f t="shared" si="2"/>
        <v>1.2887484557465372</v>
      </c>
    </row>
    <row r="37" spans="1:16" hidden="1">
      <c r="A37" s="5">
        <v>38412</v>
      </c>
      <c r="B37" s="4">
        <v>6227.42</v>
      </c>
      <c r="C37" s="4">
        <v>6260.32</v>
      </c>
      <c r="D37" s="4">
        <v>6207.78</v>
      </c>
      <c r="E37" s="4">
        <v>6259.69</v>
      </c>
      <c r="F37" s="4">
        <v>4353800</v>
      </c>
      <c r="G37" s="8">
        <f t="shared" si="1"/>
        <v>19.590000000000146</v>
      </c>
      <c r="H37" s="8">
        <f t="shared" si="0"/>
        <v>32.269999999999527</v>
      </c>
      <c r="P37" s="14">
        <f t="shared" si="2"/>
        <v>0.83192646336903253</v>
      </c>
    </row>
    <row r="38" spans="1:16" hidden="1">
      <c r="A38" s="5">
        <v>38413</v>
      </c>
      <c r="B38" s="4">
        <v>6267.52</v>
      </c>
      <c r="C38" s="4">
        <v>6267.52</v>
      </c>
      <c r="D38" s="4">
        <v>6219.93</v>
      </c>
      <c r="E38" s="4">
        <v>6225.25</v>
      </c>
      <c r="F38" s="4">
        <v>3543000</v>
      </c>
      <c r="G38" s="8">
        <f t="shared" si="1"/>
        <v>7.8300000000008367</v>
      </c>
      <c r="H38" s="8">
        <f t="shared" si="0"/>
        <v>-42.270000000000437</v>
      </c>
      <c r="P38" s="14">
        <f t="shared" si="2"/>
        <v>-0.55170609321157493</v>
      </c>
    </row>
    <row r="39" spans="1:16" hidden="1">
      <c r="A39" s="5">
        <v>38414</v>
      </c>
      <c r="B39" s="4">
        <v>6219.71</v>
      </c>
      <c r="C39" s="4">
        <v>6219.71</v>
      </c>
      <c r="D39" s="4">
        <v>6164.15</v>
      </c>
      <c r="E39" s="4">
        <v>6202.38</v>
      </c>
      <c r="F39" s="4">
        <v>3528000</v>
      </c>
      <c r="G39" s="8">
        <f t="shared" si="1"/>
        <v>-5.5399999999999636</v>
      </c>
      <c r="H39" s="8">
        <f t="shared" si="0"/>
        <v>-17.329999999999927</v>
      </c>
      <c r="P39" s="14">
        <f t="shared" si="2"/>
        <v>-0.36805128277467819</v>
      </c>
    </row>
    <row r="40" spans="1:16" hidden="1">
      <c r="A40" s="5">
        <v>38415</v>
      </c>
      <c r="B40" s="4">
        <v>6191.42</v>
      </c>
      <c r="C40" s="4">
        <v>6219.07</v>
      </c>
      <c r="D40" s="4">
        <v>6178.26</v>
      </c>
      <c r="E40" s="4">
        <v>6193.62</v>
      </c>
      <c r="F40" s="4">
        <v>3450400</v>
      </c>
      <c r="G40" s="8">
        <f t="shared" si="1"/>
        <v>-10.960000000000036</v>
      </c>
      <c r="H40" s="8">
        <f t="shared" si="0"/>
        <v>2.1999999999998181</v>
      </c>
      <c r="P40" s="14">
        <f t="shared" si="2"/>
        <v>-0.14133593833877459</v>
      </c>
    </row>
    <row r="41" spans="1:16" hidden="1">
      <c r="A41" s="5">
        <v>38418</v>
      </c>
      <c r="B41" s="4">
        <v>6224.44</v>
      </c>
      <c r="C41" s="4">
        <v>6257.54</v>
      </c>
      <c r="D41" s="4">
        <v>6220.52</v>
      </c>
      <c r="E41" s="4">
        <v>6220.52</v>
      </c>
      <c r="F41" s="4">
        <v>3749800</v>
      </c>
      <c r="G41" s="8">
        <f t="shared" si="1"/>
        <v>30.819999999999709</v>
      </c>
      <c r="H41" s="8">
        <f t="shared" si="0"/>
        <v>-3.9199999999991633</v>
      </c>
      <c r="P41" s="14">
        <f t="shared" si="2"/>
        <v>0.43337745670788513</v>
      </c>
    </row>
    <row r="42" spans="1:16" hidden="1">
      <c r="A42" s="5">
        <v>38419</v>
      </c>
      <c r="B42" s="4">
        <v>6250.58</v>
      </c>
      <c r="C42" s="4">
        <v>6255.68</v>
      </c>
      <c r="D42" s="4">
        <v>6156.98</v>
      </c>
      <c r="E42" s="4">
        <v>6173.34</v>
      </c>
      <c r="F42" s="4">
        <v>4069600</v>
      </c>
      <c r="G42" s="8">
        <f t="shared" si="1"/>
        <v>30.059999999999491</v>
      </c>
      <c r="H42" s="8">
        <f t="shared" si="0"/>
        <v>-77.239999999999782</v>
      </c>
      <c r="P42" s="14">
        <f t="shared" si="2"/>
        <v>-0.76134840799215109</v>
      </c>
    </row>
    <row r="43" spans="1:16" hidden="1">
      <c r="A43" s="5">
        <v>38420</v>
      </c>
      <c r="B43" s="4">
        <v>6163.56</v>
      </c>
      <c r="C43" s="4">
        <v>6227.13</v>
      </c>
      <c r="D43" s="4">
        <v>6163.56</v>
      </c>
      <c r="E43" s="4">
        <v>6213.28</v>
      </c>
      <c r="F43" s="4">
        <v>3574400</v>
      </c>
      <c r="G43" s="8">
        <f t="shared" si="1"/>
        <v>-9.7799999999997453</v>
      </c>
      <c r="H43" s="8">
        <f t="shared" si="0"/>
        <v>49.719999999999345</v>
      </c>
      <c r="P43" s="14">
        <f t="shared" si="2"/>
        <v>0.64489163985607256</v>
      </c>
    </row>
    <row r="44" spans="1:16" hidden="1">
      <c r="A44" s="5">
        <v>38421</v>
      </c>
      <c r="B44" s="4">
        <v>6207.86</v>
      </c>
      <c r="C44" s="4">
        <v>6215.47</v>
      </c>
      <c r="D44" s="4">
        <v>6168.76</v>
      </c>
      <c r="E44" s="4">
        <v>6192.53</v>
      </c>
      <c r="F44" s="4">
        <v>4047000</v>
      </c>
      <c r="G44" s="8">
        <f t="shared" si="1"/>
        <v>-5.4200000000000728</v>
      </c>
      <c r="H44" s="8">
        <f t="shared" si="0"/>
        <v>-15.329999999999927</v>
      </c>
      <c r="P44" s="14">
        <f t="shared" si="2"/>
        <v>-0.33452099218211567</v>
      </c>
    </row>
    <row r="45" spans="1:16" hidden="1">
      <c r="A45" s="5">
        <v>38422</v>
      </c>
      <c r="B45" s="4">
        <v>6225.75</v>
      </c>
      <c r="C45" s="4">
        <v>6238.43</v>
      </c>
      <c r="D45" s="4">
        <v>6194.14</v>
      </c>
      <c r="E45" s="4">
        <v>6204.23</v>
      </c>
      <c r="F45" s="4">
        <v>3449800</v>
      </c>
      <c r="G45" s="8">
        <f t="shared" si="1"/>
        <v>33.220000000000255</v>
      </c>
      <c r="H45" s="8">
        <f t="shared" si="0"/>
        <v>-21.520000000000437</v>
      </c>
      <c r="P45" s="14">
        <f t="shared" si="2"/>
        <v>0.18875905436457852</v>
      </c>
    </row>
    <row r="46" spans="1:16" hidden="1">
      <c r="A46" s="5">
        <v>38425</v>
      </c>
      <c r="B46" s="4">
        <v>6181.83</v>
      </c>
      <c r="C46" s="4">
        <v>6193.32</v>
      </c>
      <c r="D46" s="4">
        <v>6151.8</v>
      </c>
      <c r="E46" s="4">
        <v>6155.51</v>
      </c>
      <c r="F46" s="4">
        <v>3259400</v>
      </c>
      <c r="G46" s="8">
        <f t="shared" si="1"/>
        <v>-22.399999999999636</v>
      </c>
      <c r="H46" s="8">
        <f t="shared" si="0"/>
        <v>-26.319999999999709</v>
      </c>
      <c r="P46" s="14">
        <f t="shared" si="2"/>
        <v>-0.7883701815721168</v>
      </c>
    </row>
    <row r="47" spans="1:16" hidden="1">
      <c r="A47" s="5">
        <v>38426</v>
      </c>
      <c r="B47" s="4">
        <v>6155.49</v>
      </c>
      <c r="C47" s="4">
        <v>6169.52</v>
      </c>
      <c r="D47" s="4">
        <v>6028.17</v>
      </c>
      <c r="E47" s="4">
        <v>6063.48</v>
      </c>
      <c r="F47" s="4">
        <v>3731200</v>
      </c>
      <c r="G47" s="8">
        <f t="shared" si="1"/>
        <v>-2.0000000000436557E-2</v>
      </c>
      <c r="H47" s="8">
        <f t="shared" si="0"/>
        <v>-92.010000000000218</v>
      </c>
      <c r="P47" s="14">
        <f t="shared" si="2"/>
        <v>-1.5063722983344112</v>
      </c>
    </row>
    <row r="48" spans="1:16" hidden="1">
      <c r="A48" s="5">
        <v>38427</v>
      </c>
      <c r="B48" s="4">
        <v>6052.3</v>
      </c>
      <c r="C48" s="4">
        <v>6093.41</v>
      </c>
      <c r="D48" s="4">
        <v>6048.4</v>
      </c>
      <c r="E48" s="4">
        <v>6072.36</v>
      </c>
      <c r="F48" s="4">
        <v>2705600</v>
      </c>
      <c r="G48" s="8">
        <f t="shared" si="1"/>
        <v>-11.179999999999382</v>
      </c>
      <c r="H48" s="8">
        <f t="shared" si="0"/>
        <v>20.059999999999491</v>
      </c>
      <c r="P48" s="14">
        <f t="shared" si="2"/>
        <v>0.14634341891148253</v>
      </c>
    </row>
    <row r="49" spans="1:50" hidden="1">
      <c r="A49" s="5">
        <v>38428</v>
      </c>
      <c r="B49" s="4">
        <v>6021.8</v>
      </c>
      <c r="C49" s="4">
        <v>6054.71</v>
      </c>
      <c r="D49" s="4">
        <v>6002.1</v>
      </c>
      <c r="E49" s="4">
        <v>6032.47</v>
      </c>
      <c r="F49" s="4">
        <v>2655600</v>
      </c>
      <c r="G49" s="8">
        <f t="shared" si="1"/>
        <v>-50.559999999999491</v>
      </c>
      <c r="H49" s="8">
        <f t="shared" si="0"/>
        <v>10.670000000000073</v>
      </c>
      <c r="P49" s="14">
        <f t="shared" si="2"/>
        <v>-0.6590781431275895</v>
      </c>
    </row>
    <row r="50" spans="1:50" hidden="1">
      <c r="A50" s="5">
        <v>38429</v>
      </c>
      <c r="B50" s="4">
        <v>6039.23</v>
      </c>
      <c r="C50" s="4">
        <v>6054.75</v>
      </c>
      <c r="D50" s="4">
        <v>6018.63</v>
      </c>
      <c r="E50" s="4">
        <v>6043.95</v>
      </c>
      <c r="F50" s="4">
        <v>2359800</v>
      </c>
      <c r="G50" s="8">
        <f t="shared" si="1"/>
        <v>6.7599999999993088</v>
      </c>
      <c r="H50" s="8">
        <f t="shared" si="0"/>
        <v>4.7200000000002547</v>
      </c>
      <c r="P50" s="14">
        <f t="shared" si="2"/>
        <v>0.19012262670601027</v>
      </c>
    </row>
    <row r="51" spans="1:50" hidden="1">
      <c r="A51" s="5">
        <v>38432</v>
      </c>
      <c r="B51" s="4">
        <v>6056.1</v>
      </c>
      <c r="C51" s="4">
        <v>6077.94</v>
      </c>
      <c r="D51" s="4">
        <v>6051.53</v>
      </c>
      <c r="E51" s="4">
        <v>6058.96</v>
      </c>
      <c r="F51" s="4">
        <v>2634600</v>
      </c>
      <c r="G51" s="8">
        <f t="shared" si="1"/>
        <v>12.150000000000546</v>
      </c>
      <c r="H51" s="8">
        <f t="shared" si="0"/>
        <v>2.8599999999996726</v>
      </c>
      <c r="P51" s="14">
        <f t="shared" si="2"/>
        <v>0.24803964824301258</v>
      </c>
    </row>
    <row r="52" spans="1:50">
      <c r="A52" s="5">
        <v>38433</v>
      </c>
      <c r="B52" s="4">
        <v>6057.9</v>
      </c>
      <c r="C52" s="4">
        <v>6057.9</v>
      </c>
      <c r="D52" s="4">
        <v>5998.78</v>
      </c>
      <c r="E52" s="4">
        <v>6018.79</v>
      </c>
      <c r="F52" s="4">
        <v>2869400</v>
      </c>
      <c r="G52" s="8">
        <f t="shared" si="1"/>
        <v>-1.0600000000004002</v>
      </c>
      <c r="H52" s="8">
        <f t="shared" si="0"/>
        <v>-39.109999999999673</v>
      </c>
      <c r="I52" s="30">
        <v>0</v>
      </c>
      <c r="J52" s="30">
        <v>0</v>
      </c>
      <c r="K52" s="30"/>
      <c r="L52" s="30">
        <v>0</v>
      </c>
      <c r="M52" s="31">
        <f ca="1">AVERAGE(E52:OFFSET(E52,-M$5+1,0))</f>
        <v>6105.5559999999996</v>
      </c>
      <c r="N52" s="31">
        <f ca="1">AVERAGE(E52:OFFSET(E52,-N$5+1,0))</f>
        <v>6144.7609999999995</v>
      </c>
      <c r="O52" s="31"/>
      <c r="P52" s="14">
        <f t="shared" si="2"/>
        <v>-0.66519257511472996</v>
      </c>
      <c r="Q52" s="15">
        <f ca="1">STDEV(P52:OFFSET(P52,-$Q$5+1,0))</f>
        <v>0.65040520050706363</v>
      </c>
      <c r="R52" s="15">
        <f ca="1">STDEV(P52:OFFSET(P52,-$R$5+1,0))</f>
        <v>0.73786990994144974</v>
      </c>
      <c r="S52" s="18">
        <f>C52-D52</f>
        <v>59.119999999999891</v>
      </c>
      <c r="T52" s="18">
        <f>MAX(C52,E51)-MIN(D52,E51)</f>
        <v>60.180000000000291</v>
      </c>
      <c r="U52" s="18">
        <f>T52</f>
        <v>60.180000000000291</v>
      </c>
      <c r="V52" s="33">
        <f ca="1">AVERAGE(E52:OFFSET(E52,-V$5+1,0))</f>
        <v>6131.8157142857144</v>
      </c>
      <c r="W52" s="33">
        <f ca="1">V52+W$5*U52</f>
        <v>6222.0857142857149</v>
      </c>
      <c r="X52" s="33">
        <f ca="1">V52-W$5*U52</f>
        <v>6041.545714285714</v>
      </c>
      <c r="Y52" s="33"/>
      <c r="Z52" s="13"/>
      <c r="AA52" s="13"/>
    </row>
    <row r="53" spans="1:50">
      <c r="A53" s="5">
        <v>38434</v>
      </c>
      <c r="B53" s="4">
        <v>6005.36</v>
      </c>
      <c r="C53" s="4">
        <v>6023.76</v>
      </c>
      <c r="D53" s="4">
        <v>5970.2</v>
      </c>
      <c r="E53" s="4">
        <v>6019.49</v>
      </c>
      <c r="F53" s="4">
        <v>2733200</v>
      </c>
      <c r="G53" s="8">
        <f t="shared" si="1"/>
        <v>-13.430000000000291</v>
      </c>
      <c r="H53" s="8">
        <f t="shared" si="0"/>
        <v>14.130000000000109</v>
      </c>
      <c r="I53" s="8">
        <f ca="1">Y53</f>
        <v>0</v>
      </c>
      <c r="J53" s="8">
        <f>IF((J52+I52)&gt;=J$5,J$5,IF((J52+I52)&lt;=J$7,J$7,J52+I52))</f>
        <v>0</v>
      </c>
      <c r="K53" s="8">
        <f>J52*G53+J53*H53</f>
        <v>0</v>
      </c>
      <c r="L53" s="8">
        <f>L52+K53</f>
        <v>0</v>
      </c>
      <c r="M53" s="9">
        <f ca="1">AVERAGE(E53:OFFSET(E53,-M$5+1,0))</f>
        <v>6086.1769999999988</v>
      </c>
      <c r="N53" s="9">
        <f ca="1">AVERAGE(E53:OFFSET(E53,-N$5+1,0))</f>
        <v>6140.3769999999995</v>
      </c>
      <c r="O53" s="9">
        <f ca="1">IF(AND(M52&lt;=N52,M53&gt;N53),1,IF(AND(M52&gt;=N52,M53&lt;N53),-1,0))</f>
        <v>0</v>
      </c>
      <c r="P53" s="14">
        <f t="shared" si="2"/>
        <v>1.1629568356761835E-2</v>
      </c>
      <c r="Q53" s="15">
        <f ca="1">STDEV(P53:OFFSET(P53,-$Q$5+1,0))</f>
        <v>0.58025650825843467</v>
      </c>
      <c r="R53" s="15">
        <f ca="1">STDEV(P53:OFFSET(P53,-$R$5+1,0))</f>
        <v>0.72369238698533234</v>
      </c>
      <c r="S53" s="18">
        <f t="shared" ref="S53:S116" si="3">C53-D53</f>
        <v>53.5600000000004</v>
      </c>
      <c r="T53" s="18">
        <f t="shared" ref="T53:T116" si="4">MAX(C53,E52)-MIN(D53,E52)</f>
        <v>53.5600000000004</v>
      </c>
      <c r="U53" s="18">
        <f>$U$5*T53+(1-$U$5)*U52</f>
        <v>59.29733333333364</v>
      </c>
      <c r="V53" s="33">
        <f ca="1">AVERAGE(E53:OFFSET(E53,-V$5+1,0))</f>
        <v>6118.7521428571426</v>
      </c>
      <c r="W53" s="33">
        <f t="shared" ref="W53:W116" ca="1" si="5">V53+W$5*U53</f>
        <v>6207.6981428571435</v>
      </c>
      <c r="X53" s="33">
        <f t="shared" ref="X53:X116" ca="1" si="6">V53-W$5*U53</f>
        <v>6029.8061428571418</v>
      </c>
      <c r="Y53" s="32">
        <f ca="1">IF(AND(E52&gt;X52,E53&lt;X53),-1,IF(AND(E52&lt;W52,E53&gt;W53),1,0))</f>
        <v>0</v>
      </c>
    </row>
    <row r="54" spans="1:50">
      <c r="A54" s="5">
        <v>38435</v>
      </c>
      <c r="B54" s="4">
        <v>6029.74</v>
      </c>
      <c r="C54" s="4">
        <v>6054.65</v>
      </c>
      <c r="D54" s="4">
        <v>6001</v>
      </c>
      <c r="E54" s="4">
        <v>6001</v>
      </c>
      <c r="F54" s="4">
        <v>2908000</v>
      </c>
      <c r="G54" s="8">
        <f t="shared" si="1"/>
        <v>10.25</v>
      </c>
      <c r="H54" s="8">
        <f t="shared" si="0"/>
        <v>-28.739999999999782</v>
      </c>
      <c r="I54" s="20">
        <f t="shared" ref="I54:I117" ca="1" si="7">Y54</f>
        <v>0</v>
      </c>
      <c r="J54" s="8">
        <f t="shared" ref="J54:J117" ca="1" si="8">IF((J53+I53)&gt;=J$5,J$5,IF((J53+I53)&lt;=J$7,J$7,J53+I53))</f>
        <v>0</v>
      </c>
      <c r="K54" s="8">
        <f t="shared" ref="K54:K117" ca="1" si="9">J53*G54+J54*H54</f>
        <v>0</v>
      </c>
      <c r="L54" s="8">
        <f t="shared" ref="L54:L117" ca="1" si="10">L53+K54</f>
        <v>0</v>
      </c>
      <c r="M54" s="9">
        <f ca="1">AVERAGE(E54:OFFSET(E54,-M$5+1,0))</f>
        <v>6067.0239999999994</v>
      </c>
      <c r="N54" s="9">
        <f ca="1">AVERAGE(E54:OFFSET(E54,-N$5+1,0))</f>
        <v>6134.3509999999997</v>
      </c>
      <c r="O54" s="9">
        <f t="shared" ref="O54:O117" ca="1" si="11">IF(AND(M53&lt;=N53,M54&gt;N54),1,IF(AND(M53&gt;=N53,M54&lt;N54),-1,0))</f>
        <v>0</v>
      </c>
      <c r="P54" s="14">
        <f t="shared" si="2"/>
        <v>-0.30764161166412018</v>
      </c>
      <c r="Q54" s="15">
        <f ca="1">STDEV(P54:OFFSET(P54,-$Q$5+1,0))</f>
        <v>0.58022788345726939</v>
      </c>
      <c r="R54" s="15">
        <f ca="1">STDEV(P54:OFFSET(P54,-$R$5+1,0))</f>
        <v>0.72479692779107729</v>
      </c>
      <c r="S54" s="18">
        <f t="shared" si="3"/>
        <v>53.649999999999636</v>
      </c>
      <c r="T54" s="18">
        <f t="shared" si="4"/>
        <v>53.649999999999636</v>
      </c>
      <c r="U54" s="18">
        <f t="shared" ref="U54:U117" si="12">$U$5*T54+(1-$U$5)*U53</f>
        <v>58.544355555555775</v>
      </c>
      <c r="V54" s="33">
        <f ca="1">AVERAGE(E54:OFFSET(E54,-V$5+1,0))</f>
        <v>6104.9935714285721</v>
      </c>
      <c r="W54" s="33">
        <f t="shared" ca="1" si="5"/>
        <v>6192.8101047619057</v>
      </c>
      <c r="X54" s="33">
        <f t="shared" ca="1" si="6"/>
        <v>6017.1770380952385</v>
      </c>
      <c r="Y54" s="32">
        <f t="shared" ref="Y54:Y117" ca="1" si="13">IF(AND(E53&gt;X53,E54&lt;X54),-1,IF(AND(E53&lt;W53,E54&gt;W54),1,0))</f>
        <v>0</v>
      </c>
    </row>
    <row r="55" spans="1:50">
      <c r="A55" s="5">
        <v>38436</v>
      </c>
      <c r="B55" s="4">
        <v>6018.79</v>
      </c>
      <c r="C55" s="4">
        <v>6065.91</v>
      </c>
      <c r="D55" s="4">
        <v>6016.48</v>
      </c>
      <c r="E55" s="4">
        <v>6065.91</v>
      </c>
      <c r="F55" s="4">
        <v>2536400</v>
      </c>
      <c r="G55" s="8">
        <f t="shared" si="1"/>
        <v>17.789999999999964</v>
      </c>
      <c r="H55" s="8">
        <f t="shared" si="0"/>
        <v>47.119999999999891</v>
      </c>
      <c r="I55" s="20">
        <f t="shared" ca="1" si="7"/>
        <v>0</v>
      </c>
      <c r="J55" s="8">
        <f t="shared" ca="1" si="8"/>
        <v>0</v>
      </c>
      <c r="K55" s="8">
        <f t="shared" ca="1" si="9"/>
        <v>0</v>
      </c>
      <c r="L55" s="8">
        <f t="shared" ca="1" si="10"/>
        <v>0</v>
      </c>
      <c r="M55" s="9">
        <f ca="1">AVERAGE(E55:OFFSET(E55,-M$5+1,0))</f>
        <v>6053.192</v>
      </c>
      <c r="N55" s="9">
        <f ca="1">AVERAGE(E55:OFFSET(E55,-N$5+1,0))</f>
        <v>6131.2294999999995</v>
      </c>
      <c r="O55" s="9">
        <f t="shared" ca="1" si="11"/>
        <v>0</v>
      </c>
      <c r="P55" s="14">
        <f t="shared" si="2"/>
        <v>1.0758450353694886</v>
      </c>
      <c r="Q55" s="15">
        <f ca="1">STDEV(P55:OFFSET(P55,-$Q$5+1,0))</f>
        <v>0.71728673286294853</v>
      </c>
      <c r="R55" s="15">
        <f ca="1">STDEV(P55:OFFSET(P55,-$R$5+1,0))</f>
        <v>0.7347824939960188</v>
      </c>
      <c r="S55" s="18">
        <f t="shared" si="3"/>
        <v>49.430000000000291</v>
      </c>
      <c r="T55" s="18">
        <f t="shared" si="4"/>
        <v>64.909999999999854</v>
      </c>
      <c r="U55" s="18">
        <f t="shared" si="12"/>
        <v>59.393108148148322</v>
      </c>
      <c r="V55" s="33">
        <f ca="1">AVERAGE(E55:OFFSET(E55,-V$5+1,0))</f>
        <v>6093.95</v>
      </c>
      <c r="W55" s="33">
        <f t="shared" ca="1" si="5"/>
        <v>6183.0396622222224</v>
      </c>
      <c r="X55" s="33">
        <f t="shared" ca="1" si="6"/>
        <v>6004.8603377777772</v>
      </c>
      <c r="Y55" s="32">
        <f t="shared" ca="1" si="13"/>
        <v>0</v>
      </c>
    </row>
    <row r="56" spans="1:50">
      <c r="A56" s="5">
        <v>38439</v>
      </c>
      <c r="B56" s="4">
        <v>6091.83</v>
      </c>
      <c r="C56" s="4">
        <v>6093.19</v>
      </c>
      <c r="D56" s="4">
        <v>6048.74</v>
      </c>
      <c r="E56" s="4">
        <v>6048.74</v>
      </c>
      <c r="F56" s="4">
        <v>2326800</v>
      </c>
      <c r="G56" s="8">
        <f t="shared" si="1"/>
        <v>25.920000000000073</v>
      </c>
      <c r="H56" s="8">
        <f t="shared" si="0"/>
        <v>-43.090000000000146</v>
      </c>
      <c r="I56" s="20">
        <f t="shared" ca="1" si="7"/>
        <v>0</v>
      </c>
      <c r="J56" s="8">
        <f t="shared" ca="1" si="8"/>
        <v>0</v>
      </c>
      <c r="K56" s="8">
        <f t="shared" ca="1" si="9"/>
        <v>0</v>
      </c>
      <c r="L56" s="8">
        <f t="shared" ca="1" si="10"/>
        <v>0</v>
      </c>
      <c r="M56" s="9">
        <f ca="1">AVERAGE(E56:OFFSET(E56,-M$5+1,0))</f>
        <v>6042.5150000000003</v>
      </c>
      <c r="N56" s="9">
        <f ca="1">AVERAGE(E56:OFFSET(E56,-N$5+1,0))</f>
        <v>6123.2750000000005</v>
      </c>
      <c r="O56" s="9">
        <f t="shared" ca="1" si="11"/>
        <v>0</v>
      </c>
      <c r="P56" s="14">
        <f t="shared" si="2"/>
        <v>-0.28345864711854851</v>
      </c>
      <c r="Q56" s="15">
        <f ca="1">STDEV(P56:OFFSET(P56,-$Q$5+1,0))</f>
        <v>0.69053218152337825</v>
      </c>
      <c r="R56" s="15">
        <f ca="1">STDEV(P56:OFFSET(P56,-$R$5+1,0))</f>
        <v>0.73630652681574649</v>
      </c>
      <c r="S56" s="18">
        <f t="shared" si="3"/>
        <v>44.449999999999818</v>
      </c>
      <c r="T56" s="18">
        <f t="shared" si="4"/>
        <v>44.449999999999818</v>
      </c>
      <c r="U56" s="18">
        <f t="shared" si="12"/>
        <v>57.40069372839519</v>
      </c>
      <c r="V56" s="33">
        <f ca="1">AVERAGE(E56:OFFSET(E56,-V$5+1,0))</f>
        <v>6085.0500000000011</v>
      </c>
      <c r="W56" s="33">
        <f t="shared" ca="1" si="5"/>
        <v>6171.1510405925937</v>
      </c>
      <c r="X56" s="33">
        <f t="shared" ca="1" si="6"/>
        <v>5998.9489594074084</v>
      </c>
      <c r="Y56" s="32">
        <f t="shared" ca="1" si="13"/>
        <v>0</v>
      </c>
    </row>
    <row r="57" spans="1:50">
      <c r="A57" s="5">
        <v>38440</v>
      </c>
      <c r="B57" s="4">
        <v>6035.77</v>
      </c>
      <c r="C57" s="4">
        <v>6035.77</v>
      </c>
      <c r="D57" s="4">
        <v>5961.24</v>
      </c>
      <c r="E57" s="4">
        <v>5961.24</v>
      </c>
      <c r="F57" s="4">
        <v>2672800</v>
      </c>
      <c r="G57" s="8">
        <f t="shared" si="1"/>
        <v>-12.969999999999345</v>
      </c>
      <c r="H57" s="8">
        <f t="shared" si="0"/>
        <v>-74.530000000000655</v>
      </c>
      <c r="I57" s="20">
        <f t="shared" ca="1" si="7"/>
        <v>-1</v>
      </c>
      <c r="J57" s="8">
        <f t="shared" ca="1" si="8"/>
        <v>0</v>
      </c>
      <c r="K57" s="8">
        <f t="shared" ca="1" si="9"/>
        <v>0</v>
      </c>
      <c r="L57" s="8">
        <f t="shared" ca="1" si="10"/>
        <v>0</v>
      </c>
      <c r="M57" s="9">
        <f ca="1">AVERAGE(E57:OFFSET(E57,-M$5+1,0))</f>
        <v>6032.2909999999993</v>
      </c>
      <c r="N57" s="9">
        <f ca="1">AVERAGE(E57:OFFSET(E57,-N$5+1,0))</f>
        <v>6108.3525000000009</v>
      </c>
      <c r="O57" s="9">
        <f t="shared" ca="1" si="11"/>
        <v>0</v>
      </c>
      <c r="P57" s="14">
        <f t="shared" si="2"/>
        <v>-1.4571472761519608</v>
      </c>
      <c r="Q57" s="15">
        <f ca="1">STDEV(P57:OFFSET(P57,-$Q$5+1,0))</f>
        <v>0.68008308648288596</v>
      </c>
      <c r="R57" s="15">
        <f ca="1">STDEV(P57:OFFSET(P57,-$R$5+1,0))</f>
        <v>0.76647236581644662</v>
      </c>
      <c r="S57" s="18">
        <f t="shared" si="3"/>
        <v>74.530000000000655</v>
      </c>
      <c r="T57" s="18">
        <f t="shared" si="4"/>
        <v>87.5</v>
      </c>
      <c r="U57" s="18">
        <f t="shared" si="12"/>
        <v>61.413934564609164</v>
      </c>
      <c r="V57" s="33">
        <f ca="1">AVERAGE(E57:OFFSET(E57,-V$5+1,0))</f>
        <v>6067.0471428571427</v>
      </c>
      <c r="W57" s="33">
        <f t="shared" ca="1" si="5"/>
        <v>6159.1680447040562</v>
      </c>
      <c r="X57" s="33">
        <f t="shared" ca="1" si="6"/>
        <v>5974.9262410102292</v>
      </c>
      <c r="Y57" s="32">
        <f t="shared" ca="1" si="13"/>
        <v>-1</v>
      </c>
    </row>
    <row r="58" spans="1:50">
      <c r="A58" s="5">
        <v>38441</v>
      </c>
      <c r="B58" s="4">
        <v>5940.18</v>
      </c>
      <c r="C58" s="4">
        <v>5980.5</v>
      </c>
      <c r="D58" s="4">
        <v>5940.18</v>
      </c>
      <c r="E58" s="4">
        <v>5957.98</v>
      </c>
      <c r="F58" s="4">
        <v>2554800</v>
      </c>
      <c r="G58" s="8">
        <f t="shared" si="1"/>
        <v>-21.059999999999491</v>
      </c>
      <c r="H58" s="8">
        <f t="shared" si="0"/>
        <v>17.799999999999272</v>
      </c>
      <c r="I58" s="20">
        <f t="shared" ca="1" si="7"/>
        <v>0</v>
      </c>
      <c r="J58" s="8">
        <f t="shared" ca="1" si="8"/>
        <v>-1</v>
      </c>
      <c r="K58" s="8">
        <f t="shared" ca="1" si="9"/>
        <v>-17.799999999999272</v>
      </c>
      <c r="L58" s="8">
        <f t="shared" ca="1" si="10"/>
        <v>-17.799999999999272</v>
      </c>
      <c r="M58" s="9">
        <f ca="1">AVERAGE(E58:OFFSET(E58,-M$5+1,0))</f>
        <v>6020.8530000000001</v>
      </c>
      <c r="N58" s="9">
        <f ca="1">AVERAGE(E58:OFFSET(E58,-N$5+1,0))</f>
        <v>6094.9890000000005</v>
      </c>
      <c r="O58" s="9">
        <f t="shared" ca="1" si="11"/>
        <v>0</v>
      </c>
      <c r="P58" s="14">
        <f t="shared" si="2"/>
        <v>-5.4701567406093013E-2</v>
      </c>
      <c r="Q58" s="15">
        <f ca="1">STDEV(P58:OFFSET(P58,-$Q$5+1,0))</f>
        <v>0.67262124650451649</v>
      </c>
      <c r="R58" s="15">
        <f ca="1">STDEV(P58:OFFSET(P58,-$R$5+1,0))</f>
        <v>0.73338507091894034</v>
      </c>
      <c r="S58" s="18">
        <f t="shared" si="3"/>
        <v>40.319999999999709</v>
      </c>
      <c r="T58" s="18">
        <f t="shared" si="4"/>
        <v>40.319999999999709</v>
      </c>
      <c r="U58" s="18">
        <f t="shared" si="12"/>
        <v>58.601409955994576</v>
      </c>
      <c r="V58" s="33">
        <f ca="1">AVERAGE(E58:OFFSET(E58,-V$5+1,0))</f>
        <v>6050.2935714285713</v>
      </c>
      <c r="W58" s="33">
        <f t="shared" ca="1" si="5"/>
        <v>6138.1956863625628</v>
      </c>
      <c r="X58" s="33">
        <f t="shared" ca="1" si="6"/>
        <v>5962.3914564945799</v>
      </c>
      <c r="Y58" s="32">
        <f t="shared" ca="1" si="13"/>
        <v>0</v>
      </c>
    </row>
    <row r="59" spans="1:50">
      <c r="A59" s="5">
        <v>38442</v>
      </c>
      <c r="B59" s="4">
        <v>6005.87</v>
      </c>
      <c r="C59" s="4">
        <v>6017.04</v>
      </c>
      <c r="D59" s="4">
        <v>5995.27</v>
      </c>
      <c r="E59" s="4">
        <v>6005.88</v>
      </c>
      <c r="F59" s="4">
        <v>2884200</v>
      </c>
      <c r="G59" s="8">
        <f t="shared" si="1"/>
        <v>47.890000000000327</v>
      </c>
      <c r="H59" s="8">
        <f t="shared" si="0"/>
        <v>1.0000000000218279E-2</v>
      </c>
      <c r="I59" s="20">
        <f t="shared" ca="1" si="7"/>
        <v>0</v>
      </c>
      <c r="J59" s="8">
        <f t="shared" ca="1" si="8"/>
        <v>-1</v>
      </c>
      <c r="K59" s="8">
        <f t="shared" ca="1" si="9"/>
        <v>-47.900000000000546</v>
      </c>
      <c r="L59" s="8">
        <f t="shared" ca="1" si="10"/>
        <v>-65.699999999999818</v>
      </c>
      <c r="M59" s="9">
        <f ca="1">AVERAGE(E59:OFFSET(E59,-M$5+1,0))</f>
        <v>6018.1939999999995</v>
      </c>
      <c r="N59" s="9">
        <f ca="1">AVERAGE(E59:OFFSET(E59,-N$5+1,0))</f>
        <v>6085.1640000000007</v>
      </c>
      <c r="O59" s="9">
        <f t="shared" ca="1" si="11"/>
        <v>0</v>
      </c>
      <c r="P59" s="14">
        <f t="shared" si="2"/>
        <v>0.80074918872503842</v>
      </c>
      <c r="Q59" s="15">
        <f ca="1">STDEV(P59:OFFSET(P59,-$Q$5+1,0))</f>
        <v>0.71652528080799949</v>
      </c>
      <c r="R59" s="15">
        <f ca="1">STDEV(P59:OFFSET(P59,-$R$5+1,0))</f>
        <v>0.74203384127087801</v>
      </c>
      <c r="S59" s="18">
        <f t="shared" si="3"/>
        <v>21.769999999999527</v>
      </c>
      <c r="T59" s="18">
        <f t="shared" si="4"/>
        <v>59.0600000000004</v>
      </c>
      <c r="U59" s="18">
        <f t="shared" si="12"/>
        <v>58.662555295195354</v>
      </c>
      <c r="V59" s="33">
        <f ca="1">AVERAGE(E59:OFFSET(E59,-V$5+1,0))</f>
        <v>6036.1257142857148</v>
      </c>
      <c r="W59" s="33">
        <f t="shared" ca="1" si="5"/>
        <v>6124.1195472285081</v>
      </c>
      <c r="X59" s="33">
        <f t="shared" ca="1" si="6"/>
        <v>5948.1318813429216</v>
      </c>
      <c r="Y59" s="32">
        <f t="shared" ca="1" si="13"/>
        <v>0</v>
      </c>
    </row>
    <row r="60" spans="1:50">
      <c r="A60" s="5">
        <v>38443</v>
      </c>
      <c r="B60" s="4">
        <v>6010.71</v>
      </c>
      <c r="C60" s="4">
        <v>6028.99</v>
      </c>
      <c r="D60" s="4">
        <v>5959.28</v>
      </c>
      <c r="E60" s="4">
        <v>6028.75</v>
      </c>
      <c r="F60" s="4">
        <v>2898200</v>
      </c>
      <c r="G60" s="8">
        <f t="shared" si="1"/>
        <v>4.8299999999999272</v>
      </c>
      <c r="H60" s="8">
        <f t="shared" si="0"/>
        <v>18.039999999999964</v>
      </c>
      <c r="I60" s="20">
        <f t="shared" ca="1" si="7"/>
        <v>0</v>
      </c>
      <c r="J60" s="8">
        <f t="shared" ca="1" si="8"/>
        <v>-1</v>
      </c>
      <c r="K60" s="8">
        <f t="shared" ca="1" si="9"/>
        <v>-22.869999999999891</v>
      </c>
      <c r="L60" s="8">
        <f t="shared" ca="1" si="10"/>
        <v>-88.569999999999709</v>
      </c>
      <c r="M60" s="9">
        <f ca="1">AVERAGE(E60:OFFSET(E60,-M$5+1,0))</f>
        <v>6016.674</v>
      </c>
      <c r="N60" s="9">
        <f ca="1">AVERAGE(E60:OFFSET(E60,-N$5+1,0))</f>
        <v>6076.9205000000011</v>
      </c>
      <c r="O60" s="9">
        <f t="shared" ca="1" si="11"/>
        <v>0</v>
      </c>
      <c r="P60" s="14">
        <f t="shared" si="2"/>
        <v>0.38007030594893615</v>
      </c>
      <c r="Q60" s="15">
        <f ca="1">STDEV(P60:OFFSET(P60,-$Q$5+1,0))</f>
        <v>0.72588315597169817</v>
      </c>
      <c r="R60" s="15">
        <f ca="1">STDEV(P60:OFFSET(P60,-$R$5+1,0))</f>
        <v>0.73188360034291455</v>
      </c>
      <c r="S60" s="18">
        <f t="shared" si="3"/>
        <v>69.710000000000036</v>
      </c>
      <c r="T60" s="18">
        <f t="shared" si="4"/>
        <v>69.710000000000036</v>
      </c>
      <c r="U60" s="18">
        <f t="shared" si="12"/>
        <v>60.135547922502646</v>
      </c>
      <c r="V60" s="33">
        <f ca="1">AVERAGE(E60:OFFSET(E60,-V$5+1,0))</f>
        <v>6027.0714285714284</v>
      </c>
      <c r="W60" s="33">
        <f t="shared" ca="1" si="5"/>
        <v>6117.2747504551826</v>
      </c>
      <c r="X60" s="33">
        <f t="shared" ca="1" si="6"/>
        <v>5936.8681066876743</v>
      </c>
      <c r="Y60" s="32">
        <f t="shared" ca="1" si="13"/>
        <v>0</v>
      </c>
    </row>
    <row r="61" spans="1:50">
      <c r="A61" s="5">
        <v>38446</v>
      </c>
      <c r="B61" s="4">
        <v>6013.7</v>
      </c>
      <c r="C61" s="4">
        <v>6048.37</v>
      </c>
      <c r="D61" s="4">
        <v>6006.3</v>
      </c>
      <c r="E61" s="4">
        <v>6019.93</v>
      </c>
      <c r="F61" s="4">
        <v>2940200</v>
      </c>
      <c r="G61" s="8">
        <f t="shared" si="1"/>
        <v>-15.050000000000182</v>
      </c>
      <c r="H61" s="8">
        <f t="shared" si="0"/>
        <v>6.2300000000004729</v>
      </c>
      <c r="I61" s="20">
        <f t="shared" ca="1" si="7"/>
        <v>0</v>
      </c>
      <c r="J61" s="8">
        <f t="shared" ca="1" si="8"/>
        <v>-1</v>
      </c>
      <c r="K61" s="8">
        <f t="shared" ca="1" si="9"/>
        <v>8.819999999999709</v>
      </c>
      <c r="L61" s="8">
        <f t="shared" ca="1" si="10"/>
        <v>-79.75</v>
      </c>
      <c r="M61" s="9">
        <f ca="1">AVERAGE(E61:OFFSET(E61,-M$5+1,0))</f>
        <v>6012.7709999999988</v>
      </c>
      <c r="N61" s="9">
        <f ca="1">AVERAGE(E61:OFFSET(E61,-N$5+1,0))</f>
        <v>6066.8910000000005</v>
      </c>
      <c r="O61" s="9">
        <f t="shared" ca="1" si="11"/>
        <v>0</v>
      </c>
      <c r="P61" s="14">
        <f t="shared" si="2"/>
        <v>-0.14640610548962732</v>
      </c>
      <c r="Q61" s="15">
        <f ca="1">STDEV(P61:OFFSET(P61,-$Q$5+1,0))</f>
        <v>0.72008059939752023</v>
      </c>
      <c r="R61" s="15">
        <f ca="1">STDEV(P61:OFFSET(P61,-$R$5+1,0))</f>
        <v>0.73272482700604524</v>
      </c>
      <c r="S61" s="18">
        <f t="shared" si="3"/>
        <v>42.069999999999709</v>
      </c>
      <c r="T61" s="18">
        <f t="shared" si="4"/>
        <v>42.069999999999709</v>
      </c>
      <c r="U61" s="18">
        <f t="shared" si="12"/>
        <v>57.726808199502258</v>
      </c>
      <c r="V61" s="33">
        <f ca="1">AVERAGE(E61:OFFSET(E61,-V$5+1,0))</f>
        <v>6023.960714285713</v>
      </c>
      <c r="W61" s="33">
        <f t="shared" ca="1" si="5"/>
        <v>6110.5509265849669</v>
      </c>
      <c r="X61" s="33">
        <f t="shared" ca="1" si="6"/>
        <v>5937.3705019864592</v>
      </c>
      <c r="Y61" s="32">
        <f t="shared" ca="1" si="13"/>
        <v>0</v>
      </c>
    </row>
    <row r="62" spans="1:50">
      <c r="A62" s="5">
        <v>38448</v>
      </c>
      <c r="B62" s="4">
        <v>6025.29</v>
      </c>
      <c r="C62" s="4">
        <v>6046.16</v>
      </c>
      <c r="D62" s="4">
        <v>6006.81</v>
      </c>
      <c r="E62" s="4">
        <v>6013.49</v>
      </c>
      <c r="F62" s="4">
        <v>2671200</v>
      </c>
      <c r="G62" s="8">
        <f t="shared" si="1"/>
        <v>5.3599999999996726</v>
      </c>
      <c r="H62" s="8">
        <f t="shared" si="0"/>
        <v>-11.800000000000182</v>
      </c>
      <c r="I62" s="20">
        <f t="shared" ca="1" si="7"/>
        <v>0</v>
      </c>
      <c r="J62" s="8">
        <f t="shared" ca="1" si="8"/>
        <v>-1</v>
      </c>
      <c r="K62" s="8">
        <f t="shared" ca="1" si="9"/>
        <v>6.4400000000005093</v>
      </c>
      <c r="L62" s="8">
        <f t="shared" ca="1" si="10"/>
        <v>-73.309999999999491</v>
      </c>
      <c r="M62" s="9">
        <f ca="1">AVERAGE(E62:OFFSET(E62,-M$5+1,0))</f>
        <v>6012.241</v>
      </c>
      <c r="N62" s="9">
        <f ca="1">AVERAGE(E62:OFFSET(E62,-N$5+1,0))</f>
        <v>6058.8985000000011</v>
      </c>
      <c r="O62" s="9">
        <f t="shared" ca="1" si="11"/>
        <v>0</v>
      </c>
      <c r="P62" s="14">
        <f t="shared" si="2"/>
        <v>-0.10703525040820089</v>
      </c>
      <c r="Q62" s="15">
        <f ca="1">STDEV(P62:OFFSET(P62,-$Q$5+1,0))</f>
        <v>0.68933206762597476</v>
      </c>
      <c r="R62" s="15">
        <f ca="1">STDEV(P62:OFFSET(P62,-$R$5+1,0))</f>
        <v>0.72756732624182008</v>
      </c>
      <c r="S62" s="18">
        <f t="shared" si="3"/>
        <v>39.349999999999454</v>
      </c>
      <c r="T62" s="18">
        <f t="shared" si="4"/>
        <v>39.349999999999454</v>
      </c>
      <c r="U62" s="18">
        <f t="shared" si="12"/>
        <v>55.27656710623522</v>
      </c>
      <c r="V62" s="33">
        <f ca="1">AVERAGE(E62:OFFSET(E62,-V$5+1,0))</f>
        <v>6019.755714285714</v>
      </c>
      <c r="W62" s="33">
        <f t="shared" ca="1" si="5"/>
        <v>6102.6705649450669</v>
      </c>
      <c r="X62" s="33">
        <f t="shared" ca="1" si="6"/>
        <v>5936.8408636263612</v>
      </c>
      <c r="Y62" s="32">
        <f t="shared" ca="1" si="13"/>
        <v>0</v>
      </c>
      <c r="AB62" s="1"/>
      <c r="AC62" s="1"/>
    </row>
    <row r="63" spans="1:50">
      <c r="A63" s="5">
        <v>38449</v>
      </c>
      <c r="B63" s="4">
        <v>6032.01</v>
      </c>
      <c r="C63" s="4">
        <v>6043.1</v>
      </c>
      <c r="D63" s="4">
        <v>5971.76</v>
      </c>
      <c r="E63" s="4">
        <v>5971.76</v>
      </c>
      <c r="F63" s="4">
        <v>3350600</v>
      </c>
      <c r="G63" s="8">
        <f t="shared" si="1"/>
        <v>18.520000000000437</v>
      </c>
      <c r="H63" s="8">
        <f t="shared" si="0"/>
        <v>-60.25</v>
      </c>
      <c r="I63" s="20">
        <f t="shared" ca="1" si="7"/>
        <v>0</v>
      </c>
      <c r="J63" s="8">
        <f t="shared" ca="1" si="8"/>
        <v>-1</v>
      </c>
      <c r="K63" s="8">
        <f t="shared" ca="1" si="9"/>
        <v>41.729999999999563</v>
      </c>
      <c r="L63" s="8">
        <f t="shared" ca="1" si="10"/>
        <v>-31.579999999999927</v>
      </c>
      <c r="M63" s="9">
        <f ca="1">AVERAGE(E63:OFFSET(E63,-M$5+1,0))</f>
        <v>6007.4679999999998</v>
      </c>
      <c r="N63" s="9">
        <f ca="1">AVERAGE(E63:OFFSET(E63,-N$5+1,0))</f>
        <v>6046.8225000000002</v>
      </c>
      <c r="O63" s="9">
        <f t="shared" ca="1" si="11"/>
        <v>0</v>
      </c>
      <c r="P63" s="14">
        <f t="shared" si="2"/>
        <v>-0.69635875145253068</v>
      </c>
      <c r="Q63" s="15">
        <f ca="1">STDEV(P63:OFFSET(P63,-$Q$5+1,0))</f>
        <v>0.72255638566032321</v>
      </c>
      <c r="R63" s="15">
        <f ca="1">STDEV(P63:OFFSET(P63,-$R$5+1,0))</f>
        <v>0.6707389790657412</v>
      </c>
      <c r="S63" s="18">
        <f t="shared" si="3"/>
        <v>71.340000000000146</v>
      </c>
      <c r="T63" s="18">
        <f t="shared" si="4"/>
        <v>71.340000000000146</v>
      </c>
      <c r="U63" s="18">
        <f t="shared" si="12"/>
        <v>57.418358158737213</v>
      </c>
      <c r="V63" s="33">
        <f ca="1">AVERAGE(E63:OFFSET(E63,-V$5+1,0))</f>
        <v>6015.4192857142853</v>
      </c>
      <c r="W63" s="33">
        <f t="shared" ca="1" si="5"/>
        <v>6101.5468229523913</v>
      </c>
      <c r="X63" s="33">
        <f t="shared" ca="1" si="6"/>
        <v>5929.2917484761792</v>
      </c>
      <c r="Y63" s="32">
        <f t="shared" ca="1" si="13"/>
        <v>0</v>
      </c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</row>
    <row r="64" spans="1:50">
      <c r="A64" s="5">
        <v>38450</v>
      </c>
      <c r="B64" s="4">
        <v>6002.35</v>
      </c>
      <c r="C64" s="4">
        <v>6028.55</v>
      </c>
      <c r="D64" s="4">
        <v>5997.29</v>
      </c>
      <c r="E64" s="4">
        <v>6024.07</v>
      </c>
      <c r="F64" s="4">
        <v>2547200</v>
      </c>
      <c r="G64" s="8">
        <f t="shared" si="1"/>
        <v>30.590000000000146</v>
      </c>
      <c r="H64" s="8">
        <f t="shared" si="0"/>
        <v>21.719999999999345</v>
      </c>
      <c r="I64" s="20">
        <f t="shared" ca="1" si="7"/>
        <v>0</v>
      </c>
      <c r="J64" s="8">
        <f t="shared" ca="1" si="8"/>
        <v>-1</v>
      </c>
      <c r="K64" s="8">
        <f t="shared" ca="1" si="9"/>
        <v>-52.309999999999491</v>
      </c>
      <c r="L64" s="8">
        <f t="shared" ca="1" si="10"/>
        <v>-83.889999999999418</v>
      </c>
      <c r="M64" s="9">
        <f ca="1">AVERAGE(E64:OFFSET(E64,-M$5+1,0))</f>
        <v>6009.7749999999996</v>
      </c>
      <c r="N64" s="9">
        <f ca="1">AVERAGE(E64:OFFSET(E64,-N$5+1,0))</f>
        <v>6038.3995000000014</v>
      </c>
      <c r="O64" s="9">
        <f t="shared" ca="1" si="11"/>
        <v>0</v>
      </c>
      <c r="P64" s="14">
        <f t="shared" si="2"/>
        <v>0.87214192884605668</v>
      </c>
      <c r="Q64" s="15">
        <f ca="1">STDEV(P64:OFFSET(P64,-$Q$5+1,0))</f>
        <v>0.77555932197241817</v>
      </c>
      <c r="R64" s="15">
        <f ca="1">STDEV(P64:OFFSET(P64,-$R$5+1,0))</f>
        <v>0.68411340995673975</v>
      </c>
      <c r="S64" s="18">
        <f t="shared" si="3"/>
        <v>31.260000000000218</v>
      </c>
      <c r="T64" s="18">
        <f t="shared" si="4"/>
        <v>56.789999999999964</v>
      </c>
      <c r="U64" s="18">
        <f t="shared" si="12"/>
        <v>57.334577070905581</v>
      </c>
      <c r="V64" s="33">
        <f ca="1">AVERAGE(E64:OFFSET(E64,-V$5+1,0))</f>
        <v>6013.9992857142852</v>
      </c>
      <c r="W64" s="33">
        <f t="shared" ca="1" si="5"/>
        <v>6100.0011513206437</v>
      </c>
      <c r="X64" s="33">
        <f t="shared" ca="1" si="6"/>
        <v>5927.9974201079267</v>
      </c>
      <c r="Y64" s="32">
        <f t="shared" ca="1" si="13"/>
        <v>0</v>
      </c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</row>
    <row r="65" spans="1:50">
      <c r="A65" s="5">
        <v>38453</v>
      </c>
      <c r="B65" s="4">
        <v>6021.33</v>
      </c>
      <c r="C65" s="4">
        <v>6021.33</v>
      </c>
      <c r="D65" s="4">
        <v>5969.4</v>
      </c>
      <c r="E65" s="4">
        <v>5979.42</v>
      </c>
      <c r="F65" s="4">
        <v>2204800</v>
      </c>
      <c r="G65" s="8">
        <f t="shared" si="1"/>
        <v>-2.7399999999997817</v>
      </c>
      <c r="H65" s="8">
        <f t="shared" si="0"/>
        <v>-41.909999999999854</v>
      </c>
      <c r="I65" s="20">
        <f t="shared" ca="1" si="7"/>
        <v>0</v>
      </c>
      <c r="J65" s="8">
        <f t="shared" ca="1" si="8"/>
        <v>-1</v>
      </c>
      <c r="K65" s="8">
        <f t="shared" ca="1" si="9"/>
        <v>44.649999999999636</v>
      </c>
      <c r="L65" s="8">
        <f t="shared" ca="1" si="10"/>
        <v>-39.239999999999782</v>
      </c>
      <c r="M65" s="9">
        <f ca="1">AVERAGE(E65:OFFSET(E65,-M$5+1,0))</f>
        <v>6001.1260000000002</v>
      </c>
      <c r="N65" s="9">
        <f ca="1">AVERAGE(E65:OFFSET(E65,-N$5+1,0))</f>
        <v>6027.1590000000006</v>
      </c>
      <c r="O65" s="9">
        <f t="shared" ca="1" si="11"/>
        <v>0</v>
      </c>
      <c r="P65" s="14">
        <f t="shared" si="2"/>
        <v>-0.74395373238472529</v>
      </c>
      <c r="Q65" s="15">
        <f ca="1">STDEV(P65:OFFSET(P65,-$Q$5+1,0))</f>
        <v>0.71631302594219237</v>
      </c>
      <c r="R65" s="15">
        <f ca="1">STDEV(P65:OFFSET(P65,-$R$5+1,0))</f>
        <v>0.68732823438253787</v>
      </c>
      <c r="S65" s="18">
        <f t="shared" si="3"/>
        <v>51.930000000000291</v>
      </c>
      <c r="T65" s="18">
        <f t="shared" si="4"/>
        <v>54.670000000000073</v>
      </c>
      <c r="U65" s="18">
        <f t="shared" si="12"/>
        <v>56.979300128118183</v>
      </c>
      <c r="V65" s="33">
        <f ca="1">AVERAGE(E65:OFFSET(E65,-V$5+1,0))</f>
        <v>6008.3178571428571</v>
      </c>
      <c r="W65" s="33">
        <f t="shared" ca="1" si="5"/>
        <v>6093.7868073350346</v>
      </c>
      <c r="X65" s="33">
        <f t="shared" ca="1" si="6"/>
        <v>5922.8489069506795</v>
      </c>
      <c r="Y65" s="32">
        <f t="shared" ca="1" si="13"/>
        <v>0</v>
      </c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</row>
    <row r="66" spans="1:50">
      <c r="A66" s="5">
        <v>38454</v>
      </c>
      <c r="B66" s="4">
        <v>5974.71</v>
      </c>
      <c r="C66" s="4">
        <v>5995.93</v>
      </c>
      <c r="D66" s="4">
        <v>5955.24</v>
      </c>
      <c r="E66" s="4">
        <v>5993.89</v>
      </c>
      <c r="F66" s="4">
        <v>1961000</v>
      </c>
      <c r="G66" s="8">
        <f t="shared" si="1"/>
        <v>-4.7100000000000364</v>
      </c>
      <c r="H66" s="8">
        <f t="shared" si="0"/>
        <v>19.180000000000291</v>
      </c>
      <c r="I66" s="20">
        <f t="shared" ca="1" si="7"/>
        <v>0</v>
      </c>
      <c r="J66" s="8">
        <f t="shared" ca="1" si="8"/>
        <v>-1</v>
      </c>
      <c r="K66" s="8">
        <f t="shared" ca="1" si="9"/>
        <v>-14.470000000000255</v>
      </c>
      <c r="L66" s="8">
        <f t="shared" ca="1" si="10"/>
        <v>-53.710000000000036</v>
      </c>
      <c r="M66" s="9">
        <f ca="1">AVERAGE(E66:OFFSET(E66,-M$5+1,0))</f>
        <v>5995.6409999999996</v>
      </c>
      <c r="N66" s="9">
        <f ca="1">AVERAGE(E66:OFFSET(E66,-N$5+1,0))</f>
        <v>6019.0779999999995</v>
      </c>
      <c r="O66" s="9">
        <f t="shared" ca="1" si="11"/>
        <v>0</v>
      </c>
      <c r="P66" s="14">
        <f t="shared" si="2"/>
        <v>0.24170437489048077</v>
      </c>
      <c r="Q66" s="15">
        <f ca="1">STDEV(P66:OFFSET(P66,-$Q$5+1,0))</f>
        <v>0.72412928970350432</v>
      </c>
      <c r="R66" s="15">
        <f ca="1">STDEV(P66:OFFSET(P66,-$R$5+1,0))</f>
        <v>0.68710410353398099</v>
      </c>
      <c r="S66" s="18">
        <f t="shared" si="3"/>
        <v>40.690000000000509</v>
      </c>
      <c r="T66" s="18">
        <f t="shared" si="4"/>
        <v>40.690000000000509</v>
      </c>
      <c r="U66" s="18">
        <f t="shared" si="12"/>
        <v>54.807393444369161</v>
      </c>
      <c r="V66" s="33">
        <f ca="1">AVERAGE(E66:OFFSET(E66,-V$5+1,0))</f>
        <v>6006.5392857142851</v>
      </c>
      <c r="W66" s="33">
        <f t="shared" ca="1" si="5"/>
        <v>6088.7503758808389</v>
      </c>
      <c r="X66" s="33">
        <f t="shared" ca="1" si="6"/>
        <v>5924.3281955477314</v>
      </c>
      <c r="Y66" s="32">
        <f t="shared" ca="1" si="13"/>
        <v>0</v>
      </c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</row>
    <row r="67" spans="1:50">
      <c r="A67" s="5">
        <v>38455</v>
      </c>
      <c r="B67" s="4">
        <v>6004.49</v>
      </c>
      <c r="C67" s="4">
        <v>6008.6</v>
      </c>
      <c r="D67" s="4">
        <v>5990.2</v>
      </c>
      <c r="E67" s="4">
        <v>5998.08</v>
      </c>
      <c r="F67" s="4">
        <v>2184800</v>
      </c>
      <c r="G67" s="8">
        <f t="shared" si="1"/>
        <v>10.599999999999454</v>
      </c>
      <c r="H67" s="8">
        <f t="shared" si="0"/>
        <v>-6.4099999999998545</v>
      </c>
      <c r="I67" s="20">
        <f t="shared" ca="1" si="7"/>
        <v>0</v>
      </c>
      <c r="J67" s="8">
        <f t="shared" ca="1" si="8"/>
        <v>-1</v>
      </c>
      <c r="K67" s="8">
        <f t="shared" ca="1" si="9"/>
        <v>-4.1899999999995998</v>
      </c>
      <c r="L67" s="8">
        <f t="shared" ca="1" si="10"/>
        <v>-57.899999999999636</v>
      </c>
      <c r="M67" s="9">
        <f ca="1">AVERAGE(E67:OFFSET(E67,-M$5+1,0))</f>
        <v>5999.3249999999998</v>
      </c>
      <c r="N67" s="9">
        <f ca="1">AVERAGE(E67:OFFSET(E67,-N$5+1,0))</f>
        <v>6015.8079999999991</v>
      </c>
      <c r="O67" s="9">
        <f t="shared" ca="1" si="11"/>
        <v>0</v>
      </c>
      <c r="P67" s="14">
        <f t="shared" si="2"/>
        <v>6.9880097607083788E-2</v>
      </c>
      <c r="Q67" s="15">
        <f ca="1">STDEV(P67:OFFSET(P67,-$Q$5+1,0))</f>
        <v>0.54220721226386637</v>
      </c>
      <c r="R67" s="15">
        <f ca="1">STDEV(P67:OFFSET(P67,-$R$5+1,0))</f>
        <v>0.65434744124694222</v>
      </c>
      <c r="S67" s="18">
        <f t="shared" si="3"/>
        <v>18.400000000000546</v>
      </c>
      <c r="T67" s="18">
        <f t="shared" si="4"/>
        <v>18.400000000000546</v>
      </c>
      <c r="U67" s="18">
        <f t="shared" si="12"/>
        <v>49.953074318453346</v>
      </c>
      <c r="V67" s="33">
        <f ca="1">AVERAGE(E67:OFFSET(E67,-V$5+1,0))</f>
        <v>6005.01</v>
      </c>
      <c r="W67" s="33">
        <f t="shared" ca="1" si="5"/>
        <v>6079.93961147768</v>
      </c>
      <c r="X67" s="33">
        <f t="shared" ca="1" si="6"/>
        <v>5930.0803885223204</v>
      </c>
      <c r="Y67" s="32">
        <f t="shared" ca="1" si="13"/>
        <v>0</v>
      </c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</row>
    <row r="68" spans="1:50">
      <c r="A68" s="5">
        <v>38456</v>
      </c>
      <c r="B68" s="4">
        <v>5966.84</v>
      </c>
      <c r="C68" s="4">
        <v>5994.99</v>
      </c>
      <c r="D68" s="4">
        <v>5964.33</v>
      </c>
      <c r="E68" s="4">
        <v>5976.68</v>
      </c>
      <c r="F68" s="4">
        <v>2465800</v>
      </c>
      <c r="G68" s="8">
        <f t="shared" si="1"/>
        <v>-31.239999999999782</v>
      </c>
      <c r="H68" s="8">
        <f t="shared" ref="H68:H131" si="14">E68-B68</f>
        <v>9.8400000000001455</v>
      </c>
      <c r="I68" s="20">
        <f t="shared" ca="1" si="7"/>
        <v>0</v>
      </c>
      <c r="J68" s="8">
        <f t="shared" ca="1" si="8"/>
        <v>-1</v>
      </c>
      <c r="K68" s="8">
        <f t="shared" ca="1" si="9"/>
        <v>21.399999999999636</v>
      </c>
      <c r="L68" s="8">
        <f t="shared" ca="1" si="10"/>
        <v>-36.5</v>
      </c>
      <c r="M68" s="9">
        <f ca="1">AVERAGE(E68:OFFSET(E68,-M$5+1,0))</f>
        <v>6001.1950000000006</v>
      </c>
      <c r="N68" s="9">
        <f ca="1">AVERAGE(E68:OFFSET(E68,-N$5+1,0))</f>
        <v>6011.0240000000003</v>
      </c>
      <c r="O68" s="9">
        <f t="shared" ca="1" si="11"/>
        <v>0</v>
      </c>
      <c r="P68" s="14">
        <f t="shared" si="2"/>
        <v>-0.35741881727498848</v>
      </c>
      <c r="Q68" s="15">
        <f ca="1">STDEV(P68:OFFSET(P68,-$Q$5+1,0))</f>
        <v>0.55765285588596347</v>
      </c>
      <c r="R68" s="15">
        <f ca="1">STDEV(P68:OFFSET(P68,-$R$5+1,0))</f>
        <v>0.65523135039352765</v>
      </c>
      <c r="S68" s="18">
        <f t="shared" si="3"/>
        <v>30.659999999999854</v>
      </c>
      <c r="T68" s="18">
        <f t="shared" si="4"/>
        <v>33.75</v>
      </c>
      <c r="U68" s="18">
        <f t="shared" si="12"/>
        <v>47.792664409326235</v>
      </c>
      <c r="V68" s="33">
        <f ca="1">AVERAGE(E68:OFFSET(E68,-V$5+1,0))</f>
        <v>6003.2728571428579</v>
      </c>
      <c r="W68" s="33">
        <f t="shared" ca="1" si="5"/>
        <v>6074.9618537568476</v>
      </c>
      <c r="X68" s="33">
        <f t="shared" ca="1" si="6"/>
        <v>5931.5838605288682</v>
      </c>
      <c r="Y68" s="32">
        <f t="shared" ca="1" si="13"/>
        <v>0</v>
      </c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</row>
    <row r="69" spans="1:50">
      <c r="A69" s="5">
        <v>38457</v>
      </c>
      <c r="B69" s="4">
        <v>5946.2</v>
      </c>
      <c r="C69" s="4">
        <v>5946.2</v>
      </c>
      <c r="D69" s="4">
        <v>5875.67</v>
      </c>
      <c r="E69" s="4">
        <v>5888.37</v>
      </c>
      <c r="F69" s="4">
        <v>3225600</v>
      </c>
      <c r="G69" s="8">
        <f t="shared" ref="G69:G132" si="15">B69-E68</f>
        <v>-30.480000000000473</v>
      </c>
      <c r="H69" s="8">
        <f t="shared" si="14"/>
        <v>-57.829999999999927</v>
      </c>
      <c r="I69" s="20">
        <f t="shared" ca="1" si="7"/>
        <v>-1</v>
      </c>
      <c r="J69" s="8">
        <f t="shared" ca="1" si="8"/>
        <v>-1</v>
      </c>
      <c r="K69" s="8">
        <f t="shared" ca="1" si="9"/>
        <v>88.3100000000004</v>
      </c>
      <c r="L69" s="8">
        <f t="shared" ca="1" si="10"/>
        <v>51.8100000000004</v>
      </c>
      <c r="M69" s="9">
        <f ca="1">AVERAGE(E69:OFFSET(E69,-M$5+1,0))</f>
        <v>5989.4440000000004</v>
      </c>
      <c r="N69" s="9">
        <f ca="1">AVERAGE(E69:OFFSET(E69,-N$5+1,0))</f>
        <v>6003.8190000000004</v>
      </c>
      <c r="O69" s="9">
        <f t="shared" ca="1" si="11"/>
        <v>0</v>
      </c>
      <c r="P69" s="14">
        <f t="shared" ref="P69:P132" si="16">100*LN(E69/E68)</f>
        <v>-1.488601071822127</v>
      </c>
      <c r="Q69" s="15">
        <f ca="1">STDEV(P69:OFFSET(P69,-$Q$5+1,0))</f>
        <v>0.66607440497068415</v>
      </c>
      <c r="R69" s="15">
        <f ca="1">STDEV(P69:OFFSET(P69,-$R$5+1,0))</f>
        <v>0.68941969928785385</v>
      </c>
      <c r="S69" s="18">
        <f t="shared" si="3"/>
        <v>70.529999999999745</v>
      </c>
      <c r="T69" s="18">
        <f t="shared" si="4"/>
        <v>101.01000000000022</v>
      </c>
      <c r="U69" s="18">
        <f t="shared" si="12"/>
        <v>54.888309154749436</v>
      </c>
      <c r="V69" s="33">
        <f ca="1">AVERAGE(E69:OFFSET(E69,-V$5+1,0))</f>
        <v>5990.5914285714289</v>
      </c>
      <c r="W69" s="33">
        <f t="shared" ca="1" si="5"/>
        <v>6072.9238923035527</v>
      </c>
      <c r="X69" s="33">
        <f t="shared" ca="1" si="6"/>
        <v>5908.258964839305</v>
      </c>
      <c r="Y69" s="32">
        <f t="shared" ca="1" si="13"/>
        <v>-1</v>
      </c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</row>
    <row r="70" spans="1:50">
      <c r="A70" s="5">
        <v>38460</v>
      </c>
      <c r="B70" s="4">
        <v>5809.76</v>
      </c>
      <c r="C70" s="4">
        <v>5809.76</v>
      </c>
      <c r="D70" s="4">
        <v>5679.35</v>
      </c>
      <c r="E70" s="4">
        <v>5715.16</v>
      </c>
      <c r="F70" s="4">
        <v>3243200</v>
      </c>
      <c r="G70" s="8">
        <f t="shared" si="15"/>
        <v>-78.609999999999673</v>
      </c>
      <c r="H70" s="8">
        <f t="shared" si="14"/>
        <v>-94.600000000000364</v>
      </c>
      <c r="I70" s="20">
        <f t="shared" ca="1" si="7"/>
        <v>0</v>
      </c>
      <c r="J70" s="8">
        <f t="shared" ca="1" si="8"/>
        <v>-2</v>
      </c>
      <c r="K70" s="8">
        <f t="shared" ca="1" si="9"/>
        <v>267.8100000000004</v>
      </c>
      <c r="L70" s="8">
        <f t="shared" ca="1" si="10"/>
        <v>319.6200000000008</v>
      </c>
      <c r="M70" s="9">
        <f ca="1">AVERAGE(E70:OFFSET(E70,-M$5+1,0))</f>
        <v>5958.0850000000009</v>
      </c>
      <c r="N70" s="9">
        <f ca="1">AVERAGE(E70:OFFSET(E70,-N$5+1,0))</f>
        <v>5987.3795</v>
      </c>
      <c r="O70" s="9">
        <f t="shared" ca="1" si="11"/>
        <v>0</v>
      </c>
      <c r="P70" s="14">
        <f t="shared" si="16"/>
        <v>-2.9856925770841851</v>
      </c>
      <c r="Q70" s="15">
        <f ca="1">STDEV(P70:OFFSET(P70,-$Q$5+1,0))</f>
        <v>1.0697784164208808</v>
      </c>
      <c r="R70" s="15">
        <f ca="1">STDEV(P70:OFFSET(P70,-$R$5+1,0))</f>
        <v>0.81049252470773747</v>
      </c>
      <c r="S70" s="18">
        <f t="shared" si="3"/>
        <v>130.40999999999985</v>
      </c>
      <c r="T70" s="18">
        <f t="shared" si="4"/>
        <v>209.01999999999953</v>
      </c>
      <c r="U70" s="18">
        <f t="shared" si="12"/>
        <v>75.439201267449448</v>
      </c>
      <c r="V70" s="33">
        <f ca="1">AVERAGE(E70:OFFSET(E70,-V$5+1,0))</f>
        <v>5966.7642857142846</v>
      </c>
      <c r="W70" s="33">
        <f t="shared" ca="1" si="5"/>
        <v>6079.9230876154588</v>
      </c>
      <c r="X70" s="33">
        <f t="shared" ca="1" si="6"/>
        <v>5853.6054838131104</v>
      </c>
      <c r="Y70" s="32">
        <f t="shared" ca="1" si="13"/>
        <v>0</v>
      </c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</row>
    <row r="71" spans="1:50">
      <c r="A71" s="5">
        <v>38461</v>
      </c>
      <c r="B71" s="4">
        <v>5736.97</v>
      </c>
      <c r="C71" s="4">
        <v>5773.32</v>
      </c>
      <c r="D71" s="4">
        <v>5726.96</v>
      </c>
      <c r="E71" s="4">
        <v>5748.35</v>
      </c>
      <c r="F71" s="4">
        <v>2540200</v>
      </c>
      <c r="G71" s="8">
        <f t="shared" si="15"/>
        <v>21.8100000000004</v>
      </c>
      <c r="H71" s="8">
        <f t="shared" si="14"/>
        <v>11.380000000000109</v>
      </c>
      <c r="I71" s="20">
        <f t="shared" ca="1" si="7"/>
        <v>0</v>
      </c>
      <c r="J71" s="8">
        <f t="shared" ca="1" si="8"/>
        <v>-2</v>
      </c>
      <c r="K71" s="8">
        <f t="shared" ca="1" si="9"/>
        <v>-66.380000000001019</v>
      </c>
      <c r="L71" s="8">
        <f t="shared" ca="1" si="10"/>
        <v>253.23999999999978</v>
      </c>
      <c r="M71" s="9">
        <f ca="1">AVERAGE(E71:OFFSET(E71,-M$5+1,0))</f>
        <v>5930.9269999999997</v>
      </c>
      <c r="N71" s="9">
        <f ca="1">AVERAGE(E71:OFFSET(E71,-N$5+1,0))</f>
        <v>5971.8490000000002</v>
      </c>
      <c r="O71" s="9">
        <f t="shared" ca="1" si="11"/>
        <v>0</v>
      </c>
      <c r="P71" s="14">
        <f t="shared" si="16"/>
        <v>0.57905637523025788</v>
      </c>
      <c r="Q71" s="15">
        <f ca="1">STDEV(P71:OFFSET(P71,-$Q$5+1,0))</f>
        <v>1.1223052206925113</v>
      </c>
      <c r="R71" s="15">
        <f ca="1">STDEV(P71:OFFSET(P71,-$R$5+1,0))</f>
        <v>0.80717954333131781</v>
      </c>
      <c r="S71" s="18">
        <f t="shared" si="3"/>
        <v>46.359999999999673</v>
      </c>
      <c r="T71" s="18">
        <f t="shared" si="4"/>
        <v>58.159999999999854</v>
      </c>
      <c r="U71" s="18">
        <f t="shared" si="12"/>
        <v>73.135307765122846</v>
      </c>
      <c r="V71" s="33">
        <f ca="1">AVERAGE(E71:OFFSET(E71,-V$5+1,0))</f>
        <v>5951.5578571428568</v>
      </c>
      <c r="W71" s="33">
        <f t="shared" ca="1" si="5"/>
        <v>6061.2608187905407</v>
      </c>
      <c r="X71" s="33">
        <f t="shared" ca="1" si="6"/>
        <v>5841.854895495173</v>
      </c>
      <c r="Y71" s="32">
        <f t="shared" ca="1" si="13"/>
        <v>0</v>
      </c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</row>
    <row r="72" spans="1:50">
      <c r="A72" s="5">
        <v>38462</v>
      </c>
      <c r="B72" s="4">
        <v>5799.85</v>
      </c>
      <c r="C72" s="4">
        <v>5799.85</v>
      </c>
      <c r="D72" s="4">
        <v>5683</v>
      </c>
      <c r="E72" s="4">
        <v>5693.01</v>
      </c>
      <c r="F72" s="4">
        <v>2779200</v>
      </c>
      <c r="G72" s="8">
        <f t="shared" si="15"/>
        <v>51.5</v>
      </c>
      <c r="H72" s="8">
        <f t="shared" si="14"/>
        <v>-106.84000000000015</v>
      </c>
      <c r="I72" s="20">
        <f t="shared" ca="1" si="7"/>
        <v>0</v>
      </c>
      <c r="J72" s="8">
        <f t="shared" ca="1" si="8"/>
        <v>-2</v>
      </c>
      <c r="K72" s="8">
        <f t="shared" ca="1" si="9"/>
        <v>110.68000000000029</v>
      </c>
      <c r="L72" s="8">
        <f t="shared" ca="1" si="10"/>
        <v>363.92000000000007</v>
      </c>
      <c r="M72" s="9">
        <f ca="1">AVERAGE(E72:OFFSET(E72,-M$5+1,0))</f>
        <v>5898.8790000000008</v>
      </c>
      <c r="N72" s="9">
        <f ca="1">AVERAGE(E72:OFFSET(E72,-N$5+1,0))</f>
        <v>5955.5599999999995</v>
      </c>
      <c r="O72" s="9">
        <f t="shared" ca="1" si="11"/>
        <v>0</v>
      </c>
      <c r="P72" s="14">
        <f t="shared" si="16"/>
        <v>-0.96737505970939908</v>
      </c>
      <c r="Q72" s="15">
        <f ca="1">STDEV(P72:OFFSET(P72,-$Q$5+1,0))</f>
        <v>1.125075164422862</v>
      </c>
      <c r="R72" s="15">
        <f ca="1">STDEV(P72:OFFSET(P72,-$R$5+1,0))</f>
        <v>0.81112806344055333</v>
      </c>
      <c r="S72" s="18">
        <f t="shared" si="3"/>
        <v>116.85000000000036</v>
      </c>
      <c r="T72" s="18">
        <f t="shared" si="4"/>
        <v>116.85000000000036</v>
      </c>
      <c r="U72" s="18">
        <f t="shared" si="12"/>
        <v>78.963933396439842</v>
      </c>
      <c r="V72" s="33">
        <f ca="1">AVERAGE(E72:OFFSET(E72,-V$5+1,0))</f>
        <v>5932.6314285714298</v>
      </c>
      <c r="W72" s="33">
        <f t="shared" ca="1" si="5"/>
        <v>6051.0773286660897</v>
      </c>
      <c r="X72" s="33">
        <f t="shared" ca="1" si="6"/>
        <v>5814.1855284767698</v>
      </c>
      <c r="Y72" s="32">
        <f t="shared" ca="1" si="13"/>
        <v>0</v>
      </c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</row>
    <row r="73" spans="1:50">
      <c r="A73" s="5">
        <v>38463</v>
      </c>
      <c r="B73" s="4">
        <v>5565.41</v>
      </c>
      <c r="C73" s="4">
        <v>5725.48</v>
      </c>
      <c r="D73" s="4">
        <v>5565.41</v>
      </c>
      <c r="E73" s="4">
        <v>5721.99</v>
      </c>
      <c r="F73" s="4">
        <v>2931800</v>
      </c>
      <c r="G73" s="8">
        <f t="shared" si="15"/>
        <v>-127.60000000000036</v>
      </c>
      <c r="H73" s="8">
        <f t="shared" si="14"/>
        <v>156.57999999999993</v>
      </c>
      <c r="I73" s="20">
        <f t="shared" ca="1" si="7"/>
        <v>0</v>
      </c>
      <c r="J73" s="8">
        <f t="shared" ca="1" si="8"/>
        <v>-2</v>
      </c>
      <c r="K73" s="8">
        <f t="shared" ca="1" si="9"/>
        <v>-57.959999999999127</v>
      </c>
      <c r="L73" s="8">
        <f t="shared" ca="1" si="10"/>
        <v>305.96000000000095</v>
      </c>
      <c r="M73" s="9">
        <f ca="1">AVERAGE(E73:OFFSET(E73,-M$5+1,0))</f>
        <v>5873.902</v>
      </c>
      <c r="N73" s="9">
        <f ca="1">AVERAGE(E73:OFFSET(E73,-N$5+1,0))</f>
        <v>5940.6850000000004</v>
      </c>
      <c r="O73" s="9">
        <f t="shared" ca="1" si="11"/>
        <v>0</v>
      </c>
      <c r="P73" s="14">
        <f t="shared" si="16"/>
        <v>0.50775404751809994</v>
      </c>
      <c r="Q73" s="15">
        <f ca="1">STDEV(P73:OFFSET(P73,-$Q$5+1,0))</f>
        <v>1.1708947201128317</v>
      </c>
      <c r="R73" s="15">
        <f ca="1">STDEV(P73:OFFSET(P73,-$R$5+1,0))</f>
        <v>0.81592242105440338</v>
      </c>
      <c r="S73" s="18">
        <f t="shared" si="3"/>
        <v>160.06999999999971</v>
      </c>
      <c r="T73" s="18">
        <f t="shared" si="4"/>
        <v>160.06999999999971</v>
      </c>
      <c r="U73" s="18">
        <f t="shared" si="12"/>
        <v>89.778075610247825</v>
      </c>
      <c r="V73" s="33">
        <f ca="1">AVERAGE(E73:OFFSET(E73,-V$5+1,0))</f>
        <v>5912.3535714285726</v>
      </c>
      <c r="W73" s="33">
        <f t="shared" ca="1" si="5"/>
        <v>6047.0206848439448</v>
      </c>
      <c r="X73" s="33">
        <f t="shared" ca="1" si="6"/>
        <v>5777.6864580132005</v>
      </c>
      <c r="Y73" s="32">
        <f t="shared" ca="1" si="13"/>
        <v>0</v>
      </c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</row>
    <row r="74" spans="1:50">
      <c r="A74" s="5">
        <v>38464</v>
      </c>
      <c r="B74" s="4">
        <v>5777.49</v>
      </c>
      <c r="C74" s="4">
        <v>5799.73</v>
      </c>
      <c r="D74" s="4">
        <v>5741.49</v>
      </c>
      <c r="E74" s="4">
        <v>5747.09</v>
      </c>
      <c r="F74" s="4">
        <v>2737600</v>
      </c>
      <c r="G74" s="8">
        <f t="shared" si="15"/>
        <v>55.5</v>
      </c>
      <c r="H74" s="8">
        <f t="shared" si="14"/>
        <v>-30.399999999999636</v>
      </c>
      <c r="I74" s="20">
        <f t="shared" ca="1" si="7"/>
        <v>0</v>
      </c>
      <c r="J74" s="8">
        <f t="shared" ca="1" si="8"/>
        <v>-2</v>
      </c>
      <c r="K74" s="8">
        <f t="shared" ca="1" si="9"/>
        <v>-50.200000000000728</v>
      </c>
      <c r="L74" s="8">
        <f t="shared" ca="1" si="10"/>
        <v>255.76000000000022</v>
      </c>
      <c r="M74" s="9">
        <f ca="1">AVERAGE(E74:OFFSET(E74,-M$5+1,0))</f>
        <v>5846.2039999999997</v>
      </c>
      <c r="N74" s="9">
        <f ca="1">AVERAGE(E74:OFFSET(E74,-N$5+1,0))</f>
        <v>5927.9895000000006</v>
      </c>
      <c r="O74" s="9">
        <f t="shared" ca="1" si="11"/>
        <v>0</v>
      </c>
      <c r="P74" s="14">
        <f t="shared" si="16"/>
        <v>0.43769927618037935</v>
      </c>
      <c r="Q74" s="15">
        <f ca="1">STDEV(P74:OFFSET(P74,-$Q$5+1,0))</f>
        <v>1.1244649813618743</v>
      </c>
      <c r="R74" s="15">
        <f ca="1">STDEV(P74:OFFSET(P74,-$R$5+1,0))</f>
        <v>0.81908393617725117</v>
      </c>
      <c r="S74" s="18">
        <f t="shared" si="3"/>
        <v>58.239999999999782</v>
      </c>
      <c r="T74" s="18">
        <f t="shared" si="4"/>
        <v>77.739999999999782</v>
      </c>
      <c r="U74" s="18">
        <f t="shared" si="12"/>
        <v>88.172998862214769</v>
      </c>
      <c r="V74" s="33">
        <f ca="1">AVERAGE(E74:OFFSET(E74,-V$5+1,0))</f>
        <v>5892.2350000000006</v>
      </c>
      <c r="W74" s="33">
        <f t="shared" ca="1" si="5"/>
        <v>6024.494498293323</v>
      </c>
      <c r="X74" s="33">
        <f t="shared" ca="1" si="6"/>
        <v>5759.9755017066782</v>
      </c>
      <c r="Y74" s="32">
        <f t="shared" ca="1" si="13"/>
        <v>0</v>
      </c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</row>
    <row r="75" spans="1:50">
      <c r="A75" s="5">
        <v>38467</v>
      </c>
      <c r="B75" s="4">
        <v>5753.24</v>
      </c>
      <c r="C75" s="4">
        <v>5771.38</v>
      </c>
      <c r="D75" s="4">
        <v>5727.42</v>
      </c>
      <c r="E75" s="4">
        <v>5758.31</v>
      </c>
      <c r="F75" s="4">
        <v>1916000</v>
      </c>
      <c r="G75" s="8">
        <f t="shared" si="15"/>
        <v>6.1499999999996362</v>
      </c>
      <c r="H75" s="8">
        <f t="shared" si="14"/>
        <v>5.0700000000006185</v>
      </c>
      <c r="I75" s="20">
        <f t="shared" ca="1" si="7"/>
        <v>0</v>
      </c>
      <c r="J75" s="8">
        <f t="shared" ca="1" si="8"/>
        <v>-2</v>
      </c>
      <c r="K75" s="8">
        <f t="shared" ca="1" si="9"/>
        <v>-22.440000000000509</v>
      </c>
      <c r="L75" s="8">
        <f t="shared" ca="1" si="10"/>
        <v>233.31999999999971</v>
      </c>
      <c r="M75" s="9">
        <f ca="1">AVERAGE(E75:OFFSET(E75,-M$5+1,0))</f>
        <v>5824.0929999999989</v>
      </c>
      <c r="N75" s="9">
        <f ca="1">AVERAGE(E75:OFFSET(E75,-N$5+1,0))</f>
        <v>5912.6095000000005</v>
      </c>
      <c r="O75" s="9">
        <f t="shared" ca="1" si="11"/>
        <v>0</v>
      </c>
      <c r="P75" s="14">
        <f t="shared" si="16"/>
        <v>0.19503891314959057</v>
      </c>
      <c r="Q75" s="15">
        <f ca="1">STDEV(P75:OFFSET(P75,-$Q$5+1,0))</f>
        <v>1.1382322303151204</v>
      </c>
      <c r="R75" s="15">
        <f ca="1">STDEV(P75:OFFSET(P75,-$R$5+1,0))</f>
        <v>0.81989554326412739</v>
      </c>
      <c r="S75" s="18">
        <f t="shared" si="3"/>
        <v>43.960000000000036</v>
      </c>
      <c r="T75" s="18">
        <f t="shared" si="4"/>
        <v>43.960000000000036</v>
      </c>
      <c r="U75" s="18">
        <f t="shared" si="12"/>
        <v>82.277932347252801</v>
      </c>
      <c r="V75" s="33">
        <f ca="1">AVERAGE(E75:OFFSET(E75,-V$5+1,0))</f>
        <v>5873.5478571428566</v>
      </c>
      <c r="W75" s="33">
        <f t="shared" ca="1" si="5"/>
        <v>5996.9647556637356</v>
      </c>
      <c r="X75" s="33">
        <f t="shared" ca="1" si="6"/>
        <v>5750.1309586219777</v>
      </c>
      <c r="Y75" s="32">
        <f t="shared" ca="1" si="13"/>
        <v>0</v>
      </c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</row>
    <row r="76" spans="1:50">
      <c r="A76" s="5">
        <v>38468</v>
      </c>
      <c r="B76" s="4">
        <v>5773.77</v>
      </c>
      <c r="C76" s="4">
        <v>5815.14</v>
      </c>
      <c r="D76" s="4">
        <v>5755.88</v>
      </c>
      <c r="E76" s="4">
        <v>5805.25</v>
      </c>
      <c r="F76" s="4">
        <v>2363200</v>
      </c>
      <c r="G76" s="8">
        <f t="shared" si="15"/>
        <v>15.460000000000036</v>
      </c>
      <c r="H76" s="8">
        <f t="shared" si="14"/>
        <v>31.479999999999563</v>
      </c>
      <c r="I76" s="20">
        <f t="shared" ca="1" si="7"/>
        <v>0</v>
      </c>
      <c r="J76" s="8">
        <f t="shared" ca="1" si="8"/>
        <v>-2</v>
      </c>
      <c r="K76" s="8">
        <f t="shared" ca="1" si="9"/>
        <v>-93.8799999999992</v>
      </c>
      <c r="L76" s="8">
        <f t="shared" ca="1" si="10"/>
        <v>139.44000000000051</v>
      </c>
      <c r="M76" s="9">
        <f ca="1">AVERAGE(E76:OFFSET(E76,-M$5+1,0))</f>
        <v>5805.2289999999994</v>
      </c>
      <c r="N76" s="9">
        <f ca="1">AVERAGE(E76:OFFSET(E76,-N$5+1,0))</f>
        <v>5900.4349999999995</v>
      </c>
      <c r="O76" s="9">
        <f t="shared" ca="1" si="11"/>
        <v>0</v>
      </c>
      <c r="P76" s="14">
        <f t="shared" si="16"/>
        <v>0.8118651665657346</v>
      </c>
      <c r="Q76" s="15">
        <f ca="1">STDEV(P76:OFFSET(P76,-$Q$5+1,0))</f>
        <v>1.1859369094896941</v>
      </c>
      <c r="R76" s="15">
        <f ca="1">STDEV(P76:OFFSET(P76,-$R$5+1,0))</f>
        <v>0.80161671919551447</v>
      </c>
      <c r="S76" s="18">
        <f t="shared" si="3"/>
        <v>59.260000000000218</v>
      </c>
      <c r="T76" s="18">
        <f t="shared" si="4"/>
        <v>59.260000000000218</v>
      </c>
      <c r="U76" s="18">
        <f t="shared" si="12"/>
        <v>79.208874700952464</v>
      </c>
      <c r="V76" s="33">
        <f ca="1">AVERAGE(E76:OFFSET(E76,-V$5+1,0))</f>
        <v>5858.6735714285724</v>
      </c>
      <c r="W76" s="33">
        <f t="shared" ca="1" si="5"/>
        <v>5977.4868834800009</v>
      </c>
      <c r="X76" s="33">
        <f t="shared" ca="1" si="6"/>
        <v>5739.8602593771438</v>
      </c>
      <c r="Y76" s="32">
        <f t="shared" ca="1" si="13"/>
        <v>0</v>
      </c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</row>
    <row r="77" spans="1:50">
      <c r="A77" s="5">
        <v>38469</v>
      </c>
      <c r="B77" s="4">
        <v>5806.69</v>
      </c>
      <c r="C77" s="4">
        <v>5817.92</v>
      </c>
      <c r="D77" s="4">
        <v>5777.41</v>
      </c>
      <c r="E77" s="4">
        <v>5778.27</v>
      </c>
      <c r="F77" s="4">
        <v>2004200</v>
      </c>
      <c r="G77" s="8">
        <f t="shared" si="15"/>
        <v>1.4399999999995998</v>
      </c>
      <c r="H77" s="8">
        <f t="shared" si="14"/>
        <v>-28.419999999999163</v>
      </c>
      <c r="I77" s="20">
        <f t="shared" ca="1" si="7"/>
        <v>0</v>
      </c>
      <c r="J77" s="8">
        <f t="shared" ca="1" si="8"/>
        <v>-2</v>
      </c>
      <c r="K77" s="8">
        <f t="shared" ca="1" si="9"/>
        <v>53.959999999999127</v>
      </c>
      <c r="L77" s="8">
        <f t="shared" ca="1" si="10"/>
        <v>193.39999999999964</v>
      </c>
      <c r="M77" s="9">
        <f ca="1">AVERAGE(E77:OFFSET(E77,-M$5+1,0))</f>
        <v>5783.2479999999996</v>
      </c>
      <c r="N77" s="9">
        <f ca="1">AVERAGE(E77:OFFSET(E77,-N$5+1,0))</f>
        <v>5891.2865000000002</v>
      </c>
      <c r="O77" s="9">
        <f t="shared" ca="1" si="11"/>
        <v>0</v>
      </c>
      <c r="P77" s="14">
        <f t="shared" si="16"/>
        <v>-0.46583506204217362</v>
      </c>
      <c r="Q77" s="15">
        <f ca="1">STDEV(P77:OFFSET(P77,-$Q$5+1,0))</f>
        <v>1.1784554805271248</v>
      </c>
      <c r="R77" s="15">
        <f ca="1">STDEV(P77:OFFSET(P77,-$R$5+1,0))</f>
        <v>0.78623926388744791</v>
      </c>
      <c r="S77" s="18">
        <f t="shared" si="3"/>
        <v>40.510000000000218</v>
      </c>
      <c r="T77" s="18">
        <f t="shared" si="4"/>
        <v>40.510000000000218</v>
      </c>
      <c r="U77" s="18">
        <f t="shared" si="12"/>
        <v>74.049024740825502</v>
      </c>
      <c r="V77" s="33">
        <f ca="1">AVERAGE(E77:OFFSET(E77,-V$5+1,0))</f>
        <v>5844.8528571428569</v>
      </c>
      <c r="W77" s="33">
        <f t="shared" ca="1" si="5"/>
        <v>5955.9263942540956</v>
      </c>
      <c r="X77" s="33">
        <f t="shared" ca="1" si="6"/>
        <v>5733.7793200316182</v>
      </c>
      <c r="Y77" s="32">
        <f t="shared" ca="1" si="13"/>
        <v>0</v>
      </c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</row>
    <row r="78" spans="1:50">
      <c r="A78" s="5">
        <v>38470</v>
      </c>
      <c r="B78" s="4">
        <v>5775.25</v>
      </c>
      <c r="C78" s="4">
        <v>5842.27</v>
      </c>
      <c r="D78" s="4">
        <v>5755.08</v>
      </c>
      <c r="E78" s="4">
        <v>5842.27</v>
      </c>
      <c r="F78" s="4">
        <v>2198200</v>
      </c>
      <c r="G78" s="8">
        <f t="shared" si="15"/>
        <v>-3.0200000000004366</v>
      </c>
      <c r="H78" s="8">
        <f t="shared" si="14"/>
        <v>67.020000000000437</v>
      </c>
      <c r="I78" s="20">
        <f t="shared" ca="1" si="7"/>
        <v>0</v>
      </c>
      <c r="J78" s="8">
        <f t="shared" ca="1" si="8"/>
        <v>-2</v>
      </c>
      <c r="K78" s="8">
        <f t="shared" ca="1" si="9"/>
        <v>-128</v>
      </c>
      <c r="L78" s="8">
        <f t="shared" ca="1" si="10"/>
        <v>65.399999999999636</v>
      </c>
      <c r="M78" s="9">
        <f ca="1">AVERAGE(E78:OFFSET(E78,-M$5+1,0))</f>
        <v>5769.8070000000007</v>
      </c>
      <c r="N78" s="9">
        <f ca="1">AVERAGE(E78:OFFSET(E78,-N$5+1,0))</f>
        <v>5885.5010000000011</v>
      </c>
      <c r="O78" s="9">
        <f t="shared" ca="1" si="11"/>
        <v>0</v>
      </c>
      <c r="P78" s="14">
        <f t="shared" si="16"/>
        <v>1.1015090022288512</v>
      </c>
      <c r="Q78" s="15">
        <f ca="1">STDEV(P78:OFFSET(P78,-$Q$5+1,0))</f>
        <v>1.2675841713144864</v>
      </c>
      <c r="R78" s="15">
        <f ca="1">STDEV(P78:OFFSET(P78,-$R$5+1,0))</f>
        <v>0.81036290063526961</v>
      </c>
      <c r="S78" s="18">
        <f t="shared" si="3"/>
        <v>87.190000000000509</v>
      </c>
      <c r="T78" s="18">
        <f t="shared" si="4"/>
        <v>87.190000000000509</v>
      </c>
      <c r="U78" s="18">
        <f t="shared" si="12"/>
        <v>75.801154775382173</v>
      </c>
      <c r="V78" s="33">
        <f ca="1">AVERAGE(E78:OFFSET(E78,-V$5+1,0))</f>
        <v>5831.8671428571424</v>
      </c>
      <c r="W78" s="33">
        <f t="shared" ca="1" si="5"/>
        <v>5945.5688750202153</v>
      </c>
      <c r="X78" s="33">
        <f t="shared" ca="1" si="6"/>
        <v>5718.1654106940696</v>
      </c>
      <c r="Y78" s="32">
        <f t="shared" ca="1" si="13"/>
        <v>0</v>
      </c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</row>
    <row r="79" spans="1:50">
      <c r="A79" s="5">
        <v>38471</v>
      </c>
      <c r="B79" s="4">
        <v>5810.34</v>
      </c>
      <c r="C79" s="4">
        <v>5818.07</v>
      </c>
      <c r="D79" s="4">
        <v>5780.97</v>
      </c>
      <c r="E79" s="4">
        <v>5818.07</v>
      </c>
      <c r="F79" s="4">
        <v>2167400</v>
      </c>
      <c r="G79" s="8">
        <f t="shared" si="15"/>
        <v>-31.930000000000291</v>
      </c>
      <c r="H79" s="8">
        <f t="shared" si="14"/>
        <v>7.7299999999995634</v>
      </c>
      <c r="I79" s="20">
        <f t="shared" ca="1" si="7"/>
        <v>0</v>
      </c>
      <c r="J79" s="8">
        <f t="shared" ca="1" si="8"/>
        <v>-2</v>
      </c>
      <c r="K79" s="8">
        <f t="shared" ca="1" si="9"/>
        <v>48.400000000001455</v>
      </c>
      <c r="L79" s="8">
        <f t="shared" ca="1" si="10"/>
        <v>113.80000000000109</v>
      </c>
      <c r="M79" s="9">
        <f ca="1">AVERAGE(E79:OFFSET(E79,-M$5+1,0))</f>
        <v>5762.777000000001</v>
      </c>
      <c r="N79" s="9">
        <f ca="1">AVERAGE(E79:OFFSET(E79,-N$5+1,0))</f>
        <v>5876.1105000000007</v>
      </c>
      <c r="O79" s="9">
        <f t="shared" ca="1" si="11"/>
        <v>0</v>
      </c>
      <c r="P79" s="14">
        <f t="shared" si="16"/>
        <v>-0.41508283199115281</v>
      </c>
      <c r="Q79" s="15">
        <f ca="1">STDEV(P79:OFFSET(P79,-$Q$5+1,0))</f>
        <v>1.192122476167963</v>
      </c>
      <c r="R79" s="15">
        <f ca="1">STDEV(P79:OFFSET(P79,-$R$5+1,0))</f>
        <v>0.81070843918120628</v>
      </c>
      <c r="S79" s="18">
        <f t="shared" si="3"/>
        <v>37.099999999999454</v>
      </c>
      <c r="T79" s="18">
        <f t="shared" si="4"/>
        <v>61.300000000000182</v>
      </c>
      <c r="U79" s="18">
        <f t="shared" si="12"/>
        <v>73.867667471997919</v>
      </c>
      <c r="V79" s="33">
        <f ca="1">AVERAGE(E79:OFFSET(E79,-V$5+1,0))</f>
        <v>5820.3421428571437</v>
      </c>
      <c r="W79" s="33">
        <f t="shared" ca="1" si="5"/>
        <v>5931.1436440651405</v>
      </c>
      <c r="X79" s="33">
        <f t="shared" ca="1" si="6"/>
        <v>5709.5406416491469</v>
      </c>
      <c r="Y79" s="32">
        <f t="shared" ca="1" si="13"/>
        <v>0</v>
      </c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</row>
    <row r="80" spans="1:50">
      <c r="A80" s="5">
        <v>38475</v>
      </c>
      <c r="B80" s="4">
        <v>5845.14</v>
      </c>
      <c r="C80" s="4">
        <v>5865.9</v>
      </c>
      <c r="D80" s="4">
        <v>5818.22</v>
      </c>
      <c r="E80" s="4">
        <v>5818.22</v>
      </c>
      <c r="F80" s="4">
        <v>2478000</v>
      </c>
      <c r="G80" s="8">
        <f t="shared" si="15"/>
        <v>27.070000000000618</v>
      </c>
      <c r="H80" s="8">
        <f t="shared" si="14"/>
        <v>-26.920000000000073</v>
      </c>
      <c r="I80" s="20">
        <f t="shared" ca="1" si="7"/>
        <v>0</v>
      </c>
      <c r="J80" s="8">
        <f t="shared" ca="1" si="8"/>
        <v>-2</v>
      </c>
      <c r="K80" s="8">
        <f t="shared" ca="1" si="9"/>
        <v>-0.30000000000109139</v>
      </c>
      <c r="L80" s="8">
        <f t="shared" ca="1" si="10"/>
        <v>113.5</v>
      </c>
      <c r="M80" s="9">
        <f ca="1">AVERAGE(E80:OFFSET(E80,-M$5+1,0))</f>
        <v>5773.0830000000005</v>
      </c>
      <c r="N80" s="9">
        <f ca="1">AVERAGE(E80:OFFSET(E80,-N$5+1,0))</f>
        <v>5865.5840000000007</v>
      </c>
      <c r="O80" s="9">
        <f t="shared" ca="1" si="11"/>
        <v>0</v>
      </c>
      <c r="P80" s="14">
        <f t="shared" si="16"/>
        <v>2.5781413149459568E-3</v>
      </c>
      <c r="Q80" s="15">
        <f ca="1">STDEV(P80:OFFSET(P80,-$Q$5+1,0))</f>
        <v>0.64125696065582205</v>
      </c>
      <c r="R80" s="15">
        <f ca="1">STDEV(P80:OFFSET(P80,-$R$5+1,0))</f>
        <v>0.81111222686020057</v>
      </c>
      <c r="S80" s="18">
        <f t="shared" si="3"/>
        <v>47.679999999999382</v>
      </c>
      <c r="T80" s="18">
        <f t="shared" si="4"/>
        <v>47.829999999999927</v>
      </c>
      <c r="U80" s="18">
        <f t="shared" si="12"/>
        <v>70.395978475731525</v>
      </c>
      <c r="V80" s="33">
        <f ca="1">AVERAGE(E80:OFFSET(E80,-V$5+1,0))</f>
        <v>5807.7942857142853</v>
      </c>
      <c r="W80" s="33">
        <f t="shared" ca="1" si="5"/>
        <v>5913.3882534278828</v>
      </c>
      <c r="X80" s="33">
        <f t="shared" ca="1" si="6"/>
        <v>5702.2003180006877</v>
      </c>
      <c r="Y80" s="32">
        <f t="shared" ca="1" si="13"/>
        <v>0</v>
      </c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</row>
    <row r="81" spans="1:50">
      <c r="A81" s="5">
        <v>38476</v>
      </c>
      <c r="B81" s="4">
        <v>5827.74</v>
      </c>
      <c r="C81" s="4">
        <v>5831.02</v>
      </c>
      <c r="D81" s="4">
        <v>5793.25</v>
      </c>
      <c r="E81" s="4">
        <v>5803.68</v>
      </c>
      <c r="F81" s="4">
        <v>2248600</v>
      </c>
      <c r="G81" s="8">
        <f t="shared" si="15"/>
        <v>9.5199999999995271</v>
      </c>
      <c r="H81" s="8">
        <f t="shared" si="14"/>
        <v>-24.059999999999491</v>
      </c>
      <c r="I81" s="20">
        <f t="shared" ca="1" si="7"/>
        <v>0</v>
      </c>
      <c r="J81" s="8">
        <f t="shared" ca="1" si="8"/>
        <v>-2</v>
      </c>
      <c r="K81" s="8">
        <f t="shared" ca="1" si="9"/>
        <v>29.079999999999927</v>
      </c>
      <c r="L81" s="8">
        <f t="shared" ca="1" si="10"/>
        <v>142.57999999999993</v>
      </c>
      <c r="M81" s="9">
        <f ca="1">AVERAGE(E81:OFFSET(E81,-M$5+1,0))</f>
        <v>5778.616</v>
      </c>
      <c r="N81" s="9">
        <f ca="1">AVERAGE(E81:OFFSET(E81,-N$5+1,0))</f>
        <v>5854.7714999999998</v>
      </c>
      <c r="O81" s="9">
        <f t="shared" ca="1" si="11"/>
        <v>0</v>
      </c>
      <c r="P81" s="14">
        <f t="shared" si="16"/>
        <v>-0.25021739278589339</v>
      </c>
      <c r="Q81" s="15">
        <f ca="1">STDEV(P81:OFFSET(P81,-$Q$5+1,0))</f>
        <v>0.63734207658541442</v>
      </c>
      <c r="R81" s="15">
        <f ca="1">STDEV(P81:OFFSET(P81,-$R$5+1,0))</f>
        <v>0.8055515526296082</v>
      </c>
      <c r="S81" s="18">
        <f t="shared" si="3"/>
        <v>37.770000000000437</v>
      </c>
      <c r="T81" s="18">
        <f t="shared" si="4"/>
        <v>37.770000000000437</v>
      </c>
      <c r="U81" s="18">
        <f t="shared" si="12"/>
        <v>66.045848012300723</v>
      </c>
      <c r="V81" s="33">
        <f ca="1">AVERAGE(E81:OFFSET(E81,-V$5+1,0))</f>
        <v>5793.9085714285711</v>
      </c>
      <c r="W81" s="33">
        <f t="shared" ca="1" si="5"/>
        <v>5892.9773434470226</v>
      </c>
      <c r="X81" s="33">
        <f t="shared" ca="1" si="6"/>
        <v>5694.8397994101197</v>
      </c>
      <c r="Y81" s="32">
        <f t="shared" ca="1" si="13"/>
        <v>0</v>
      </c>
      <c r="AB81" s="12"/>
      <c r="AC81" s="12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</row>
    <row r="82" spans="1:50">
      <c r="A82" s="5">
        <v>38477</v>
      </c>
      <c r="B82" s="4">
        <v>5851.5</v>
      </c>
      <c r="C82" s="4">
        <v>5957.87</v>
      </c>
      <c r="D82" s="4">
        <v>5851.5</v>
      </c>
      <c r="E82" s="4">
        <v>5927.5</v>
      </c>
      <c r="F82" s="4">
        <v>3738600</v>
      </c>
      <c r="G82" s="8">
        <f t="shared" si="15"/>
        <v>47.819999999999709</v>
      </c>
      <c r="H82" s="8">
        <f t="shared" si="14"/>
        <v>76</v>
      </c>
      <c r="I82" s="20">
        <f t="shared" ca="1" si="7"/>
        <v>1</v>
      </c>
      <c r="J82" s="8">
        <f t="shared" ca="1" si="8"/>
        <v>-2</v>
      </c>
      <c r="K82" s="8">
        <f t="shared" ca="1" si="9"/>
        <v>-247.63999999999942</v>
      </c>
      <c r="L82" s="8">
        <f t="shared" ca="1" si="10"/>
        <v>-105.05999999999949</v>
      </c>
      <c r="M82" s="9">
        <f ca="1">AVERAGE(E82:OFFSET(E82,-M$5+1,0))</f>
        <v>5802.0650000000005</v>
      </c>
      <c r="N82" s="9">
        <f ca="1">AVERAGE(E82:OFFSET(E82,-N$5+1,0))</f>
        <v>5850.4719999999998</v>
      </c>
      <c r="O82" s="9">
        <f t="shared" ca="1" si="11"/>
        <v>0</v>
      </c>
      <c r="P82" s="14">
        <f t="shared" si="16"/>
        <v>2.1110339845514172</v>
      </c>
      <c r="Q82" s="15">
        <f ca="1">STDEV(P82:OFFSET(P82,-$Q$5+1,0))</f>
        <v>0.79155623057079416</v>
      </c>
      <c r="R82" s="15">
        <f ca="1">STDEV(P82:OFFSET(P82,-$R$5+1,0))</f>
        <v>0.87668268075050149</v>
      </c>
      <c r="S82" s="18">
        <f t="shared" si="3"/>
        <v>106.36999999999989</v>
      </c>
      <c r="T82" s="18">
        <f t="shared" si="4"/>
        <v>154.1899999999996</v>
      </c>
      <c r="U82" s="18">
        <f t="shared" si="12"/>
        <v>77.798401610660576</v>
      </c>
      <c r="V82" s="33">
        <f ca="1">AVERAGE(E82:OFFSET(E82,-V$5+1,0))</f>
        <v>5790.3957142857153</v>
      </c>
      <c r="W82" s="33">
        <f t="shared" ca="1" si="5"/>
        <v>5907.0933167017065</v>
      </c>
      <c r="X82" s="33">
        <f t="shared" ca="1" si="6"/>
        <v>5673.698111869724</v>
      </c>
      <c r="Y82" s="32">
        <f t="shared" ca="1" si="13"/>
        <v>1</v>
      </c>
      <c r="AB82" s="12"/>
      <c r="AC82" s="12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</row>
    <row r="83" spans="1:50">
      <c r="A83" s="5">
        <v>38478</v>
      </c>
      <c r="B83" s="4">
        <v>5932.04</v>
      </c>
      <c r="C83" s="4">
        <v>5974.86</v>
      </c>
      <c r="D83" s="4">
        <v>5917.02</v>
      </c>
      <c r="E83" s="4">
        <v>5967.96</v>
      </c>
      <c r="F83" s="4">
        <v>3067600</v>
      </c>
      <c r="G83" s="8">
        <f t="shared" si="15"/>
        <v>4.5399999999999636</v>
      </c>
      <c r="H83" s="8">
        <f t="shared" si="14"/>
        <v>35.920000000000073</v>
      </c>
      <c r="I83" s="20">
        <f t="shared" ca="1" si="7"/>
        <v>0</v>
      </c>
      <c r="J83" s="8">
        <f t="shared" ca="1" si="8"/>
        <v>-1</v>
      </c>
      <c r="K83" s="8">
        <f t="shared" ca="1" si="9"/>
        <v>-45</v>
      </c>
      <c r="L83" s="8">
        <f t="shared" ca="1" si="10"/>
        <v>-150.05999999999949</v>
      </c>
      <c r="M83" s="9">
        <f ca="1">AVERAGE(E83:OFFSET(E83,-M$5+1,0))</f>
        <v>5826.6620000000003</v>
      </c>
      <c r="N83" s="9">
        <f ca="1">AVERAGE(E83:OFFSET(E83,-N$5+1,0))</f>
        <v>5850.2820000000002</v>
      </c>
      <c r="O83" s="9">
        <f t="shared" ca="1" si="11"/>
        <v>0</v>
      </c>
      <c r="P83" s="14">
        <f t="shared" si="16"/>
        <v>0.68026215087062725</v>
      </c>
      <c r="Q83" s="15">
        <f ca="1">STDEV(P83:OFFSET(P83,-$Q$5+1,0))</f>
        <v>0.79594510757398373</v>
      </c>
      <c r="R83" s="15">
        <f ca="1">STDEV(P83:OFFSET(P83,-$R$5+1,0))</f>
        <v>0.87747240907384105</v>
      </c>
      <c r="S83" s="18">
        <f t="shared" si="3"/>
        <v>57.839999999999236</v>
      </c>
      <c r="T83" s="18">
        <f t="shared" si="4"/>
        <v>57.839999999999236</v>
      </c>
      <c r="U83" s="18">
        <f t="shared" si="12"/>
        <v>75.137281395905745</v>
      </c>
      <c r="V83" s="33">
        <f ca="1">AVERAGE(E83:OFFSET(E83,-V$5+1,0))</f>
        <v>5796.0807142857157</v>
      </c>
      <c r="W83" s="33">
        <f t="shared" ca="1" si="5"/>
        <v>5908.7866363795747</v>
      </c>
      <c r="X83" s="33">
        <f t="shared" ca="1" si="6"/>
        <v>5683.3747921918566</v>
      </c>
      <c r="Y83" s="32">
        <f t="shared" ca="1" si="13"/>
        <v>0</v>
      </c>
      <c r="AB83" s="12"/>
      <c r="AC83" s="12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</row>
    <row r="84" spans="1:50">
      <c r="A84" s="5">
        <v>38481</v>
      </c>
      <c r="B84" s="4">
        <v>5957.92</v>
      </c>
      <c r="C84" s="4">
        <v>5973.6</v>
      </c>
      <c r="D84" s="4">
        <v>5950.63</v>
      </c>
      <c r="E84" s="4">
        <v>5966.85</v>
      </c>
      <c r="F84" s="4">
        <v>2567800</v>
      </c>
      <c r="G84" s="8">
        <f t="shared" si="15"/>
        <v>-10.039999999999964</v>
      </c>
      <c r="H84" s="8">
        <f t="shared" si="14"/>
        <v>8.930000000000291</v>
      </c>
      <c r="I84" s="20">
        <f t="shared" ca="1" si="7"/>
        <v>0</v>
      </c>
      <c r="J84" s="8">
        <f t="shared" ca="1" si="8"/>
        <v>-1</v>
      </c>
      <c r="K84" s="8">
        <f t="shared" ca="1" si="9"/>
        <v>1.1099999999996726</v>
      </c>
      <c r="L84" s="8">
        <f t="shared" ca="1" si="10"/>
        <v>-148.94999999999982</v>
      </c>
      <c r="M84" s="9">
        <f ca="1">AVERAGE(E84:OFFSET(E84,-M$5+1,0))</f>
        <v>5848.6379999999999</v>
      </c>
      <c r="N84" s="9">
        <f ca="1">AVERAGE(E84:OFFSET(E84,-N$5+1,0))</f>
        <v>5847.4210000000003</v>
      </c>
      <c r="O84" s="9">
        <f t="shared" ca="1" si="11"/>
        <v>1</v>
      </c>
      <c r="P84" s="14">
        <f t="shared" si="16"/>
        <v>-1.860105025886416E-2</v>
      </c>
      <c r="Q84" s="15">
        <f ca="1">STDEV(P84:OFFSET(P84,-$Q$5+1,0))</f>
        <v>0.80786425710421361</v>
      </c>
      <c r="R84" s="15">
        <f ca="1">STDEV(P84:OFFSET(P84,-$R$5+1,0))</f>
        <v>0.87673540916788162</v>
      </c>
      <c r="S84" s="18">
        <f t="shared" si="3"/>
        <v>22.970000000000255</v>
      </c>
      <c r="T84" s="18">
        <f t="shared" si="4"/>
        <v>22.970000000000255</v>
      </c>
      <c r="U84" s="18">
        <f t="shared" si="12"/>
        <v>68.181643876451687</v>
      </c>
      <c r="V84" s="33">
        <f ca="1">AVERAGE(E84:OFFSET(E84,-V$5+1,0))</f>
        <v>5814.0585714285726</v>
      </c>
      <c r="W84" s="33">
        <f t="shared" ca="1" si="5"/>
        <v>5916.3310372432497</v>
      </c>
      <c r="X84" s="33">
        <f t="shared" ca="1" si="6"/>
        <v>5711.7861056138954</v>
      </c>
      <c r="Y84" s="32">
        <f t="shared" ca="1" si="13"/>
        <v>0</v>
      </c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</row>
    <row r="85" spans="1:50">
      <c r="A85" s="5">
        <v>38482</v>
      </c>
      <c r="B85" s="4">
        <v>5973.37</v>
      </c>
      <c r="C85" s="4">
        <v>5976.83</v>
      </c>
      <c r="D85" s="4">
        <v>5939.48</v>
      </c>
      <c r="E85" s="4">
        <v>5949.8</v>
      </c>
      <c r="F85" s="4">
        <v>2560800</v>
      </c>
      <c r="G85" s="8">
        <f t="shared" si="15"/>
        <v>6.5199999999995271</v>
      </c>
      <c r="H85" s="8">
        <f t="shared" si="14"/>
        <v>-23.569999999999709</v>
      </c>
      <c r="I85" s="20">
        <f t="shared" ca="1" si="7"/>
        <v>0</v>
      </c>
      <c r="J85" s="8">
        <f t="shared" ca="1" si="8"/>
        <v>-1</v>
      </c>
      <c r="K85" s="8">
        <f t="shared" ca="1" si="9"/>
        <v>17.050000000000182</v>
      </c>
      <c r="L85" s="8">
        <f t="shared" ca="1" si="10"/>
        <v>-131.89999999999964</v>
      </c>
      <c r="M85" s="9">
        <f ca="1">AVERAGE(E85:OFFSET(E85,-M$5+1,0))</f>
        <v>5867.7870000000003</v>
      </c>
      <c r="N85" s="9">
        <f ca="1">AVERAGE(E85:OFFSET(E85,-N$5+1,0))</f>
        <v>5845.9400000000005</v>
      </c>
      <c r="O85" s="9">
        <f t="shared" ca="1" si="11"/>
        <v>0</v>
      </c>
      <c r="P85" s="14">
        <f t="shared" si="16"/>
        <v>-0.28615444163254072</v>
      </c>
      <c r="Q85" s="15">
        <f ca="1">STDEV(P85:OFFSET(P85,-$Q$5+1,0))</f>
        <v>0.83370871055709428</v>
      </c>
      <c r="R85" s="15">
        <f ca="1">STDEV(P85:OFFSET(P85,-$R$5+1,0))</f>
        <v>0.87603996996113553</v>
      </c>
      <c r="S85" s="18">
        <f t="shared" si="3"/>
        <v>37.350000000000364</v>
      </c>
      <c r="T85" s="18">
        <f t="shared" si="4"/>
        <v>37.350000000000364</v>
      </c>
      <c r="U85" s="18">
        <f t="shared" si="12"/>
        <v>64.070758026258176</v>
      </c>
      <c r="V85" s="33">
        <f ca="1">AVERAGE(E85:OFFSET(E85,-V$5+1,0))</f>
        <v>5828.4478571428581</v>
      </c>
      <c r="W85" s="33">
        <f t="shared" ca="1" si="5"/>
        <v>5924.5539941822453</v>
      </c>
      <c r="X85" s="33">
        <f t="shared" ca="1" si="6"/>
        <v>5732.3417201034708</v>
      </c>
      <c r="Y85" s="32">
        <f t="shared" ca="1" si="13"/>
        <v>0</v>
      </c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</row>
    <row r="86" spans="1:50">
      <c r="A86" s="5">
        <v>38483</v>
      </c>
      <c r="B86" s="4">
        <v>5900.72</v>
      </c>
      <c r="C86" s="4">
        <v>5925.02</v>
      </c>
      <c r="D86" s="4">
        <v>5900.72</v>
      </c>
      <c r="E86" s="4">
        <v>5917.13</v>
      </c>
      <c r="F86" s="4">
        <v>2147200</v>
      </c>
      <c r="G86" s="8">
        <f t="shared" si="15"/>
        <v>-49.079999999999927</v>
      </c>
      <c r="H86" s="8">
        <f t="shared" si="14"/>
        <v>16.409999999999854</v>
      </c>
      <c r="I86" s="20">
        <f t="shared" ca="1" si="7"/>
        <v>0</v>
      </c>
      <c r="J86" s="8">
        <f t="shared" ca="1" si="8"/>
        <v>-1</v>
      </c>
      <c r="K86" s="8">
        <f t="shared" ca="1" si="9"/>
        <v>32.670000000000073</v>
      </c>
      <c r="L86" s="8">
        <f t="shared" ca="1" si="10"/>
        <v>-99.229999999999563</v>
      </c>
      <c r="M86" s="9">
        <f ca="1">AVERAGE(E86:OFFSET(E86,-M$5+1,0))</f>
        <v>5878.9750000000004</v>
      </c>
      <c r="N86" s="9">
        <f ca="1">AVERAGE(E86:OFFSET(E86,-N$5+1,0))</f>
        <v>5842.1020000000008</v>
      </c>
      <c r="O86" s="9">
        <f t="shared" ca="1" si="11"/>
        <v>0</v>
      </c>
      <c r="P86" s="14">
        <f t="shared" si="16"/>
        <v>-0.55060715008026684</v>
      </c>
      <c r="Q86" s="15">
        <f ca="1">STDEV(P86:OFFSET(P86,-$Q$5+1,0))</f>
        <v>0.85670355834839584</v>
      </c>
      <c r="R86" s="15">
        <f ca="1">STDEV(P86:OFFSET(P86,-$R$5+1,0))</f>
        <v>0.87207978114079321</v>
      </c>
      <c r="S86" s="18">
        <f t="shared" si="3"/>
        <v>24.300000000000182</v>
      </c>
      <c r="T86" s="18">
        <f t="shared" si="4"/>
        <v>49.079999999999927</v>
      </c>
      <c r="U86" s="18">
        <f t="shared" si="12"/>
        <v>62.071990289423745</v>
      </c>
      <c r="V86" s="33">
        <f ca="1">AVERAGE(E86:OFFSET(E86,-V$5+1,0))</f>
        <v>5844.4564285714296</v>
      </c>
      <c r="W86" s="33">
        <f t="shared" ca="1" si="5"/>
        <v>5937.5644140055656</v>
      </c>
      <c r="X86" s="33">
        <f t="shared" ca="1" si="6"/>
        <v>5751.3484431372935</v>
      </c>
      <c r="Y86" s="32">
        <f t="shared" ca="1" si="13"/>
        <v>0</v>
      </c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</row>
    <row r="87" spans="1:50">
      <c r="A87" s="5">
        <v>38484</v>
      </c>
      <c r="B87" s="4">
        <v>5917.99</v>
      </c>
      <c r="C87" s="4">
        <v>5934.6</v>
      </c>
      <c r="D87" s="4">
        <v>5906.37</v>
      </c>
      <c r="E87" s="4">
        <v>5934.6</v>
      </c>
      <c r="F87" s="4">
        <v>2219200</v>
      </c>
      <c r="G87" s="8">
        <f t="shared" si="15"/>
        <v>0.85999999999967258</v>
      </c>
      <c r="H87" s="8">
        <f t="shared" si="14"/>
        <v>16.610000000000582</v>
      </c>
      <c r="I87" s="20">
        <f t="shared" ca="1" si="7"/>
        <v>0</v>
      </c>
      <c r="J87" s="8">
        <f t="shared" ca="1" si="8"/>
        <v>-1</v>
      </c>
      <c r="K87" s="8">
        <f t="shared" ca="1" si="9"/>
        <v>-17.470000000000255</v>
      </c>
      <c r="L87" s="8">
        <f t="shared" ca="1" si="10"/>
        <v>-116.69999999999982</v>
      </c>
      <c r="M87" s="9">
        <f ca="1">AVERAGE(E87:OFFSET(E87,-M$5+1,0))</f>
        <v>5894.6080000000002</v>
      </c>
      <c r="N87" s="9">
        <f ca="1">AVERAGE(E87:OFFSET(E87,-N$5+1,0))</f>
        <v>5838.9280000000017</v>
      </c>
      <c r="O87" s="9">
        <f t="shared" ca="1" si="11"/>
        <v>0</v>
      </c>
      <c r="P87" s="14">
        <f t="shared" si="16"/>
        <v>0.29480949452999206</v>
      </c>
      <c r="Q87" s="15">
        <f ca="1">STDEV(P87:OFFSET(P87,-$Q$5+1,0))</f>
        <v>0.82510097366779911</v>
      </c>
      <c r="R87" s="15">
        <f ca="1">STDEV(P87:OFFSET(P87,-$R$5+1,0))</f>
        <v>0.84356918003114634</v>
      </c>
      <c r="S87" s="18">
        <f t="shared" si="3"/>
        <v>28.230000000000473</v>
      </c>
      <c r="T87" s="18">
        <f t="shared" si="4"/>
        <v>28.230000000000473</v>
      </c>
      <c r="U87" s="18">
        <f t="shared" si="12"/>
        <v>57.559724917500638</v>
      </c>
      <c r="V87" s="33">
        <f ca="1">AVERAGE(E87:OFFSET(E87,-V$5+1,0))</f>
        <v>5859.6428571428578</v>
      </c>
      <c r="W87" s="33">
        <f t="shared" ca="1" si="5"/>
        <v>5945.9824445191089</v>
      </c>
      <c r="X87" s="33">
        <f t="shared" ca="1" si="6"/>
        <v>5773.3032697666067</v>
      </c>
      <c r="Y87" s="32">
        <f t="shared" ca="1" si="13"/>
        <v>0</v>
      </c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</row>
    <row r="88" spans="1:50">
      <c r="A88" s="5">
        <v>38485</v>
      </c>
      <c r="B88" s="4">
        <v>5931.53</v>
      </c>
      <c r="C88" s="4">
        <v>6001.19</v>
      </c>
      <c r="D88" s="4">
        <v>5925.67</v>
      </c>
      <c r="E88" s="4">
        <v>5981.48</v>
      </c>
      <c r="F88" s="4">
        <v>3003200</v>
      </c>
      <c r="G88" s="8">
        <f t="shared" si="15"/>
        <v>-3.0700000000006185</v>
      </c>
      <c r="H88" s="8">
        <f t="shared" si="14"/>
        <v>49.949999999999818</v>
      </c>
      <c r="I88" s="20">
        <f t="shared" ca="1" si="7"/>
        <v>1</v>
      </c>
      <c r="J88" s="8">
        <f t="shared" ca="1" si="8"/>
        <v>-1</v>
      </c>
      <c r="K88" s="8">
        <f t="shared" ca="1" si="9"/>
        <v>-46.8799999999992</v>
      </c>
      <c r="L88" s="8">
        <f t="shared" ca="1" si="10"/>
        <v>-163.57999999999902</v>
      </c>
      <c r="M88" s="9">
        <f ca="1">AVERAGE(E88:OFFSET(E88,-M$5+1,0))</f>
        <v>5908.5289999999995</v>
      </c>
      <c r="N88" s="9">
        <f ca="1">AVERAGE(E88:OFFSET(E88,-N$5+1,0))</f>
        <v>5839.1680000000015</v>
      </c>
      <c r="O88" s="9">
        <f t="shared" ca="1" si="11"/>
        <v>0</v>
      </c>
      <c r="P88" s="14">
        <f t="shared" si="16"/>
        <v>0.78683999886197953</v>
      </c>
      <c r="Q88" s="15">
        <f ca="1">STDEV(P88:OFFSET(P88,-$Q$5+1,0))</f>
        <v>0.79519540976631198</v>
      </c>
      <c r="R88" s="15">
        <f ca="1">STDEV(P88:OFFSET(P88,-$R$5+1,0))</f>
        <v>0.85348452250930906</v>
      </c>
      <c r="S88" s="18">
        <f t="shared" si="3"/>
        <v>75.519999999999527</v>
      </c>
      <c r="T88" s="18">
        <f t="shared" si="4"/>
        <v>75.519999999999527</v>
      </c>
      <c r="U88" s="18">
        <f t="shared" si="12"/>
        <v>59.954428261833826</v>
      </c>
      <c r="V88" s="33">
        <f ca="1">AVERAGE(E88:OFFSET(E88,-V$5+1,0))</f>
        <v>5876.3850000000002</v>
      </c>
      <c r="W88" s="33">
        <f t="shared" ca="1" si="5"/>
        <v>5966.3166423927505</v>
      </c>
      <c r="X88" s="33">
        <f t="shared" ca="1" si="6"/>
        <v>5786.4533576072499</v>
      </c>
      <c r="Y88" s="32">
        <f t="shared" ca="1" si="13"/>
        <v>1</v>
      </c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</row>
    <row r="89" spans="1:50">
      <c r="A89" s="5">
        <v>38488</v>
      </c>
      <c r="B89" s="4">
        <v>5992.31</v>
      </c>
      <c r="C89" s="4">
        <v>5997.77</v>
      </c>
      <c r="D89" s="4">
        <v>5925.88</v>
      </c>
      <c r="E89" s="4">
        <v>5925.88</v>
      </c>
      <c r="F89" s="4">
        <v>2757800</v>
      </c>
      <c r="G89" s="8">
        <f t="shared" si="15"/>
        <v>10.830000000000837</v>
      </c>
      <c r="H89" s="8">
        <f t="shared" si="14"/>
        <v>-66.430000000000291</v>
      </c>
      <c r="I89" s="20">
        <f t="shared" ca="1" si="7"/>
        <v>0</v>
      </c>
      <c r="J89" s="8">
        <f t="shared" ca="1" si="8"/>
        <v>0</v>
      </c>
      <c r="K89" s="8">
        <f t="shared" ca="1" si="9"/>
        <v>-10.830000000000837</v>
      </c>
      <c r="L89" s="8">
        <f t="shared" ca="1" si="10"/>
        <v>-174.40999999999985</v>
      </c>
      <c r="M89" s="9">
        <f ca="1">AVERAGE(E89:OFFSET(E89,-M$5+1,0))</f>
        <v>5919.3099999999995</v>
      </c>
      <c r="N89" s="9">
        <f ca="1">AVERAGE(E89:OFFSET(E89,-N$5+1,0))</f>
        <v>5841.0435000000016</v>
      </c>
      <c r="O89" s="9">
        <f t="shared" ca="1" si="11"/>
        <v>0</v>
      </c>
      <c r="P89" s="14">
        <f t="shared" si="16"/>
        <v>-0.93388297808663612</v>
      </c>
      <c r="Q89" s="15">
        <f ca="1">STDEV(P89:OFFSET(P89,-$Q$5+1,0))</f>
        <v>0.85688650835125557</v>
      </c>
      <c r="R89" s="15">
        <f ca="1">STDEV(P89:OFFSET(P89,-$R$5+1,0))</f>
        <v>0.85969797218959754</v>
      </c>
      <c r="S89" s="18">
        <f t="shared" si="3"/>
        <v>71.890000000000327</v>
      </c>
      <c r="T89" s="18">
        <f t="shared" si="4"/>
        <v>71.890000000000327</v>
      </c>
      <c r="U89" s="18">
        <f t="shared" si="12"/>
        <v>61.545837826922693</v>
      </c>
      <c r="V89" s="33">
        <f ca="1">AVERAGE(E89:OFFSET(E89,-V$5+1,0))</f>
        <v>5888.3542857142866</v>
      </c>
      <c r="W89" s="33">
        <f t="shared" ca="1" si="5"/>
        <v>5980.6730424546704</v>
      </c>
      <c r="X89" s="33">
        <f t="shared" ca="1" si="6"/>
        <v>5796.0355289739027</v>
      </c>
      <c r="Y89" s="32">
        <f t="shared" ca="1" si="13"/>
        <v>0</v>
      </c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</row>
    <row r="90" spans="1:50">
      <c r="A90" s="5">
        <v>38489</v>
      </c>
      <c r="B90" s="4">
        <v>5939.31</v>
      </c>
      <c r="C90" s="4">
        <v>5943.92</v>
      </c>
      <c r="D90" s="4">
        <v>5879.19</v>
      </c>
      <c r="E90" s="4">
        <v>5894.01</v>
      </c>
      <c r="F90" s="4">
        <v>2339000</v>
      </c>
      <c r="G90" s="8">
        <f t="shared" si="15"/>
        <v>13.430000000000291</v>
      </c>
      <c r="H90" s="8">
        <f t="shared" si="14"/>
        <v>-45.300000000000182</v>
      </c>
      <c r="I90" s="20">
        <f t="shared" ca="1" si="7"/>
        <v>0</v>
      </c>
      <c r="J90" s="8">
        <f t="shared" ca="1" si="8"/>
        <v>0</v>
      </c>
      <c r="K90" s="8">
        <f t="shared" ca="1" si="9"/>
        <v>0</v>
      </c>
      <c r="L90" s="8">
        <f t="shared" ca="1" si="10"/>
        <v>-174.40999999999985</v>
      </c>
      <c r="M90" s="9">
        <f ca="1">AVERAGE(E90:OFFSET(E90,-M$5+1,0))</f>
        <v>5926.8890000000001</v>
      </c>
      <c r="N90" s="9">
        <f ca="1">AVERAGE(E90:OFFSET(E90,-N$5+1,0))</f>
        <v>5849.9860000000017</v>
      </c>
      <c r="O90" s="9">
        <f t="shared" ca="1" si="11"/>
        <v>0</v>
      </c>
      <c r="P90" s="14">
        <f t="shared" si="16"/>
        <v>-0.53926182447512228</v>
      </c>
      <c r="Q90" s="15">
        <f ca="1">STDEV(P90:OFFSET(P90,-$Q$5+1,0))</f>
        <v>0.88623411924362094</v>
      </c>
      <c r="R90" s="15">
        <f ca="1">STDEV(P90:OFFSET(P90,-$R$5+1,0))</f>
        <v>0.86232371288762022</v>
      </c>
      <c r="S90" s="18">
        <f t="shared" si="3"/>
        <v>64.730000000000473</v>
      </c>
      <c r="T90" s="18">
        <f t="shared" si="4"/>
        <v>64.730000000000473</v>
      </c>
      <c r="U90" s="18">
        <f t="shared" si="12"/>
        <v>61.970392783333068</v>
      </c>
      <c r="V90" s="33">
        <f ca="1">AVERAGE(E90:OFFSET(E90,-V$5+1,0))</f>
        <v>5894.6942857142858</v>
      </c>
      <c r="W90" s="33">
        <f t="shared" ca="1" si="5"/>
        <v>5987.6498748892855</v>
      </c>
      <c r="X90" s="33">
        <f t="shared" ca="1" si="6"/>
        <v>5801.7386965392861</v>
      </c>
      <c r="Y90" s="32">
        <f t="shared" ca="1" si="13"/>
        <v>0</v>
      </c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</row>
    <row r="91" spans="1:50">
      <c r="A91" s="5">
        <v>38490</v>
      </c>
      <c r="B91" s="4">
        <v>5901.08</v>
      </c>
      <c r="C91" s="4">
        <v>5921.17</v>
      </c>
      <c r="D91" s="4">
        <v>5889.47</v>
      </c>
      <c r="E91" s="4">
        <v>5890.83</v>
      </c>
      <c r="F91" s="4">
        <v>2193000</v>
      </c>
      <c r="G91" s="8">
        <f t="shared" si="15"/>
        <v>7.069999999999709</v>
      </c>
      <c r="H91" s="8">
        <f t="shared" si="14"/>
        <v>-10.25</v>
      </c>
      <c r="I91" s="20">
        <f t="shared" ca="1" si="7"/>
        <v>0</v>
      </c>
      <c r="J91" s="8">
        <f t="shared" ca="1" si="8"/>
        <v>0</v>
      </c>
      <c r="K91" s="8">
        <f t="shared" ca="1" si="9"/>
        <v>0</v>
      </c>
      <c r="L91" s="8">
        <f t="shared" ca="1" si="10"/>
        <v>-174.40999999999985</v>
      </c>
      <c r="M91" s="9">
        <f ca="1">AVERAGE(E91:OFFSET(E91,-M$5+1,0))</f>
        <v>5935.6039999999994</v>
      </c>
      <c r="N91" s="9">
        <f ca="1">AVERAGE(E91:OFFSET(E91,-N$5+1,0))</f>
        <v>5857.1100000000015</v>
      </c>
      <c r="O91" s="9">
        <f t="shared" ca="1" si="11"/>
        <v>0</v>
      </c>
      <c r="P91" s="14">
        <f t="shared" si="16"/>
        <v>-5.3967641091129955E-2</v>
      </c>
      <c r="Q91" s="15">
        <f ca="1">STDEV(P91:OFFSET(P91,-$Q$5+1,0))</f>
        <v>0.87903687770815953</v>
      </c>
      <c r="R91" s="15">
        <f ca="1">STDEV(P91:OFFSET(P91,-$R$5+1,0))</f>
        <v>0.86085318385553866</v>
      </c>
      <c r="S91" s="18">
        <f t="shared" si="3"/>
        <v>31.699999999999818</v>
      </c>
      <c r="T91" s="18">
        <f t="shared" si="4"/>
        <v>31.699999999999818</v>
      </c>
      <c r="U91" s="18">
        <f t="shared" si="12"/>
        <v>57.934340412221971</v>
      </c>
      <c r="V91" s="33">
        <f ca="1">AVERAGE(E91:OFFSET(E91,-V$5+1,0))</f>
        <v>5902.7342857142858</v>
      </c>
      <c r="W91" s="33">
        <f t="shared" ca="1" si="5"/>
        <v>5989.6357963326191</v>
      </c>
      <c r="X91" s="33">
        <f t="shared" ca="1" si="6"/>
        <v>5815.8327750959525</v>
      </c>
      <c r="Y91" s="32">
        <f t="shared" ca="1" si="13"/>
        <v>0</v>
      </c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</row>
    <row r="92" spans="1:50">
      <c r="A92" s="5">
        <v>38491</v>
      </c>
      <c r="B92" s="4">
        <v>5963.9</v>
      </c>
      <c r="C92" s="4">
        <v>5997.76</v>
      </c>
      <c r="D92" s="4">
        <v>5958.34</v>
      </c>
      <c r="E92" s="4">
        <v>5970.71</v>
      </c>
      <c r="F92" s="4">
        <v>2751600</v>
      </c>
      <c r="G92" s="8">
        <f t="shared" si="15"/>
        <v>73.069999999999709</v>
      </c>
      <c r="H92" s="8">
        <f t="shared" si="14"/>
        <v>6.8100000000004002</v>
      </c>
      <c r="I92" s="20">
        <f t="shared" ca="1" si="7"/>
        <v>0</v>
      </c>
      <c r="J92" s="8">
        <f t="shared" ca="1" si="8"/>
        <v>0</v>
      </c>
      <c r="K92" s="8">
        <f t="shared" ca="1" si="9"/>
        <v>0</v>
      </c>
      <c r="L92" s="8">
        <f t="shared" ca="1" si="10"/>
        <v>-174.40999999999985</v>
      </c>
      <c r="M92" s="9">
        <f ca="1">AVERAGE(E92:OFFSET(E92,-M$5+1,0))</f>
        <v>5939.9250000000011</v>
      </c>
      <c r="N92" s="9">
        <f ca="1">AVERAGE(E92:OFFSET(E92,-N$5+1,0))</f>
        <v>5870.9950000000008</v>
      </c>
      <c r="O92" s="9">
        <f t="shared" ca="1" si="11"/>
        <v>0</v>
      </c>
      <c r="P92" s="14">
        <f t="shared" si="16"/>
        <v>1.3468943762535237</v>
      </c>
      <c r="Q92" s="15">
        <f ca="1">STDEV(P92:OFFSET(P92,-$Q$5+1,0))</f>
        <v>0.70564446898672595</v>
      </c>
      <c r="R92" s="15">
        <f ca="1">STDEV(P92:OFFSET(P92,-$R$5+1,0))</f>
        <v>0.8836869770110346</v>
      </c>
      <c r="S92" s="18">
        <f t="shared" si="3"/>
        <v>39.420000000000073</v>
      </c>
      <c r="T92" s="18">
        <f t="shared" si="4"/>
        <v>106.93000000000029</v>
      </c>
      <c r="U92" s="18">
        <f t="shared" si="12"/>
        <v>64.467095023925751</v>
      </c>
      <c r="V92" s="33">
        <f ca="1">AVERAGE(E92:OFFSET(E92,-V$5+1,0))</f>
        <v>5911.9085714285711</v>
      </c>
      <c r="W92" s="33">
        <f t="shared" ca="1" si="5"/>
        <v>6008.6092139644597</v>
      </c>
      <c r="X92" s="33">
        <f t="shared" ca="1" si="6"/>
        <v>5815.2079288926825</v>
      </c>
      <c r="Y92" s="32">
        <f t="shared" ca="1" si="13"/>
        <v>0</v>
      </c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</row>
    <row r="93" spans="1:50">
      <c r="A93" s="5">
        <v>38492</v>
      </c>
      <c r="B93" s="4">
        <v>5987.1</v>
      </c>
      <c r="C93" s="4">
        <v>5996.11</v>
      </c>
      <c r="D93" s="4">
        <v>5954.69</v>
      </c>
      <c r="E93" s="4">
        <v>5954.69</v>
      </c>
      <c r="F93" s="4">
        <v>2434400</v>
      </c>
      <c r="G93" s="8">
        <f t="shared" si="15"/>
        <v>16.390000000000327</v>
      </c>
      <c r="H93" s="8">
        <f t="shared" si="14"/>
        <v>-32.410000000000764</v>
      </c>
      <c r="I93" s="20">
        <f t="shared" ca="1" si="7"/>
        <v>0</v>
      </c>
      <c r="J93" s="8">
        <f t="shared" ca="1" si="8"/>
        <v>0</v>
      </c>
      <c r="K93" s="8">
        <f t="shared" ca="1" si="9"/>
        <v>0</v>
      </c>
      <c r="L93" s="8">
        <f t="shared" ca="1" si="10"/>
        <v>-174.40999999999985</v>
      </c>
      <c r="M93" s="9">
        <f ca="1">AVERAGE(E93:OFFSET(E93,-M$5+1,0))</f>
        <v>5938.5980000000009</v>
      </c>
      <c r="N93" s="9">
        <f ca="1">AVERAGE(E93:OFFSET(E93,-N$5+1,0))</f>
        <v>5882.630000000001</v>
      </c>
      <c r="O93" s="9">
        <f t="shared" ca="1" si="11"/>
        <v>0</v>
      </c>
      <c r="P93" s="14">
        <f t="shared" si="16"/>
        <v>-0.26867039489717337</v>
      </c>
      <c r="Q93" s="15">
        <f ca="1">STDEV(P93:OFFSET(P93,-$Q$5+1,0))</f>
        <v>0.6781211586002962</v>
      </c>
      <c r="R93" s="15">
        <f ca="1">STDEV(P93:OFFSET(P93,-$R$5+1,0))</f>
        <v>0.88454026899985072</v>
      </c>
      <c r="S93" s="18">
        <f t="shared" si="3"/>
        <v>41.420000000000073</v>
      </c>
      <c r="T93" s="18">
        <f t="shared" si="4"/>
        <v>41.420000000000073</v>
      </c>
      <c r="U93" s="18">
        <f t="shared" si="12"/>
        <v>61.394149020735668</v>
      </c>
      <c r="V93" s="33">
        <f ca="1">AVERAGE(E93:OFFSET(E93,-V$5+1,0))</f>
        <v>5921.6671428571435</v>
      </c>
      <c r="W93" s="33">
        <f t="shared" ca="1" si="5"/>
        <v>6013.7583663882469</v>
      </c>
      <c r="X93" s="33">
        <f t="shared" ca="1" si="6"/>
        <v>5829.5759193260401</v>
      </c>
      <c r="Y93" s="32">
        <f t="shared" ca="1" si="13"/>
        <v>0</v>
      </c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</row>
    <row r="94" spans="1:50">
      <c r="A94" s="5">
        <v>38495</v>
      </c>
      <c r="B94" s="4">
        <v>5953.28</v>
      </c>
      <c r="C94" s="4">
        <v>5953.28</v>
      </c>
      <c r="D94" s="4">
        <v>5884.06</v>
      </c>
      <c r="E94" s="4">
        <v>5885.45</v>
      </c>
      <c r="F94" s="4">
        <v>1900400</v>
      </c>
      <c r="G94" s="8">
        <f t="shared" si="15"/>
        <v>-1.4099999999998545</v>
      </c>
      <c r="H94" s="8">
        <f t="shared" si="14"/>
        <v>-67.829999999999927</v>
      </c>
      <c r="I94" s="20">
        <f t="shared" ca="1" si="7"/>
        <v>0</v>
      </c>
      <c r="J94" s="8">
        <f t="shared" ca="1" si="8"/>
        <v>0</v>
      </c>
      <c r="K94" s="8">
        <f t="shared" ca="1" si="9"/>
        <v>0</v>
      </c>
      <c r="L94" s="8">
        <f t="shared" ca="1" si="10"/>
        <v>-174.40999999999985</v>
      </c>
      <c r="M94" s="9">
        <f ca="1">AVERAGE(E94:OFFSET(E94,-M$5+1,0))</f>
        <v>5930.4580000000005</v>
      </c>
      <c r="N94" s="9">
        <f ca="1">AVERAGE(E94:OFFSET(E94,-N$5+1,0))</f>
        <v>5889.5480000000007</v>
      </c>
      <c r="O94" s="9">
        <f t="shared" ca="1" si="11"/>
        <v>0</v>
      </c>
      <c r="P94" s="14">
        <f t="shared" si="16"/>
        <v>-1.1695940977987442</v>
      </c>
      <c r="Q94" s="15">
        <f ca="1">STDEV(P94:OFFSET(P94,-$Q$5+1,0))</f>
        <v>0.76901943519445137</v>
      </c>
      <c r="R94" s="15">
        <f ca="1">STDEV(P94:OFFSET(P94,-$R$5+1,0))</f>
        <v>0.90188029645408796</v>
      </c>
      <c r="S94" s="18">
        <f t="shared" si="3"/>
        <v>69.219999999999345</v>
      </c>
      <c r="T94" s="18">
        <f t="shared" si="4"/>
        <v>70.6299999999992</v>
      </c>
      <c r="U94" s="18">
        <f t="shared" si="12"/>
        <v>62.625595817970805</v>
      </c>
      <c r="V94" s="33">
        <f ca="1">AVERAGE(E94:OFFSET(E94,-V$5+1,0))</f>
        <v>5926.4692857142863</v>
      </c>
      <c r="W94" s="33">
        <f t="shared" ca="1" si="5"/>
        <v>6020.4076794412422</v>
      </c>
      <c r="X94" s="33">
        <f t="shared" ca="1" si="6"/>
        <v>5832.5308919873305</v>
      </c>
      <c r="Y94" s="32">
        <f t="shared" ca="1" si="13"/>
        <v>0</v>
      </c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</row>
    <row r="95" spans="1:50">
      <c r="A95" s="5">
        <v>38496</v>
      </c>
      <c r="B95" s="4">
        <v>5888.85</v>
      </c>
      <c r="C95" s="4">
        <v>5925.88</v>
      </c>
      <c r="D95" s="4">
        <v>5888.85</v>
      </c>
      <c r="E95" s="4">
        <v>5909.1</v>
      </c>
      <c r="F95" s="4">
        <v>2149200</v>
      </c>
      <c r="G95" s="8">
        <f t="shared" si="15"/>
        <v>3.4000000000005457</v>
      </c>
      <c r="H95" s="8">
        <f t="shared" si="14"/>
        <v>20.25</v>
      </c>
      <c r="I95" s="20">
        <f t="shared" ca="1" si="7"/>
        <v>0</v>
      </c>
      <c r="J95" s="8">
        <f t="shared" ca="1" si="8"/>
        <v>0</v>
      </c>
      <c r="K95" s="8">
        <f t="shared" ca="1" si="9"/>
        <v>0</v>
      </c>
      <c r="L95" s="8">
        <f t="shared" ca="1" si="10"/>
        <v>-174.40999999999985</v>
      </c>
      <c r="M95" s="9">
        <f ca="1">AVERAGE(E95:OFFSET(E95,-M$5+1,0))</f>
        <v>5926.3879999999999</v>
      </c>
      <c r="N95" s="9">
        <f ca="1">AVERAGE(E95:OFFSET(E95,-N$5+1,0))</f>
        <v>5897.0875000000005</v>
      </c>
      <c r="O95" s="9">
        <f t="shared" ca="1" si="11"/>
        <v>0</v>
      </c>
      <c r="P95" s="14">
        <f t="shared" si="16"/>
        <v>0.40103321782417184</v>
      </c>
      <c r="Q95" s="15">
        <f ca="1">STDEV(P95:OFFSET(P95,-$Q$5+1,0))</f>
        <v>0.78478744995305716</v>
      </c>
      <c r="R95" s="15">
        <f ca="1">STDEV(P95:OFFSET(P95,-$R$5+1,0))</f>
        <v>0.88648736330683509</v>
      </c>
      <c r="S95" s="18">
        <f t="shared" si="3"/>
        <v>37.029999999999745</v>
      </c>
      <c r="T95" s="18">
        <f t="shared" si="4"/>
        <v>40.430000000000291</v>
      </c>
      <c r="U95" s="18">
        <f t="shared" si="12"/>
        <v>59.6661830422414</v>
      </c>
      <c r="V95" s="33">
        <f ca="1">AVERAGE(E95:OFFSET(E95,-V$5+1,0))</f>
        <v>5933.9992857142852</v>
      </c>
      <c r="W95" s="33">
        <f t="shared" ca="1" si="5"/>
        <v>6023.4985602776469</v>
      </c>
      <c r="X95" s="33">
        <f t="shared" ca="1" si="6"/>
        <v>5844.5000111509235</v>
      </c>
      <c r="Y95" s="32">
        <f t="shared" ca="1" si="13"/>
        <v>0</v>
      </c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</row>
    <row r="96" spans="1:50">
      <c r="A96" s="5">
        <v>38497</v>
      </c>
      <c r="B96" s="4">
        <v>5921.59</v>
      </c>
      <c r="C96" s="4">
        <v>5956.64</v>
      </c>
      <c r="D96" s="4">
        <v>5879.08</v>
      </c>
      <c r="E96" s="4">
        <v>5888.53</v>
      </c>
      <c r="F96" s="4">
        <v>2630800</v>
      </c>
      <c r="G96" s="8">
        <f t="shared" si="15"/>
        <v>12.489999999999782</v>
      </c>
      <c r="H96" s="8">
        <f t="shared" si="14"/>
        <v>-33.0600000000004</v>
      </c>
      <c r="I96" s="20">
        <f t="shared" ca="1" si="7"/>
        <v>0</v>
      </c>
      <c r="J96" s="8">
        <f t="shared" ca="1" si="8"/>
        <v>0</v>
      </c>
      <c r="K96" s="8">
        <f t="shared" ca="1" si="9"/>
        <v>0</v>
      </c>
      <c r="L96" s="8">
        <f t="shared" ca="1" si="10"/>
        <v>-174.40999999999985</v>
      </c>
      <c r="M96" s="9">
        <f ca="1">AVERAGE(E96:OFFSET(E96,-M$5+1,0))</f>
        <v>5923.5280000000002</v>
      </c>
      <c r="N96" s="9">
        <f ca="1">AVERAGE(E96:OFFSET(E96,-N$5+1,0))</f>
        <v>5901.2515000000003</v>
      </c>
      <c r="O96" s="9">
        <f t="shared" ca="1" si="11"/>
        <v>0</v>
      </c>
      <c r="P96" s="14">
        <f t="shared" si="16"/>
        <v>-0.34871445950698438</v>
      </c>
      <c r="Q96" s="15">
        <f ca="1">STDEV(P96:OFFSET(P96,-$Q$5+1,0))</f>
        <v>0.77352696284997013</v>
      </c>
      <c r="R96" s="15">
        <f ca="1">STDEV(P96:OFFSET(P96,-$R$5+1,0))</f>
        <v>0.88695871744336907</v>
      </c>
      <c r="S96" s="18">
        <f t="shared" si="3"/>
        <v>77.5600000000004</v>
      </c>
      <c r="T96" s="18">
        <f t="shared" si="4"/>
        <v>77.5600000000004</v>
      </c>
      <c r="U96" s="18">
        <f t="shared" si="12"/>
        <v>62.05202530327594</v>
      </c>
      <c r="V96" s="33">
        <f ca="1">AVERAGE(E96:OFFSET(E96,-V$5+1,0))</f>
        <v>5931.2157142857159</v>
      </c>
      <c r="W96" s="33">
        <f t="shared" ca="1" si="5"/>
        <v>6024.2937522406301</v>
      </c>
      <c r="X96" s="33">
        <f t="shared" ca="1" si="6"/>
        <v>5838.1376763308017</v>
      </c>
      <c r="Y96" s="32">
        <f t="shared" ca="1" si="13"/>
        <v>0</v>
      </c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</row>
    <row r="97" spans="1:50">
      <c r="A97" s="5">
        <v>38498</v>
      </c>
      <c r="B97" s="4">
        <v>5903.01</v>
      </c>
      <c r="C97" s="4">
        <v>5939.42</v>
      </c>
      <c r="D97" s="4">
        <v>5883.18</v>
      </c>
      <c r="E97" s="4">
        <v>5939.42</v>
      </c>
      <c r="F97" s="4">
        <v>2243400</v>
      </c>
      <c r="G97" s="8">
        <f t="shared" si="15"/>
        <v>14.480000000000473</v>
      </c>
      <c r="H97" s="8">
        <f t="shared" si="14"/>
        <v>36.409999999999854</v>
      </c>
      <c r="I97" s="20">
        <f t="shared" ca="1" si="7"/>
        <v>0</v>
      </c>
      <c r="J97" s="8">
        <f t="shared" ca="1" si="8"/>
        <v>0</v>
      </c>
      <c r="K97" s="8">
        <f t="shared" ca="1" si="9"/>
        <v>0</v>
      </c>
      <c r="L97" s="8">
        <f t="shared" ca="1" si="10"/>
        <v>-174.40999999999985</v>
      </c>
      <c r="M97" s="9">
        <f ca="1">AVERAGE(E97:OFFSET(E97,-M$5+1,0))</f>
        <v>5924.01</v>
      </c>
      <c r="N97" s="9">
        <f ca="1">AVERAGE(E97:OFFSET(E97,-N$5+1,0))</f>
        <v>5909.3090000000002</v>
      </c>
      <c r="O97" s="9">
        <f t="shared" ca="1" si="11"/>
        <v>0</v>
      </c>
      <c r="P97" s="14">
        <f t="shared" si="16"/>
        <v>0.86050945469610118</v>
      </c>
      <c r="Q97" s="15">
        <f ca="1">STDEV(P97:OFFSET(P97,-$Q$5+1,0))</f>
        <v>0.82066882238797823</v>
      </c>
      <c r="R97" s="15">
        <f ca="1">STDEV(P97:OFFSET(P97,-$R$5+1,0))</f>
        <v>0.86935160192470973</v>
      </c>
      <c r="S97" s="18">
        <f t="shared" si="3"/>
        <v>56.239999999999782</v>
      </c>
      <c r="T97" s="18">
        <f t="shared" si="4"/>
        <v>56.239999999999782</v>
      </c>
      <c r="U97" s="18">
        <f t="shared" si="12"/>
        <v>61.277088596172455</v>
      </c>
      <c r="V97" s="33">
        <f ca="1">AVERAGE(E97:OFFSET(E97,-V$5+1,0))</f>
        <v>5929.1771428571437</v>
      </c>
      <c r="W97" s="33">
        <f t="shared" ca="1" si="5"/>
        <v>6021.0927757514028</v>
      </c>
      <c r="X97" s="33">
        <f t="shared" ca="1" si="6"/>
        <v>5837.2615099628847</v>
      </c>
      <c r="Y97" s="32">
        <f t="shared" ca="1" si="13"/>
        <v>0</v>
      </c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</row>
    <row r="98" spans="1:50">
      <c r="A98" s="5">
        <v>38499</v>
      </c>
      <c r="B98" s="4">
        <v>5966.41</v>
      </c>
      <c r="C98" s="4">
        <v>5998.78</v>
      </c>
      <c r="D98" s="4">
        <v>5966.41</v>
      </c>
      <c r="E98" s="4">
        <v>5991.55</v>
      </c>
      <c r="F98" s="4">
        <v>3077400</v>
      </c>
      <c r="G98" s="8">
        <f t="shared" si="15"/>
        <v>26.989999999999782</v>
      </c>
      <c r="H98" s="8">
        <f t="shared" si="14"/>
        <v>25.140000000000327</v>
      </c>
      <c r="I98" s="20">
        <f t="shared" ca="1" si="7"/>
        <v>0</v>
      </c>
      <c r="J98" s="8">
        <f t="shared" ca="1" si="8"/>
        <v>0</v>
      </c>
      <c r="K98" s="8">
        <f t="shared" ca="1" si="9"/>
        <v>0</v>
      </c>
      <c r="L98" s="8">
        <f t="shared" ca="1" si="10"/>
        <v>-174.40999999999985</v>
      </c>
      <c r="M98" s="9">
        <f ca="1">AVERAGE(E98:OFFSET(E98,-M$5+1,0))</f>
        <v>5925.0169999999998</v>
      </c>
      <c r="N98" s="9">
        <f ca="1">AVERAGE(E98:OFFSET(E98,-N$5+1,0))</f>
        <v>5916.7730000000001</v>
      </c>
      <c r="O98" s="9">
        <f t="shared" ca="1" si="11"/>
        <v>0</v>
      </c>
      <c r="P98" s="14">
        <f t="shared" si="16"/>
        <v>0.87386577517380404</v>
      </c>
      <c r="Q98" s="15">
        <f ca="1">STDEV(P98:OFFSET(P98,-$Q$5+1,0))</f>
        <v>0.83024960477888532</v>
      </c>
      <c r="R98" s="15">
        <f ca="1">STDEV(P98:OFFSET(P98,-$R$5+1,0))</f>
        <v>0.88043163528843593</v>
      </c>
      <c r="S98" s="18">
        <f t="shared" si="3"/>
        <v>32.369999999999891</v>
      </c>
      <c r="T98" s="18">
        <f t="shared" si="4"/>
        <v>59.359999999999673</v>
      </c>
      <c r="U98" s="18">
        <f t="shared" si="12"/>
        <v>61.021476783349414</v>
      </c>
      <c r="V98" s="33">
        <f ca="1">AVERAGE(E98:OFFSET(E98,-V$5+1,0))</f>
        <v>5930.9414285714292</v>
      </c>
      <c r="W98" s="33">
        <f t="shared" ca="1" si="5"/>
        <v>6022.4736437464535</v>
      </c>
      <c r="X98" s="33">
        <f t="shared" ca="1" si="6"/>
        <v>5839.409213396405</v>
      </c>
      <c r="Y98" s="32">
        <f t="shared" ca="1" si="13"/>
        <v>0</v>
      </c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</row>
    <row r="99" spans="1:50">
      <c r="A99" s="5">
        <v>38502</v>
      </c>
      <c r="B99" s="4">
        <v>5996.89</v>
      </c>
      <c r="C99" s="4">
        <v>6009.52</v>
      </c>
      <c r="D99" s="4">
        <v>5971.97</v>
      </c>
      <c r="E99" s="4">
        <v>6009.52</v>
      </c>
      <c r="F99" s="4">
        <v>2670600</v>
      </c>
      <c r="G99" s="8">
        <f t="shared" si="15"/>
        <v>5.3400000000001455</v>
      </c>
      <c r="H99" s="8">
        <f t="shared" si="14"/>
        <v>12.630000000000109</v>
      </c>
      <c r="I99" s="20">
        <f t="shared" ca="1" si="7"/>
        <v>0</v>
      </c>
      <c r="J99" s="8">
        <f t="shared" ca="1" si="8"/>
        <v>0</v>
      </c>
      <c r="K99" s="8">
        <f t="shared" ca="1" si="9"/>
        <v>0</v>
      </c>
      <c r="L99" s="8">
        <f t="shared" ca="1" si="10"/>
        <v>-174.40999999999985</v>
      </c>
      <c r="M99" s="9">
        <f ca="1">AVERAGE(E99:OFFSET(E99,-M$5+1,0))</f>
        <v>5933.3809999999994</v>
      </c>
      <c r="N99" s="9">
        <f ca="1">AVERAGE(E99:OFFSET(E99,-N$5+1,0))</f>
        <v>5926.3455000000013</v>
      </c>
      <c r="O99" s="9">
        <f t="shared" ca="1" si="11"/>
        <v>0</v>
      </c>
      <c r="P99" s="14">
        <f t="shared" si="16"/>
        <v>0.29947352078166334</v>
      </c>
      <c r="Q99" s="15">
        <f ca="1">STDEV(P99:OFFSET(P99,-$Q$5+1,0))</f>
        <v>0.7621436779151729</v>
      </c>
      <c r="R99" s="15">
        <f ca="1">STDEV(P99:OFFSET(P99,-$R$5+1,0))</f>
        <v>0.87247834971923122</v>
      </c>
      <c r="S99" s="18">
        <f t="shared" si="3"/>
        <v>37.550000000000182</v>
      </c>
      <c r="T99" s="18">
        <f t="shared" si="4"/>
        <v>37.550000000000182</v>
      </c>
      <c r="U99" s="18">
        <f t="shared" si="12"/>
        <v>57.891946545569517</v>
      </c>
      <c r="V99" s="33">
        <f ca="1">AVERAGE(E99:OFFSET(E99,-V$5+1,0))</f>
        <v>5935.2071428571435</v>
      </c>
      <c r="W99" s="33">
        <f t="shared" ca="1" si="5"/>
        <v>6022.0450626754973</v>
      </c>
      <c r="X99" s="33">
        <f t="shared" ca="1" si="6"/>
        <v>5848.3692230387896</v>
      </c>
      <c r="Y99" s="32">
        <f t="shared" ca="1" si="13"/>
        <v>0</v>
      </c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</row>
    <row r="100" spans="1:50">
      <c r="A100" s="5">
        <v>38503</v>
      </c>
      <c r="B100" s="4">
        <v>5998.9</v>
      </c>
      <c r="C100" s="4">
        <v>6026.53</v>
      </c>
      <c r="D100" s="4">
        <v>5981.24</v>
      </c>
      <c r="E100" s="4">
        <v>6011.56</v>
      </c>
      <c r="F100" s="4">
        <v>3229600</v>
      </c>
      <c r="G100" s="8">
        <f t="shared" si="15"/>
        <v>-10.6200000000008</v>
      </c>
      <c r="H100" s="8">
        <f t="shared" si="14"/>
        <v>12.660000000000764</v>
      </c>
      <c r="I100" s="20">
        <f t="shared" ca="1" si="7"/>
        <v>0</v>
      </c>
      <c r="J100" s="8">
        <f t="shared" ca="1" si="8"/>
        <v>0</v>
      </c>
      <c r="K100" s="8">
        <f t="shared" ca="1" si="9"/>
        <v>0</v>
      </c>
      <c r="L100" s="8">
        <f t="shared" ca="1" si="10"/>
        <v>-174.40999999999985</v>
      </c>
      <c r="M100" s="9">
        <f ca="1">AVERAGE(E100:OFFSET(E100,-M$5+1,0))</f>
        <v>5945.1360000000004</v>
      </c>
      <c r="N100" s="9">
        <f ca="1">AVERAGE(E100:OFFSET(E100,-N$5+1,0))</f>
        <v>5936.0125000000007</v>
      </c>
      <c r="O100" s="9">
        <f t="shared" ca="1" si="11"/>
        <v>0</v>
      </c>
      <c r="P100" s="14">
        <f t="shared" si="16"/>
        <v>3.39403783949963E-2</v>
      </c>
      <c r="Q100" s="15">
        <f ca="1">STDEV(P100:OFFSET(P100,-$Q$5+1,0))</f>
        <v>0.7260687957032198</v>
      </c>
      <c r="R100" s="15">
        <f ca="1">STDEV(P100:OFFSET(P100,-$R$5+1,0))</f>
        <v>0.87034140521855807</v>
      </c>
      <c r="S100" s="18">
        <f t="shared" si="3"/>
        <v>45.289999999999964</v>
      </c>
      <c r="T100" s="18">
        <f t="shared" si="4"/>
        <v>45.289999999999964</v>
      </c>
      <c r="U100" s="18">
        <f t="shared" si="12"/>
        <v>56.211687006160247</v>
      </c>
      <c r="V100" s="33">
        <f ca="1">AVERAGE(E100:OFFSET(E100,-V$5+1,0))</f>
        <v>5941.9521428571434</v>
      </c>
      <c r="W100" s="33">
        <f t="shared" ca="1" si="5"/>
        <v>6026.2696733663834</v>
      </c>
      <c r="X100" s="33">
        <f t="shared" ca="1" si="6"/>
        <v>5857.6346123479034</v>
      </c>
      <c r="Y100" s="32">
        <f t="shared" ca="1" si="13"/>
        <v>0</v>
      </c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</row>
    <row r="101" spans="1:50">
      <c r="A101" s="5">
        <v>38504</v>
      </c>
      <c r="B101" s="4">
        <v>6002.55</v>
      </c>
      <c r="C101" s="4">
        <v>6023.34</v>
      </c>
      <c r="D101" s="4">
        <v>5962.88</v>
      </c>
      <c r="E101" s="4">
        <v>5971.62</v>
      </c>
      <c r="F101" s="4">
        <v>3569000</v>
      </c>
      <c r="G101" s="8">
        <f t="shared" si="15"/>
        <v>-9.0100000000002183</v>
      </c>
      <c r="H101" s="8">
        <f t="shared" si="14"/>
        <v>-30.930000000000291</v>
      </c>
      <c r="I101" s="20">
        <f t="shared" ca="1" si="7"/>
        <v>0</v>
      </c>
      <c r="J101" s="8">
        <f t="shared" ca="1" si="8"/>
        <v>0</v>
      </c>
      <c r="K101" s="8">
        <f t="shared" ca="1" si="9"/>
        <v>0</v>
      </c>
      <c r="L101" s="8">
        <f t="shared" ca="1" si="10"/>
        <v>-174.40999999999985</v>
      </c>
      <c r="M101" s="9">
        <f ca="1">AVERAGE(E101:OFFSET(E101,-M$5+1,0))</f>
        <v>5953.2150000000001</v>
      </c>
      <c r="N101" s="9">
        <f ca="1">AVERAGE(E101:OFFSET(E101,-N$5+1,0))</f>
        <v>5944.4094999999998</v>
      </c>
      <c r="O101" s="9">
        <f t="shared" ca="1" si="11"/>
        <v>0</v>
      </c>
      <c r="P101" s="14">
        <f t="shared" si="16"/>
        <v>-0.66660348751801279</v>
      </c>
      <c r="Q101" s="15">
        <f ca="1">STDEV(P101:OFFSET(P101,-$Q$5+1,0))</f>
        <v>0.77391224697034877</v>
      </c>
      <c r="R101" s="15">
        <f ca="1">STDEV(P101:OFFSET(P101,-$R$5+1,0))</f>
        <v>0.87634154664100006</v>
      </c>
      <c r="S101" s="18">
        <f t="shared" si="3"/>
        <v>60.460000000000036</v>
      </c>
      <c r="T101" s="18">
        <f t="shared" si="4"/>
        <v>60.460000000000036</v>
      </c>
      <c r="U101" s="18">
        <f t="shared" si="12"/>
        <v>56.778128738672223</v>
      </c>
      <c r="V101" s="33">
        <f ca="1">AVERAGE(E101:OFFSET(E101,-V$5+1,0))</f>
        <v>5944.5964285714281</v>
      </c>
      <c r="W101" s="33">
        <f t="shared" ca="1" si="5"/>
        <v>6029.7636216794363</v>
      </c>
      <c r="X101" s="33">
        <f t="shared" ca="1" si="6"/>
        <v>5859.4292354634199</v>
      </c>
      <c r="Y101" s="32">
        <f t="shared" ca="1" si="13"/>
        <v>0</v>
      </c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</row>
    <row r="102" spans="1:50">
      <c r="A102" s="5">
        <v>38505</v>
      </c>
      <c r="B102" s="4">
        <v>6008.9</v>
      </c>
      <c r="C102" s="4">
        <v>6065.23</v>
      </c>
      <c r="D102" s="4">
        <v>6008.9</v>
      </c>
      <c r="E102" s="4">
        <v>6039.48</v>
      </c>
      <c r="F102" s="4">
        <v>4116400</v>
      </c>
      <c r="G102" s="8">
        <f t="shared" si="15"/>
        <v>37.279999999999745</v>
      </c>
      <c r="H102" s="8">
        <f t="shared" si="14"/>
        <v>30.579999999999927</v>
      </c>
      <c r="I102" s="20">
        <f t="shared" ca="1" si="7"/>
        <v>0</v>
      </c>
      <c r="J102" s="8">
        <f t="shared" ca="1" si="8"/>
        <v>0</v>
      </c>
      <c r="K102" s="8">
        <f t="shared" ca="1" si="9"/>
        <v>0</v>
      </c>
      <c r="L102" s="8">
        <f t="shared" ca="1" si="10"/>
        <v>-174.40999999999985</v>
      </c>
      <c r="M102" s="9">
        <f ca="1">AVERAGE(E102:OFFSET(E102,-M$5+1,0))</f>
        <v>5960.0919999999996</v>
      </c>
      <c r="N102" s="9">
        <f ca="1">AVERAGE(E102:OFFSET(E102,-N$5+1,0))</f>
        <v>5950.0085000000008</v>
      </c>
      <c r="O102" s="9">
        <f t="shared" ca="1" si="11"/>
        <v>0</v>
      </c>
      <c r="P102" s="14">
        <f t="shared" si="16"/>
        <v>1.129966814746387</v>
      </c>
      <c r="Q102" s="15">
        <f ca="1">STDEV(P102:OFFSET(P102,-$Q$5+1,0))</f>
        <v>0.73843326432504097</v>
      </c>
      <c r="R102" s="15">
        <f ca="1">STDEV(P102:OFFSET(P102,-$R$5+1,0))</f>
        <v>0.89482779973991067</v>
      </c>
      <c r="S102" s="18">
        <f t="shared" si="3"/>
        <v>56.329999999999927</v>
      </c>
      <c r="T102" s="18">
        <f t="shared" si="4"/>
        <v>93.609999999999673</v>
      </c>
      <c r="U102" s="18">
        <f t="shared" si="12"/>
        <v>61.689044906849219</v>
      </c>
      <c r="V102" s="33">
        <f ca="1">AVERAGE(E102:OFFSET(E102,-V$5+1,0))</f>
        <v>5948.739285714285</v>
      </c>
      <c r="W102" s="33">
        <f t="shared" ca="1" si="5"/>
        <v>6041.272853074559</v>
      </c>
      <c r="X102" s="33">
        <f t="shared" ca="1" si="6"/>
        <v>5856.205718354011</v>
      </c>
      <c r="Y102" s="32">
        <f t="shared" ca="1" si="13"/>
        <v>0</v>
      </c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</row>
    <row r="103" spans="1:50">
      <c r="A103" s="5">
        <v>38506</v>
      </c>
      <c r="B103" s="4">
        <v>6062.78</v>
      </c>
      <c r="C103" s="4">
        <v>6113.49</v>
      </c>
      <c r="D103" s="4">
        <v>6051.27</v>
      </c>
      <c r="E103" s="4">
        <v>6107.95</v>
      </c>
      <c r="F103" s="4">
        <v>4957200</v>
      </c>
      <c r="G103" s="8">
        <f t="shared" si="15"/>
        <v>23.300000000000182</v>
      </c>
      <c r="H103" s="8">
        <f t="shared" si="14"/>
        <v>45.170000000000073</v>
      </c>
      <c r="I103" s="20">
        <f t="shared" ca="1" si="7"/>
        <v>1</v>
      </c>
      <c r="J103" s="8">
        <f t="shared" ca="1" si="8"/>
        <v>0</v>
      </c>
      <c r="K103" s="8">
        <f t="shared" ca="1" si="9"/>
        <v>0</v>
      </c>
      <c r="L103" s="8">
        <f t="shared" ca="1" si="10"/>
        <v>-174.40999999999985</v>
      </c>
      <c r="M103" s="9">
        <f ca="1">AVERAGE(E103:OFFSET(E103,-M$5+1,0))</f>
        <v>5975.4179999999997</v>
      </c>
      <c r="N103" s="9">
        <f ca="1">AVERAGE(E103:OFFSET(E103,-N$5+1,0))</f>
        <v>5957.0079999999998</v>
      </c>
      <c r="O103" s="9">
        <f t="shared" ca="1" si="11"/>
        <v>0</v>
      </c>
      <c r="P103" s="14">
        <f t="shared" si="16"/>
        <v>1.1273285811986644</v>
      </c>
      <c r="Q103" s="15">
        <f ca="1">STDEV(P103:OFFSET(P103,-$Q$5+1,0))</f>
        <v>0.78821995839329262</v>
      </c>
      <c r="R103" s="15">
        <f ca="1">STDEV(P103:OFFSET(P103,-$R$5+1,0))</f>
        <v>0.90428380336270653</v>
      </c>
      <c r="S103" s="18">
        <f t="shared" si="3"/>
        <v>62.219999999999345</v>
      </c>
      <c r="T103" s="18">
        <f t="shared" si="4"/>
        <v>74.010000000000218</v>
      </c>
      <c r="U103" s="18">
        <f t="shared" si="12"/>
        <v>63.331838919269359</v>
      </c>
      <c r="V103" s="33">
        <f ca="1">AVERAGE(E103:OFFSET(E103,-V$5+1,0))</f>
        <v>5961.7442857142842</v>
      </c>
      <c r="W103" s="33">
        <f t="shared" ca="1" si="5"/>
        <v>6056.7420440931883</v>
      </c>
      <c r="X103" s="33">
        <f t="shared" ca="1" si="6"/>
        <v>5866.7465273353801</v>
      </c>
      <c r="Y103" s="32">
        <f t="shared" ca="1" si="13"/>
        <v>1</v>
      </c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</row>
    <row r="104" spans="1:50">
      <c r="A104" s="5">
        <v>38509</v>
      </c>
      <c r="B104" s="4">
        <v>6109.3</v>
      </c>
      <c r="C104" s="4">
        <v>6140.74</v>
      </c>
      <c r="D104" s="4">
        <v>6086.41</v>
      </c>
      <c r="E104" s="4">
        <v>6137.57</v>
      </c>
      <c r="F104" s="4">
        <v>4139200</v>
      </c>
      <c r="G104" s="8">
        <f t="shared" si="15"/>
        <v>1.3500000000003638</v>
      </c>
      <c r="H104" s="8">
        <f t="shared" si="14"/>
        <v>28.269999999999527</v>
      </c>
      <c r="I104" s="20">
        <f t="shared" ca="1" si="7"/>
        <v>0</v>
      </c>
      <c r="J104" s="8">
        <f t="shared" ca="1" si="8"/>
        <v>1</v>
      </c>
      <c r="K104" s="8">
        <f t="shared" ca="1" si="9"/>
        <v>28.269999999999527</v>
      </c>
      <c r="L104" s="8">
        <f t="shared" ca="1" si="10"/>
        <v>-146.14000000000033</v>
      </c>
      <c r="M104" s="9">
        <f ca="1">AVERAGE(E104:OFFSET(E104,-M$5+1,0))</f>
        <v>6000.6299999999992</v>
      </c>
      <c r="N104" s="9">
        <f ca="1">AVERAGE(E104:OFFSET(E104,-N$5+1,0))</f>
        <v>5965.5439999999999</v>
      </c>
      <c r="O104" s="9">
        <f t="shared" ca="1" si="11"/>
        <v>0</v>
      </c>
      <c r="P104" s="14">
        <f t="shared" si="16"/>
        <v>0.48376970136267733</v>
      </c>
      <c r="Q104" s="15">
        <f ca="1">STDEV(P104:OFFSET(P104,-$Q$5+1,0))</f>
        <v>0.60955634220875798</v>
      </c>
      <c r="R104" s="15">
        <f ca="1">STDEV(P104:OFFSET(P104,-$R$5+1,0))</f>
        <v>0.89735876620801791</v>
      </c>
      <c r="S104" s="18">
        <f t="shared" si="3"/>
        <v>54.329999999999927</v>
      </c>
      <c r="T104" s="18">
        <f t="shared" si="4"/>
        <v>54.329999999999927</v>
      </c>
      <c r="U104" s="18">
        <f t="shared" si="12"/>
        <v>62.131593730033437</v>
      </c>
      <c r="V104" s="33">
        <f ca="1">AVERAGE(E104:OFFSET(E104,-V$5+1,0))</f>
        <v>5979.1414285714291</v>
      </c>
      <c r="W104" s="33">
        <f t="shared" ca="1" si="5"/>
        <v>6072.338819166479</v>
      </c>
      <c r="X104" s="33">
        <f t="shared" ca="1" si="6"/>
        <v>5885.9440379763791</v>
      </c>
      <c r="Y104" s="32">
        <f t="shared" ca="1" si="13"/>
        <v>0</v>
      </c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</row>
    <row r="105" spans="1:50">
      <c r="A105" s="5">
        <v>38510</v>
      </c>
      <c r="B105" s="4">
        <v>6144.25</v>
      </c>
      <c r="C105" s="4">
        <v>6146.94</v>
      </c>
      <c r="D105" s="4">
        <v>6096.84</v>
      </c>
      <c r="E105" s="4">
        <v>6105.79</v>
      </c>
      <c r="F105" s="4">
        <v>3953800</v>
      </c>
      <c r="G105" s="8">
        <f t="shared" si="15"/>
        <v>6.680000000000291</v>
      </c>
      <c r="H105" s="8">
        <f t="shared" si="14"/>
        <v>-38.460000000000036</v>
      </c>
      <c r="I105" s="20">
        <f t="shared" ca="1" si="7"/>
        <v>0</v>
      </c>
      <c r="J105" s="8">
        <f t="shared" ca="1" si="8"/>
        <v>1</v>
      </c>
      <c r="K105" s="8">
        <f t="shared" ca="1" si="9"/>
        <v>-31.779999999999745</v>
      </c>
      <c r="L105" s="8">
        <f t="shared" ca="1" si="10"/>
        <v>-177.92000000000007</v>
      </c>
      <c r="M105" s="9">
        <f ca="1">AVERAGE(E105:OFFSET(E105,-M$5+1,0))</f>
        <v>6020.2990000000009</v>
      </c>
      <c r="N105" s="9">
        <f ca="1">AVERAGE(E105:OFFSET(E105,-N$5+1,0))</f>
        <v>5973.343499999999</v>
      </c>
      <c r="O105" s="9">
        <f t="shared" ca="1" si="11"/>
        <v>0</v>
      </c>
      <c r="P105" s="14">
        <f t="shared" si="16"/>
        <v>-0.519139703057798</v>
      </c>
      <c r="Q105" s="15">
        <f ca="1">STDEV(P105:OFFSET(P105,-$Q$5+1,0))</f>
        <v>0.67823159197774463</v>
      </c>
      <c r="R105" s="15">
        <f ca="1">STDEV(P105:OFFSET(P105,-$R$5+1,0))</f>
        <v>0.89297329823742033</v>
      </c>
      <c r="S105" s="18">
        <f t="shared" si="3"/>
        <v>50.099999999999454</v>
      </c>
      <c r="T105" s="18">
        <f t="shared" si="4"/>
        <v>50.099999999999454</v>
      </c>
      <c r="U105" s="18">
        <f t="shared" si="12"/>
        <v>60.527381232695575</v>
      </c>
      <c r="V105" s="33">
        <f ca="1">AVERAGE(E105:OFFSET(E105,-V$5+1,0))</f>
        <v>5994.4957142857138</v>
      </c>
      <c r="W105" s="33">
        <f t="shared" ca="1" si="5"/>
        <v>6085.2867861347568</v>
      </c>
      <c r="X105" s="33">
        <f t="shared" ca="1" si="6"/>
        <v>5903.7046424366708</v>
      </c>
      <c r="Y105" s="32">
        <f t="shared" ca="1" si="13"/>
        <v>0</v>
      </c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</row>
    <row r="106" spans="1:50">
      <c r="A106" s="5">
        <v>38511</v>
      </c>
      <c r="B106" s="4">
        <v>6121.34</v>
      </c>
      <c r="C106" s="4">
        <v>6170.47</v>
      </c>
      <c r="D106" s="4">
        <v>6121.21</v>
      </c>
      <c r="E106" s="4">
        <v>6161.66</v>
      </c>
      <c r="F106" s="4">
        <v>3659200</v>
      </c>
      <c r="G106" s="8">
        <f t="shared" si="15"/>
        <v>15.550000000000182</v>
      </c>
      <c r="H106" s="8">
        <f t="shared" si="14"/>
        <v>40.319999999999709</v>
      </c>
      <c r="I106" s="20">
        <f t="shared" ca="1" si="7"/>
        <v>0</v>
      </c>
      <c r="J106" s="8">
        <f t="shared" ca="1" si="8"/>
        <v>1</v>
      </c>
      <c r="K106" s="8">
        <f t="shared" ca="1" si="9"/>
        <v>55.869999999999891</v>
      </c>
      <c r="L106" s="8">
        <f t="shared" ca="1" si="10"/>
        <v>-122.05000000000018</v>
      </c>
      <c r="M106" s="9">
        <f ca="1">AVERAGE(E106:OFFSET(E106,-M$5+1,0))</f>
        <v>6047.6119999999992</v>
      </c>
      <c r="N106" s="9">
        <f ca="1">AVERAGE(E106:OFFSET(E106,-N$5+1,0))</f>
        <v>5985.5699999999988</v>
      </c>
      <c r="O106" s="9">
        <f t="shared" ca="1" si="11"/>
        <v>0</v>
      </c>
      <c r="P106" s="14">
        <f t="shared" si="16"/>
        <v>0.91087204412187861</v>
      </c>
      <c r="Q106" s="15">
        <f ca="1">STDEV(P106:OFFSET(P106,-$Q$5+1,0))</f>
        <v>0.6552807688897847</v>
      </c>
      <c r="R106" s="15">
        <f ca="1">STDEV(P106:OFFSET(P106,-$R$5+1,0))</f>
        <v>0.90282673981043982</v>
      </c>
      <c r="S106" s="18">
        <f t="shared" si="3"/>
        <v>49.260000000000218</v>
      </c>
      <c r="T106" s="18">
        <f t="shared" si="4"/>
        <v>64.680000000000291</v>
      </c>
      <c r="U106" s="18">
        <f t="shared" si="12"/>
        <v>61.081063735002871</v>
      </c>
      <c r="V106" s="33">
        <f ca="1">AVERAGE(E106:OFFSET(E106,-V$5+1,0))</f>
        <v>6008.1350000000002</v>
      </c>
      <c r="W106" s="33">
        <f t="shared" ca="1" si="5"/>
        <v>6099.7565956025046</v>
      </c>
      <c r="X106" s="33">
        <f t="shared" ca="1" si="6"/>
        <v>5916.5134043974958</v>
      </c>
      <c r="Y106" s="32">
        <f t="shared" ca="1" si="13"/>
        <v>0</v>
      </c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</row>
    <row r="107" spans="1:50">
      <c r="A107" s="5">
        <v>38512</v>
      </c>
      <c r="B107" s="4">
        <v>6172.37</v>
      </c>
      <c r="C107" s="4">
        <v>6188.59</v>
      </c>
      <c r="D107" s="4">
        <v>6144.27</v>
      </c>
      <c r="E107" s="4">
        <v>6145.92</v>
      </c>
      <c r="F107" s="4">
        <v>4624400</v>
      </c>
      <c r="G107" s="8">
        <f t="shared" si="15"/>
        <v>10.710000000000036</v>
      </c>
      <c r="H107" s="8">
        <f t="shared" si="14"/>
        <v>-26.449999999999818</v>
      </c>
      <c r="I107" s="20">
        <f t="shared" ca="1" si="7"/>
        <v>0</v>
      </c>
      <c r="J107" s="8">
        <f t="shared" ca="1" si="8"/>
        <v>1</v>
      </c>
      <c r="K107" s="8">
        <f t="shared" ca="1" si="9"/>
        <v>-15.739999999999782</v>
      </c>
      <c r="L107" s="8">
        <f t="shared" ca="1" si="10"/>
        <v>-137.78999999999996</v>
      </c>
      <c r="M107" s="9">
        <f ca="1">AVERAGE(E107:OFFSET(E107,-M$5+1,0))</f>
        <v>6068.2619999999997</v>
      </c>
      <c r="N107" s="9">
        <f ca="1">AVERAGE(E107:OFFSET(E107,-N$5+1,0))</f>
        <v>5996.1359999999986</v>
      </c>
      <c r="O107" s="9">
        <f t="shared" ca="1" si="11"/>
        <v>0</v>
      </c>
      <c r="P107" s="14">
        <f t="shared" si="16"/>
        <v>-0.25577747341394336</v>
      </c>
      <c r="Q107" s="15">
        <f ca="1">STDEV(P107:OFFSET(P107,-$Q$5+1,0))</f>
        <v>0.67306241474338524</v>
      </c>
      <c r="R107" s="15">
        <f ca="1">STDEV(P107:OFFSET(P107,-$R$5+1,0))</f>
        <v>0.90428589477366528</v>
      </c>
      <c r="S107" s="18">
        <f t="shared" si="3"/>
        <v>44.319999999999709</v>
      </c>
      <c r="T107" s="18">
        <f t="shared" si="4"/>
        <v>44.319999999999709</v>
      </c>
      <c r="U107" s="18">
        <f t="shared" si="12"/>
        <v>58.846255237002453</v>
      </c>
      <c r="V107" s="33">
        <f ca="1">AVERAGE(E107:OFFSET(E107,-V$5+1,0))</f>
        <v>6021.7942857142853</v>
      </c>
      <c r="W107" s="33">
        <f t="shared" ca="1" si="5"/>
        <v>6110.0636685697891</v>
      </c>
      <c r="X107" s="33">
        <f t="shared" ca="1" si="6"/>
        <v>5933.5249028587814</v>
      </c>
      <c r="Y107" s="32">
        <f t="shared" ca="1" si="13"/>
        <v>0</v>
      </c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</row>
    <row r="108" spans="1:50">
      <c r="A108" s="5">
        <v>38513</v>
      </c>
      <c r="B108" s="4">
        <v>6188.1</v>
      </c>
      <c r="C108" s="4">
        <v>6198.3</v>
      </c>
      <c r="D108" s="4">
        <v>6158.13</v>
      </c>
      <c r="E108" s="4">
        <v>6192.35</v>
      </c>
      <c r="F108" s="4">
        <v>3877600</v>
      </c>
      <c r="G108" s="8">
        <f t="shared" si="15"/>
        <v>42.180000000000291</v>
      </c>
      <c r="H108" s="8">
        <f t="shared" si="14"/>
        <v>4.25</v>
      </c>
      <c r="I108" s="20">
        <f t="shared" ca="1" si="7"/>
        <v>0</v>
      </c>
      <c r="J108" s="8">
        <f t="shared" ca="1" si="8"/>
        <v>1</v>
      </c>
      <c r="K108" s="8">
        <f t="shared" ca="1" si="9"/>
        <v>46.430000000000291</v>
      </c>
      <c r="L108" s="8">
        <f t="shared" ca="1" si="10"/>
        <v>-91.359999999999673</v>
      </c>
      <c r="M108" s="9">
        <f ca="1">AVERAGE(E108:OFFSET(E108,-M$5+1,0))</f>
        <v>6088.3419999999987</v>
      </c>
      <c r="N108" s="9">
        <f ca="1">AVERAGE(E108:OFFSET(E108,-N$5+1,0))</f>
        <v>6006.6795000000002</v>
      </c>
      <c r="O108" s="9">
        <f t="shared" ca="1" si="11"/>
        <v>0</v>
      </c>
      <c r="P108" s="14">
        <f t="shared" si="16"/>
        <v>0.7526212210361477</v>
      </c>
      <c r="Q108" s="15">
        <f ca="1">STDEV(P108:OFFSET(P108,-$Q$5+1,0))</f>
        <v>0.66343548808248076</v>
      </c>
      <c r="R108" s="15">
        <f ca="1">STDEV(P108:OFFSET(P108,-$R$5+1,0))</f>
        <v>0.90814448731445874</v>
      </c>
      <c r="S108" s="18">
        <f t="shared" si="3"/>
        <v>40.170000000000073</v>
      </c>
      <c r="T108" s="18">
        <f t="shared" si="4"/>
        <v>52.380000000000109</v>
      </c>
      <c r="U108" s="18">
        <f t="shared" si="12"/>
        <v>57.984087872068812</v>
      </c>
      <c r="V108" s="33">
        <f ca="1">AVERAGE(E108:OFFSET(E108,-V$5+1,0))</f>
        <v>6043.715714285715</v>
      </c>
      <c r="W108" s="33">
        <f t="shared" ca="1" si="5"/>
        <v>6130.6918460938177</v>
      </c>
      <c r="X108" s="33">
        <f t="shared" ca="1" si="6"/>
        <v>5956.7395824776122</v>
      </c>
      <c r="Y108" s="32">
        <f t="shared" ca="1" si="13"/>
        <v>0</v>
      </c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</row>
    <row r="109" spans="1:50">
      <c r="A109" s="5">
        <v>38516</v>
      </c>
      <c r="B109" s="4">
        <v>6194.9</v>
      </c>
      <c r="C109" s="4">
        <v>6236.15</v>
      </c>
      <c r="D109" s="4">
        <v>6167.78</v>
      </c>
      <c r="E109" s="4">
        <v>6231.05</v>
      </c>
      <c r="F109" s="4">
        <v>3403800</v>
      </c>
      <c r="G109" s="8">
        <f t="shared" si="15"/>
        <v>2.5499999999992724</v>
      </c>
      <c r="H109" s="8">
        <f t="shared" si="14"/>
        <v>36.150000000000546</v>
      </c>
      <c r="I109" s="20">
        <f t="shared" ca="1" si="7"/>
        <v>0</v>
      </c>
      <c r="J109" s="8">
        <f t="shared" ca="1" si="8"/>
        <v>1</v>
      </c>
      <c r="K109" s="8">
        <f t="shared" ca="1" si="9"/>
        <v>38.699999999999818</v>
      </c>
      <c r="L109" s="8">
        <f t="shared" ca="1" si="10"/>
        <v>-52.659999999999854</v>
      </c>
      <c r="M109" s="9">
        <f ca="1">AVERAGE(E109:OFFSET(E109,-M$5+1,0))</f>
        <v>6110.4950000000008</v>
      </c>
      <c r="N109" s="9">
        <f ca="1">AVERAGE(E109:OFFSET(E109,-N$5+1,0))</f>
        <v>6021.9380000000001</v>
      </c>
      <c r="O109" s="9">
        <f t="shared" ca="1" si="11"/>
        <v>0</v>
      </c>
      <c r="P109" s="14">
        <f t="shared" si="16"/>
        <v>0.62301986862703973</v>
      </c>
      <c r="Q109" s="15">
        <f ca="1">STDEV(P109:OFFSET(P109,-$Q$5+1,0))</f>
        <v>0.66966077562578241</v>
      </c>
      <c r="R109" s="15">
        <f ca="1">STDEV(P109:OFFSET(P109,-$R$5+1,0))</f>
        <v>0.87487432397600084</v>
      </c>
      <c r="S109" s="18">
        <f t="shared" si="3"/>
        <v>68.369999999999891</v>
      </c>
      <c r="T109" s="18">
        <f t="shared" si="4"/>
        <v>68.369999999999891</v>
      </c>
      <c r="U109" s="18">
        <f t="shared" si="12"/>
        <v>59.368876155792961</v>
      </c>
      <c r="V109" s="33">
        <f ca="1">AVERAGE(E109:OFFSET(E109,-V$5+1,0))</f>
        <v>6066.7121428571436</v>
      </c>
      <c r="W109" s="33">
        <f t="shared" ca="1" si="5"/>
        <v>6155.7654570908326</v>
      </c>
      <c r="X109" s="33">
        <f t="shared" ca="1" si="6"/>
        <v>5977.6588286234546</v>
      </c>
      <c r="Y109" s="32">
        <f t="shared" ca="1" si="13"/>
        <v>0</v>
      </c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</row>
    <row r="110" spans="1:50">
      <c r="A110" s="5">
        <v>38517</v>
      </c>
      <c r="B110" s="4">
        <v>6244.56</v>
      </c>
      <c r="C110" s="4">
        <v>6266.25</v>
      </c>
      <c r="D110" s="4">
        <v>6205.76</v>
      </c>
      <c r="E110" s="4">
        <v>6205.76</v>
      </c>
      <c r="F110" s="4">
        <v>3768600</v>
      </c>
      <c r="G110" s="8">
        <f t="shared" si="15"/>
        <v>13.510000000000218</v>
      </c>
      <c r="H110" s="8">
        <f t="shared" si="14"/>
        <v>-38.800000000000182</v>
      </c>
      <c r="I110" s="20">
        <f t="shared" ca="1" si="7"/>
        <v>0</v>
      </c>
      <c r="J110" s="8">
        <f t="shared" ca="1" si="8"/>
        <v>1</v>
      </c>
      <c r="K110" s="8">
        <f t="shared" ca="1" si="9"/>
        <v>-25.289999999999964</v>
      </c>
      <c r="L110" s="8">
        <f t="shared" ca="1" si="10"/>
        <v>-77.949999999999818</v>
      </c>
      <c r="M110" s="9">
        <f ca="1">AVERAGE(E110:OFFSET(E110,-M$5+1,0))</f>
        <v>6129.915</v>
      </c>
      <c r="N110" s="9">
        <f ca="1">AVERAGE(E110:OFFSET(E110,-N$5+1,0))</f>
        <v>6037.5255000000006</v>
      </c>
      <c r="O110" s="9">
        <f t="shared" ca="1" si="11"/>
        <v>0</v>
      </c>
      <c r="P110" s="14">
        <f t="shared" si="16"/>
        <v>-0.40669648983090201</v>
      </c>
      <c r="Q110" s="15">
        <f ca="1">STDEV(P110:OFFSET(P110,-$Q$5+1,0))</f>
        <v>0.70709616679254506</v>
      </c>
      <c r="R110" s="15">
        <f ca="1">STDEV(P110:OFFSET(P110,-$R$5+1,0))</f>
        <v>0.71979603185004748</v>
      </c>
      <c r="S110" s="18">
        <f t="shared" si="3"/>
        <v>60.489999999999782</v>
      </c>
      <c r="T110" s="18">
        <f t="shared" si="4"/>
        <v>60.489999999999782</v>
      </c>
      <c r="U110" s="18">
        <f t="shared" si="12"/>
        <v>59.518359335020541</v>
      </c>
      <c r="V110" s="33">
        <f ca="1">AVERAGE(E110:OFFSET(E110,-V$5+1,0))</f>
        <v>6089.3714285714286</v>
      </c>
      <c r="W110" s="33">
        <f t="shared" ca="1" si="5"/>
        <v>6178.6489675739595</v>
      </c>
      <c r="X110" s="33">
        <f t="shared" ca="1" si="6"/>
        <v>6000.0938895688978</v>
      </c>
      <c r="Y110" s="32">
        <f t="shared" ca="1" si="13"/>
        <v>0</v>
      </c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</row>
    <row r="111" spans="1:50">
      <c r="A111" s="5">
        <v>38518</v>
      </c>
      <c r="B111" s="4">
        <v>6219.8</v>
      </c>
      <c r="C111" s="4">
        <v>6252.1</v>
      </c>
      <c r="D111" s="4">
        <v>6215.73</v>
      </c>
      <c r="E111" s="4">
        <v>6252.1</v>
      </c>
      <c r="F111" s="4">
        <v>3383200</v>
      </c>
      <c r="G111" s="8">
        <f t="shared" si="15"/>
        <v>14.039999999999964</v>
      </c>
      <c r="H111" s="8">
        <f t="shared" si="14"/>
        <v>32.300000000000182</v>
      </c>
      <c r="I111" s="20">
        <f t="shared" ca="1" si="7"/>
        <v>0</v>
      </c>
      <c r="J111" s="8">
        <f t="shared" ca="1" si="8"/>
        <v>1</v>
      </c>
      <c r="K111" s="8">
        <f t="shared" ca="1" si="9"/>
        <v>46.340000000000146</v>
      </c>
      <c r="L111" s="8">
        <f t="shared" ca="1" si="10"/>
        <v>-31.609999999999673</v>
      </c>
      <c r="M111" s="9">
        <f ca="1">AVERAGE(E111:OFFSET(E111,-M$5+1,0))</f>
        <v>6157.9630000000006</v>
      </c>
      <c r="N111" s="9">
        <f ca="1">AVERAGE(E111:OFFSET(E111,-N$5+1,0))</f>
        <v>6055.5889999999999</v>
      </c>
      <c r="O111" s="9">
        <f t="shared" ca="1" si="11"/>
        <v>0</v>
      </c>
      <c r="P111" s="14">
        <f t="shared" si="16"/>
        <v>0.74395142872124131</v>
      </c>
      <c r="Q111" s="15">
        <f ca="1">STDEV(P111:OFFSET(P111,-$Q$5+1,0))</f>
        <v>0.62477277858769786</v>
      </c>
      <c r="R111" s="15">
        <f ca="1">STDEV(P111:OFFSET(P111,-$R$5+1,0))</f>
        <v>0.72245529183448087</v>
      </c>
      <c r="S111" s="18">
        <f t="shared" si="3"/>
        <v>36.3700000000008</v>
      </c>
      <c r="T111" s="18">
        <f t="shared" si="4"/>
        <v>46.340000000000146</v>
      </c>
      <c r="U111" s="18">
        <f t="shared" si="12"/>
        <v>57.76124475701782</v>
      </c>
      <c r="V111" s="33">
        <f ca="1">AVERAGE(E111:OFFSET(E111,-V$5+1,0))</f>
        <v>6111.7057142857147</v>
      </c>
      <c r="W111" s="33">
        <f t="shared" ca="1" si="5"/>
        <v>6198.3475814212416</v>
      </c>
      <c r="X111" s="33">
        <f t="shared" ca="1" si="6"/>
        <v>6025.0638471501879</v>
      </c>
      <c r="Y111" s="32">
        <f t="shared" ca="1" si="13"/>
        <v>0</v>
      </c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</row>
    <row r="112" spans="1:50">
      <c r="A112" s="5">
        <v>38519</v>
      </c>
      <c r="B112" s="4">
        <v>6298.35</v>
      </c>
      <c r="C112" s="4">
        <v>6298.35</v>
      </c>
      <c r="D112" s="4">
        <v>6249</v>
      </c>
      <c r="E112" s="4">
        <v>6282.41</v>
      </c>
      <c r="F112" s="4">
        <v>3643000</v>
      </c>
      <c r="G112" s="8">
        <f t="shared" si="15"/>
        <v>46.25</v>
      </c>
      <c r="H112" s="8">
        <f t="shared" si="14"/>
        <v>-15.940000000000509</v>
      </c>
      <c r="I112" s="20">
        <f t="shared" ca="1" si="7"/>
        <v>0</v>
      </c>
      <c r="J112" s="8">
        <f t="shared" ca="1" si="8"/>
        <v>1</v>
      </c>
      <c r="K112" s="8">
        <f t="shared" ca="1" si="9"/>
        <v>30.309999999999491</v>
      </c>
      <c r="L112" s="8">
        <f t="shared" ca="1" si="10"/>
        <v>-1.3000000000001819</v>
      </c>
      <c r="M112" s="9">
        <f ca="1">AVERAGE(E112:OFFSET(E112,-M$5+1,0))</f>
        <v>6182.2559999999994</v>
      </c>
      <c r="N112" s="9">
        <f ca="1">AVERAGE(E112:OFFSET(E112,-N$5+1,0))</f>
        <v>6071.1740000000009</v>
      </c>
      <c r="O112" s="9">
        <f t="shared" ca="1" si="11"/>
        <v>0</v>
      </c>
      <c r="P112" s="14">
        <f t="shared" si="16"/>
        <v>0.48362575126859902</v>
      </c>
      <c r="Q112" s="15">
        <f ca="1">STDEV(P112:OFFSET(P112,-$Q$5+1,0))</f>
        <v>0.57943388545391328</v>
      </c>
      <c r="R112" s="15">
        <f ca="1">STDEV(P112:OFFSET(P112,-$R$5+1,0))</f>
        <v>0.69783024943847394</v>
      </c>
      <c r="S112" s="18">
        <f t="shared" si="3"/>
        <v>49.350000000000364</v>
      </c>
      <c r="T112" s="18">
        <f t="shared" si="4"/>
        <v>49.350000000000364</v>
      </c>
      <c r="U112" s="18">
        <f t="shared" si="12"/>
        <v>56.63974545608216</v>
      </c>
      <c r="V112" s="33">
        <f ca="1">AVERAGE(E112:OFFSET(E112,-V$5+1,0))</f>
        <v>6132.4814285714283</v>
      </c>
      <c r="W112" s="33">
        <f t="shared" ca="1" si="5"/>
        <v>6217.4410467555517</v>
      </c>
      <c r="X112" s="33">
        <f t="shared" ca="1" si="6"/>
        <v>6047.5218103873049</v>
      </c>
      <c r="Y112" s="32">
        <f t="shared" ca="1" si="13"/>
        <v>0</v>
      </c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</row>
    <row r="113" spans="1:50">
      <c r="A113" s="5">
        <v>38520</v>
      </c>
      <c r="B113" s="4">
        <v>6304.24</v>
      </c>
      <c r="C113" s="4">
        <v>6357.39</v>
      </c>
      <c r="D113" s="4">
        <v>6293.23</v>
      </c>
      <c r="E113" s="4">
        <v>6293.56</v>
      </c>
      <c r="F113" s="4">
        <v>4754400</v>
      </c>
      <c r="G113" s="8">
        <f t="shared" si="15"/>
        <v>21.829999999999927</v>
      </c>
      <c r="H113" s="8">
        <f t="shared" si="14"/>
        <v>-10.679999999999382</v>
      </c>
      <c r="I113" s="20">
        <f t="shared" ca="1" si="7"/>
        <v>0</v>
      </c>
      <c r="J113" s="8">
        <f t="shared" ca="1" si="8"/>
        <v>1</v>
      </c>
      <c r="K113" s="8">
        <f t="shared" ca="1" si="9"/>
        <v>11.150000000000546</v>
      </c>
      <c r="L113" s="8">
        <f t="shared" ca="1" si="10"/>
        <v>9.8500000000003638</v>
      </c>
      <c r="M113" s="9">
        <f ca="1">AVERAGE(E113:OFFSET(E113,-M$5+1,0))</f>
        <v>6200.817</v>
      </c>
      <c r="N113" s="9">
        <f ca="1">AVERAGE(E113:OFFSET(E113,-N$5+1,0))</f>
        <v>6088.1175000000003</v>
      </c>
      <c r="O113" s="9">
        <f t="shared" ca="1" si="11"/>
        <v>0</v>
      </c>
      <c r="P113" s="14">
        <f t="shared" si="16"/>
        <v>0.17732235241654437</v>
      </c>
      <c r="Q113" s="15">
        <f ca="1">STDEV(P113:OFFSET(P113,-$Q$5+1,0))</f>
        <v>0.52082190399798911</v>
      </c>
      <c r="R113" s="15">
        <f ca="1">STDEV(P113:OFFSET(P113,-$R$5+1,0))</f>
        <v>0.6966104069352943</v>
      </c>
      <c r="S113" s="18">
        <f t="shared" si="3"/>
        <v>64.160000000000764</v>
      </c>
      <c r="T113" s="18">
        <f t="shared" si="4"/>
        <v>74.980000000000473</v>
      </c>
      <c r="U113" s="18">
        <f t="shared" si="12"/>
        <v>59.085112728604599</v>
      </c>
      <c r="V113" s="33">
        <f ca="1">AVERAGE(E113:OFFSET(E113,-V$5+1,0))</f>
        <v>6152.7700000000013</v>
      </c>
      <c r="W113" s="33">
        <f t="shared" ca="1" si="5"/>
        <v>6241.3976690929085</v>
      </c>
      <c r="X113" s="33">
        <f t="shared" ca="1" si="6"/>
        <v>6064.1423309070942</v>
      </c>
      <c r="Y113" s="32">
        <f t="shared" ca="1" si="13"/>
        <v>0</v>
      </c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</row>
    <row r="114" spans="1:50">
      <c r="A114" s="5">
        <v>38523</v>
      </c>
      <c r="B114" s="4">
        <v>6311.67</v>
      </c>
      <c r="C114" s="4">
        <v>6315.29</v>
      </c>
      <c r="D114" s="4">
        <v>6272.97</v>
      </c>
      <c r="E114" s="4">
        <v>6296.89</v>
      </c>
      <c r="F114" s="4">
        <v>3003800</v>
      </c>
      <c r="G114" s="8">
        <f t="shared" si="15"/>
        <v>18.109999999999673</v>
      </c>
      <c r="H114" s="8">
        <f t="shared" si="14"/>
        <v>-14.779999999999745</v>
      </c>
      <c r="I114" s="20">
        <f t="shared" ca="1" si="7"/>
        <v>0</v>
      </c>
      <c r="J114" s="8">
        <f t="shared" ca="1" si="8"/>
        <v>1</v>
      </c>
      <c r="K114" s="8">
        <f t="shared" ca="1" si="9"/>
        <v>3.3299999999999272</v>
      </c>
      <c r="L114" s="8">
        <f t="shared" ca="1" si="10"/>
        <v>13.180000000000291</v>
      </c>
      <c r="M114" s="9">
        <f ca="1">AVERAGE(E114:OFFSET(E114,-M$5+1,0))</f>
        <v>6216.7489999999989</v>
      </c>
      <c r="N114" s="9">
        <f ca="1">AVERAGE(E114:OFFSET(E114,-N$5+1,0))</f>
        <v>6108.6895000000004</v>
      </c>
      <c r="O114" s="9">
        <f t="shared" ca="1" si="11"/>
        <v>0</v>
      </c>
      <c r="P114" s="14">
        <f t="shared" si="16"/>
        <v>5.2897236836620468E-2</v>
      </c>
      <c r="Q114" s="15">
        <f ca="1">STDEV(P114:OFFSET(P114,-$Q$5+1,0))</f>
        <v>0.52169257141259973</v>
      </c>
      <c r="R114" s="15">
        <f ca="1">STDEV(P114:OFFSET(P114,-$R$5+1,0))</f>
        <v>0.69643924807749868</v>
      </c>
      <c r="S114" s="18">
        <f t="shared" si="3"/>
        <v>42.319999999999709</v>
      </c>
      <c r="T114" s="18">
        <f t="shared" si="4"/>
        <v>42.319999999999709</v>
      </c>
      <c r="U114" s="18">
        <f t="shared" si="12"/>
        <v>56.849764364790616</v>
      </c>
      <c r="V114" s="33">
        <f ca="1">AVERAGE(E114:OFFSET(E114,-V$5+1,0))</f>
        <v>6173.1507142857145</v>
      </c>
      <c r="W114" s="33">
        <f t="shared" ca="1" si="5"/>
        <v>6258.4253608329</v>
      </c>
      <c r="X114" s="33">
        <f t="shared" ca="1" si="6"/>
        <v>6087.8760677385289</v>
      </c>
      <c r="Y114" s="32">
        <f t="shared" ca="1" si="13"/>
        <v>0</v>
      </c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</row>
    <row r="115" spans="1:50">
      <c r="A115" s="5">
        <v>38524</v>
      </c>
      <c r="B115" s="4">
        <v>6304.33</v>
      </c>
      <c r="C115" s="4">
        <v>6304.88</v>
      </c>
      <c r="D115" s="4">
        <v>6265.69</v>
      </c>
      <c r="E115" s="4">
        <v>6278.46</v>
      </c>
      <c r="F115" s="4">
        <v>3397400</v>
      </c>
      <c r="G115" s="8">
        <f t="shared" si="15"/>
        <v>7.4399999999995998</v>
      </c>
      <c r="H115" s="8">
        <f t="shared" si="14"/>
        <v>-25.869999999999891</v>
      </c>
      <c r="I115" s="20">
        <f t="shared" ca="1" si="7"/>
        <v>0</v>
      </c>
      <c r="J115" s="8">
        <f t="shared" ca="1" si="8"/>
        <v>1</v>
      </c>
      <c r="K115" s="8">
        <f t="shared" ca="1" si="9"/>
        <v>-18.430000000000291</v>
      </c>
      <c r="L115" s="8">
        <f t="shared" ca="1" si="10"/>
        <v>-5.25</v>
      </c>
      <c r="M115" s="9">
        <f ca="1">AVERAGE(E115:OFFSET(E115,-M$5+1,0))</f>
        <v>6234.0159999999996</v>
      </c>
      <c r="N115" s="9">
        <f ca="1">AVERAGE(E115:OFFSET(E115,-N$5+1,0))</f>
        <v>6127.1575000000012</v>
      </c>
      <c r="O115" s="9">
        <f t="shared" ca="1" si="11"/>
        <v>0</v>
      </c>
      <c r="P115" s="14">
        <f t="shared" si="16"/>
        <v>-0.29311332400569479</v>
      </c>
      <c r="Q115" s="15">
        <f ca="1">STDEV(P115:OFFSET(P115,-$Q$5+1,0))</f>
        <v>0.48818501256300845</v>
      </c>
      <c r="R115" s="15">
        <f ca="1">STDEV(P115:OFFSET(P115,-$R$5+1,0))</f>
        <v>0.70129895441245194</v>
      </c>
      <c r="S115" s="18">
        <f t="shared" si="3"/>
        <v>39.190000000000509</v>
      </c>
      <c r="T115" s="18">
        <f t="shared" si="4"/>
        <v>39.190000000000509</v>
      </c>
      <c r="U115" s="18">
        <f t="shared" si="12"/>
        <v>54.495129116151936</v>
      </c>
      <c r="V115" s="33">
        <f ca="1">AVERAGE(E115:OFFSET(E115,-V$5+1,0))</f>
        <v>6195.067857142858</v>
      </c>
      <c r="W115" s="33">
        <f t="shared" ca="1" si="5"/>
        <v>6276.8105508170856</v>
      </c>
      <c r="X115" s="33">
        <f t="shared" ca="1" si="6"/>
        <v>6113.3251634686303</v>
      </c>
      <c r="Y115" s="32">
        <f t="shared" ca="1" si="13"/>
        <v>0</v>
      </c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</row>
    <row r="116" spans="1:50">
      <c r="A116" s="5">
        <v>38525</v>
      </c>
      <c r="B116" s="4">
        <v>6291.91</v>
      </c>
      <c r="C116" s="4">
        <v>6381.23</v>
      </c>
      <c r="D116" s="4">
        <v>6291.91</v>
      </c>
      <c r="E116" s="4">
        <v>6357.83</v>
      </c>
      <c r="F116" s="4">
        <v>4315600</v>
      </c>
      <c r="G116" s="8">
        <f t="shared" si="15"/>
        <v>13.449999999999818</v>
      </c>
      <c r="H116" s="8">
        <f t="shared" si="14"/>
        <v>65.920000000000073</v>
      </c>
      <c r="I116" s="20">
        <f t="shared" ca="1" si="7"/>
        <v>0</v>
      </c>
      <c r="J116" s="8">
        <f t="shared" ca="1" si="8"/>
        <v>1</v>
      </c>
      <c r="K116" s="8">
        <f t="shared" ca="1" si="9"/>
        <v>79.369999999999891</v>
      </c>
      <c r="L116" s="8">
        <f t="shared" ca="1" si="10"/>
        <v>74.119999999999891</v>
      </c>
      <c r="M116" s="9">
        <f ca="1">AVERAGE(E116:OFFSET(E116,-M$5+1,0))</f>
        <v>6253.6329999999998</v>
      </c>
      <c r="N116" s="9">
        <f ca="1">AVERAGE(E116:OFFSET(E116,-N$5+1,0))</f>
        <v>6150.6225000000004</v>
      </c>
      <c r="O116" s="9">
        <f t="shared" ca="1" si="11"/>
        <v>0</v>
      </c>
      <c r="P116" s="14">
        <f t="shared" si="16"/>
        <v>1.2562396685118589</v>
      </c>
      <c r="Q116" s="15">
        <f ca="1">STDEV(P116:OFFSET(P116,-$Q$5+1,0))</f>
        <v>0.5465870777250309</v>
      </c>
      <c r="R116" s="15">
        <f ca="1">STDEV(P116:OFFSET(P116,-$R$5+1,0))</f>
        <v>0.71437467664637244</v>
      </c>
      <c r="S116" s="18">
        <f t="shared" si="3"/>
        <v>89.319999999999709</v>
      </c>
      <c r="T116" s="18">
        <f t="shared" si="4"/>
        <v>102.76999999999953</v>
      </c>
      <c r="U116" s="18">
        <f t="shared" si="12"/>
        <v>60.931778567331612</v>
      </c>
      <c r="V116" s="33">
        <f ca="1">AVERAGE(E116:OFFSET(E116,-V$5+1,0))</f>
        <v>6217.8071428571429</v>
      </c>
      <c r="W116" s="33">
        <f t="shared" ca="1" si="5"/>
        <v>6309.20481070814</v>
      </c>
      <c r="X116" s="33">
        <f t="shared" ca="1" si="6"/>
        <v>6126.4094750061458</v>
      </c>
      <c r="Y116" s="32">
        <f t="shared" ca="1" si="13"/>
        <v>0</v>
      </c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</row>
    <row r="117" spans="1:50">
      <c r="A117" s="5">
        <v>38526</v>
      </c>
      <c r="B117" s="4">
        <v>6382.6</v>
      </c>
      <c r="C117" s="4">
        <v>6401.81</v>
      </c>
      <c r="D117" s="4">
        <v>6369.21</v>
      </c>
      <c r="E117" s="4">
        <v>6373.86</v>
      </c>
      <c r="F117" s="4">
        <v>4360000</v>
      </c>
      <c r="G117" s="8">
        <f t="shared" si="15"/>
        <v>24.770000000000437</v>
      </c>
      <c r="H117" s="8">
        <f t="shared" si="14"/>
        <v>-8.7400000000006912</v>
      </c>
      <c r="I117" s="20">
        <f t="shared" ca="1" si="7"/>
        <v>0</v>
      </c>
      <c r="J117" s="8">
        <f t="shared" ca="1" si="8"/>
        <v>1</v>
      </c>
      <c r="K117" s="8">
        <f t="shared" ca="1" si="9"/>
        <v>16.029999999999745</v>
      </c>
      <c r="L117" s="8">
        <f t="shared" ca="1" si="10"/>
        <v>90.149999999999636</v>
      </c>
      <c r="M117" s="9">
        <f ca="1">AVERAGE(E117:OFFSET(E117,-M$5+1,0))</f>
        <v>6276.4270000000006</v>
      </c>
      <c r="N117" s="9">
        <f ca="1">AVERAGE(E117:OFFSET(E117,-N$5+1,0))</f>
        <v>6172.3445000000011</v>
      </c>
      <c r="O117" s="9">
        <f t="shared" ca="1" si="11"/>
        <v>0</v>
      </c>
      <c r="P117" s="14">
        <f t="shared" si="16"/>
        <v>0.2518127361013634</v>
      </c>
      <c r="Q117" s="15">
        <f ca="1">STDEV(P117:OFFSET(P117,-$Q$5+1,0))</f>
        <v>0.5102148734244617</v>
      </c>
      <c r="R117" s="15">
        <f ca="1">STDEV(P117:OFFSET(P117,-$R$5+1,0))</f>
        <v>0.70547654784640246</v>
      </c>
      <c r="S117" s="18">
        <f t="shared" ref="S117:S180" si="17">C117-D117</f>
        <v>32.600000000000364</v>
      </c>
      <c r="T117" s="18">
        <f t="shared" ref="T117:T180" si="18">MAX(C117,E116)-MIN(D117,E116)</f>
        <v>43.980000000000473</v>
      </c>
      <c r="U117" s="18">
        <f t="shared" si="12"/>
        <v>58.671541425020791</v>
      </c>
      <c r="V117" s="33">
        <f ca="1">AVERAGE(E117:OFFSET(E117,-V$5+1,0))</f>
        <v>6236.800714285715</v>
      </c>
      <c r="W117" s="33">
        <f t="shared" ref="W117:W180" ca="1" si="19">V117+W$5*U117</f>
        <v>6324.8080264232458</v>
      </c>
      <c r="X117" s="33">
        <f t="shared" ref="X117:X180" ca="1" si="20">V117-W$5*U117</f>
        <v>6148.7934021481842</v>
      </c>
      <c r="Y117" s="32">
        <f t="shared" ca="1" si="13"/>
        <v>0</v>
      </c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</row>
    <row r="118" spans="1:50">
      <c r="A118" s="5">
        <v>38527</v>
      </c>
      <c r="B118" s="4">
        <v>6350.74</v>
      </c>
      <c r="C118" s="4">
        <v>6363.88</v>
      </c>
      <c r="D118" s="4">
        <v>6324.22</v>
      </c>
      <c r="E118" s="4">
        <v>6340.69</v>
      </c>
      <c r="F118" s="4">
        <v>3248600</v>
      </c>
      <c r="G118" s="8">
        <f t="shared" si="15"/>
        <v>-23.119999999999891</v>
      </c>
      <c r="H118" s="8">
        <f t="shared" si="14"/>
        <v>-10.050000000000182</v>
      </c>
      <c r="I118" s="20">
        <f t="shared" ref="I118:I181" ca="1" si="21">Y118</f>
        <v>0</v>
      </c>
      <c r="J118" s="8">
        <f t="shared" ref="J118:J181" ca="1" si="22">IF((J117+I117)&gt;=J$5,J$5,IF((J117+I117)&lt;=J$7,J$7,J117+I117))</f>
        <v>1</v>
      </c>
      <c r="K118" s="8">
        <f t="shared" ref="K118:K181" ca="1" si="23">J117*G118+J118*H118</f>
        <v>-33.170000000000073</v>
      </c>
      <c r="L118" s="8">
        <f t="shared" ref="L118:L181" ca="1" si="24">L117+K118</f>
        <v>56.979999999999563</v>
      </c>
      <c r="M118" s="9">
        <f ca="1">AVERAGE(E118:OFFSET(E118,-M$5+1,0))</f>
        <v>6291.2610000000004</v>
      </c>
      <c r="N118" s="9">
        <f ca="1">AVERAGE(E118:OFFSET(E118,-N$5+1,0))</f>
        <v>6189.8014999999996</v>
      </c>
      <c r="O118" s="9">
        <f t="shared" ref="O118:O181" ca="1" si="25">IF(AND(M117&lt;=N117,M118&gt;N118),1,IF(AND(M117&gt;=N117,M118&lt;N118),-1,0))</f>
        <v>0</v>
      </c>
      <c r="P118" s="14">
        <f t="shared" si="16"/>
        <v>-0.52176561893992035</v>
      </c>
      <c r="Q118" s="15">
        <f ca="1">STDEV(P118:OFFSET(P118,-$Q$5+1,0))</f>
        <v>0.55921068963614884</v>
      </c>
      <c r="R118" s="15">
        <f ca="1">STDEV(P118:OFFSET(P118,-$R$5+1,0))</f>
        <v>0.70163645110676021</v>
      </c>
      <c r="S118" s="18">
        <f t="shared" si="17"/>
        <v>39.659999999999854</v>
      </c>
      <c r="T118" s="18">
        <f t="shared" si="18"/>
        <v>49.639999999999418</v>
      </c>
      <c r="U118" s="18">
        <f t="shared" ref="U118:U181" si="26">$U$5*T118+(1-$U$5)*U117</f>
        <v>57.467335901684613</v>
      </c>
      <c r="V118" s="33">
        <f ca="1">AVERAGE(E118:OFFSET(E118,-V$5+1,0))</f>
        <v>6251.3092857142856</v>
      </c>
      <c r="W118" s="33">
        <f t="shared" ca="1" si="19"/>
        <v>6337.5102895668124</v>
      </c>
      <c r="X118" s="33">
        <f t="shared" ca="1" si="20"/>
        <v>6165.1082818617588</v>
      </c>
      <c r="Y118" s="32">
        <f t="shared" ref="Y118:Y181" ca="1" si="27">IF(AND(E117&gt;X117,E118&lt;X118),-1,IF(AND(E117&lt;W117,E118&gt;W118),1,0))</f>
        <v>0</v>
      </c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</row>
    <row r="119" spans="1:50">
      <c r="A119" s="5">
        <v>38530</v>
      </c>
      <c r="B119" s="4">
        <v>6307.61</v>
      </c>
      <c r="C119" s="4">
        <v>6342.45</v>
      </c>
      <c r="D119" s="4">
        <v>6279.39</v>
      </c>
      <c r="E119" s="4">
        <v>6302.99</v>
      </c>
      <c r="F119" s="4">
        <v>3169400</v>
      </c>
      <c r="G119" s="8">
        <f t="shared" si="15"/>
        <v>-33.079999999999927</v>
      </c>
      <c r="H119" s="8">
        <f t="shared" si="14"/>
        <v>-4.6199999999998909</v>
      </c>
      <c r="I119" s="20">
        <f t="shared" ca="1" si="21"/>
        <v>0</v>
      </c>
      <c r="J119" s="8">
        <f t="shared" ca="1" si="22"/>
        <v>1</v>
      </c>
      <c r="K119" s="8">
        <f t="shared" ca="1" si="23"/>
        <v>-37.699999999999818</v>
      </c>
      <c r="L119" s="8">
        <f t="shared" ca="1" si="24"/>
        <v>19.279999999999745</v>
      </c>
      <c r="M119" s="9">
        <f ca="1">AVERAGE(E119:OFFSET(E119,-M$5+1,0))</f>
        <v>6298.4549999999999</v>
      </c>
      <c r="N119" s="9">
        <f ca="1">AVERAGE(E119:OFFSET(E119,-N$5+1,0))</f>
        <v>6204.4750000000013</v>
      </c>
      <c r="O119" s="9">
        <f t="shared" ca="1" si="25"/>
        <v>0</v>
      </c>
      <c r="P119" s="14">
        <f t="shared" si="16"/>
        <v>-0.59634713512198545</v>
      </c>
      <c r="Q119" s="15">
        <f ca="1">STDEV(P119:OFFSET(P119,-$Q$5+1,0))</f>
        <v>0.59726784068823302</v>
      </c>
      <c r="R119" s="15">
        <f ca="1">STDEV(P119:OFFSET(P119,-$R$5+1,0))</f>
        <v>0.70631162385313995</v>
      </c>
      <c r="S119" s="18">
        <f t="shared" si="17"/>
        <v>63.059999999999491</v>
      </c>
      <c r="T119" s="18">
        <f t="shared" si="18"/>
        <v>63.059999999999491</v>
      </c>
      <c r="U119" s="18">
        <f t="shared" si="26"/>
        <v>58.213024448126596</v>
      </c>
      <c r="V119" s="33">
        <f ca="1">AVERAGE(E119:OFFSET(E119,-V$5+1,0))</f>
        <v>6265.3949999999995</v>
      </c>
      <c r="W119" s="33">
        <f t="shared" ca="1" si="19"/>
        <v>6352.7145366721898</v>
      </c>
      <c r="X119" s="33">
        <f t="shared" ca="1" si="20"/>
        <v>6178.0754633278093</v>
      </c>
      <c r="Y119" s="32">
        <f t="shared" ca="1" si="27"/>
        <v>0</v>
      </c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</row>
    <row r="120" spans="1:50">
      <c r="A120" s="5">
        <v>38531</v>
      </c>
      <c r="B120" s="4">
        <v>6303.66</v>
      </c>
      <c r="C120" s="4">
        <v>6323.1</v>
      </c>
      <c r="D120" s="4">
        <v>6294.18</v>
      </c>
      <c r="E120" s="4">
        <v>6316.84</v>
      </c>
      <c r="F120" s="4">
        <v>2907600</v>
      </c>
      <c r="G120" s="8">
        <f t="shared" si="15"/>
        <v>0.67000000000007276</v>
      </c>
      <c r="H120" s="8">
        <f t="shared" si="14"/>
        <v>13.180000000000291</v>
      </c>
      <c r="I120" s="20">
        <f t="shared" ca="1" si="21"/>
        <v>0</v>
      </c>
      <c r="J120" s="8">
        <f t="shared" ca="1" si="22"/>
        <v>1</v>
      </c>
      <c r="K120" s="8">
        <f t="shared" ca="1" si="23"/>
        <v>13.850000000000364</v>
      </c>
      <c r="L120" s="8">
        <f t="shared" ca="1" si="24"/>
        <v>33.130000000000109</v>
      </c>
      <c r="M120" s="9">
        <f ca="1">AVERAGE(E120:OFFSET(E120,-M$5+1,0))</f>
        <v>6309.5630000000001</v>
      </c>
      <c r="N120" s="9">
        <f ca="1">AVERAGE(E120:OFFSET(E120,-N$5+1,0))</f>
        <v>6219.7390000000005</v>
      </c>
      <c r="O120" s="9">
        <f t="shared" ca="1" si="25"/>
        <v>0</v>
      </c>
      <c r="P120" s="14">
        <f t="shared" si="16"/>
        <v>0.21949591334585769</v>
      </c>
      <c r="Q120" s="15">
        <f ca="1">STDEV(P120:OFFSET(P120,-$Q$5+1,0))</f>
        <v>0.56865924245129673</v>
      </c>
      <c r="R120" s="15">
        <f ca="1">STDEV(P120:OFFSET(P120,-$R$5+1,0))</f>
        <v>0.70558825116663981</v>
      </c>
      <c r="S120" s="18">
        <f t="shared" si="17"/>
        <v>28.920000000000073</v>
      </c>
      <c r="T120" s="18">
        <f t="shared" si="18"/>
        <v>28.920000000000073</v>
      </c>
      <c r="U120" s="18">
        <f t="shared" si="26"/>
        <v>54.307287855043057</v>
      </c>
      <c r="V120" s="33">
        <f ca="1">AVERAGE(E120:OFFSET(E120,-V$5+1,0))</f>
        <v>6276.4792857142847</v>
      </c>
      <c r="W120" s="33">
        <f t="shared" ca="1" si="19"/>
        <v>6357.9402174968491</v>
      </c>
      <c r="X120" s="33">
        <f t="shared" ca="1" si="20"/>
        <v>6195.0183539317204</v>
      </c>
      <c r="Y120" s="32">
        <f t="shared" ca="1" si="27"/>
        <v>0</v>
      </c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</row>
    <row r="121" spans="1:50">
      <c r="A121" s="5">
        <v>38532</v>
      </c>
      <c r="B121" s="4">
        <v>6370.14</v>
      </c>
      <c r="C121" s="4">
        <v>6375.68</v>
      </c>
      <c r="D121" s="4">
        <v>6231.65</v>
      </c>
      <c r="E121" s="4">
        <v>6231.65</v>
      </c>
      <c r="F121" s="4">
        <v>3902800</v>
      </c>
      <c r="G121" s="8">
        <f t="shared" si="15"/>
        <v>53.300000000000182</v>
      </c>
      <c r="H121" s="8">
        <f t="shared" si="14"/>
        <v>-138.49000000000069</v>
      </c>
      <c r="I121" s="20">
        <f t="shared" ca="1" si="21"/>
        <v>0</v>
      </c>
      <c r="J121" s="8">
        <f t="shared" ca="1" si="22"/>
        <v>1</v>
      </c>
      <c r="K121" s="8">
        <f t="shared" ca="1" si="23"/>
        <v>-85.190000000000509</v>
      </c>
      <c r="L121" s="8">
        <f t="shared" ca="1" si="24"/>
        <v>-52.0600000000004</v>
      </c>
      <c r="M121" s="9">
        <f ca="1">AVERAGE(E121:OFFSET(E121,-M$5+1,0))</f>
        <v>6307.518</v>
      </c>
      <c r="N121" s="9">
        <f ca="1">AVERAGE(E121:OFFSET(E121,-N$5+1,0))</f>
        <v>6232.7405000000008</v>
      </c>
      <c r="O121" s="9">
        <f t="shared" ca="1" si="25"/>
        <v>0</v>
      </c>
      <c r="P121" s="14">
        <f t="shared" si="16"/>
        <v>-1.3577937871594603</v>
      </c>
      <c r="Q121" s="15">
        <f ca="1">STDEV(P121:OFFSET(P121,-$Q$5+1,0))</f>
        <v>0.70746151674706659</v>
      </c>
      <c r="R121" s="15">
        <f ca="1">STDEV(P121:OFFSET(P121,-$R$5+1,0))</f>
        <v>0.7445875515470195</v>
      </c>
      <c r="S121" s="18">
        <f t="shared" si="17"/>
        <v>144.03000000000065</v>
      </c>
      <c r="T121" s="18">
        <f t="shared" si="18"/>
        <v>144.03000000000065</v>
      </c>
      <c r="U121" s="18">
        <f t="shared" si="26"/>
        <v>66.270316141037398</v>
      </c>
      <c r="V121" s="33">
        <f ca="1">AVERAGE(E121:OFFSET(E121,-V$5+1,0))</f>
        <v>6282.6028571428569</v>
      </c>
      <c r="W121" s="33">
        <f t="shared" ca="1" si="19"/>
        <v>6382.0083313544128</v>
      </c>
      <c r="X121" s="33">
        <f t="shared" ca="1" si="20"/>
        <v>6183.197382931301</v>
      </c>
      <c r="Y121" s="32">
        <f t="shared" ca="1" si="27"/>
        <v>0</v>
      </c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</row>
    <row r="122" spans="1:50">
      <c r="A122" s="5">
        <v>38533</v>
      </c>
      <c r="B122" s="4">
        <v>6278.75</v>
      </c>
      <c r="C122" s="4">
        <v>6280.53</v>
      </c>
      <c r="D122" s="4">
        <v>6240.84</v>
      </c>
      <c r="E122" s="4">
        <v>6241.94</v>
      </c>
      <c r="F122" s="4">
        <v>2752600</v>
      </c>
      <c r="G122" s="8">
        <f t="shared" si="15"/>
        <v>47.100000000000364</v>
      </c>
      <c r="H122" s="8">
        <f t="shared" si="14"/>
        <v>-36.8100000000004</v>
      </c>
      <c r="I122" s="20">
        <f t="shared" ca="1" si="21"/>
        <v>0</v>
      </c>
      <c r="J122" s="8">
        <f t="shared" ca="1" si="22"/>
        <v>1</v>
      </c>
      <c r="K122" s="8">
        <f t="shared" ca="1" si="23"/>
        <v>10.289999999999964</v>
      </c>
      <c r="L122" s="8">
        <f t="shared" ca="1" si="24"/>
        <v>-41.770000000000437</v>
      </c>
      <c r="M122" s="9">
        <f ca="1">AVERAGE(E122:OFFSET(E122,-M$5+1,0))</f>
        <v>6303.4709999999995</v>
      </c>
      <c r="N122" s="9">
        <f ca="1">AVERAGE(E122:OFFSET(E122,-N$5+1,0))</f>
        <v>6242.8635000000004</v>
      </c>
      <c r="O122" s="9">
        <f t="shared" ca="1" si="25"/>
        <v>0</v>
      </c>
      <c r="P122" s="14">
        <f t="shared" si="16"/>
        <v>0.16498862531512429</v>
      </c>
      <c r="Q122" s="15">
        <f ca="1">STDEV(P122:OFFSET(P122,-$Q$5+1,0))</f>
        <v>0.68854208472292111</v>
      </c>
      <c r="R122" s="15">
        <f ca="1">STDEV(P122:OFFSET(P122,-$R$5+1,0))</f>
        <v>0.67539901000794689</v>
      </c>
      <c r="S122" s="18">
        <f t="shared" si="17"/>
        <v>39.6899999999996</v>
      </c>
      <c r="T122" s="18">
        <f t="shared" si="18"/>
        <v>48.880000000000109</v>
      </c>
      <c r="U122" s="18">
        <f t="shared" si="26"/>
        <v>63.951607322232427</v>
      </c>
      <c r="V122" s="33">
        <f ca="1">AVERAGE(E122:OFFSET(E122,-V$5+1,0))</f>
        <v>6286.1449999999995</v>
      </c>
      <c r="W122" s="33">
        <f t="shared" ca="1" si="19"/>
        <v>6382.0724109833482</v>
      </c>
      <c r="X122" s="33">
        <f t="shared" ca="1" si="20"/>
        <v>6190.2175890166509</v>
      </c>
      <c r="Y122" s="32">
        <f t="shared" ca="1" si="27"/>
        <v>0</v>
      </c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</row>
    <row r="123" spans="1:50">
      <c r="A123" s="5">
        <v>38534</v>
      </c>
      <c r="B123" s="4">
        <v>6240.08</v>
      </c>
      <c r="C123" s="4">
        <v>6275.48</v>
      </c>
      <c r="D123" s="4">
        <v>6195.17</v>
      </c>
      <c r="E123" s="4">
        <v>6272.14</v>
      </c>
      <c r="F123" s="4">
        <v>2739000</v>
      </c>
      <c r="G123" s="8">
        <f t="shared" si="15"/>
        <v>-1.8599999999996726</v>
      </c>
      <c r="H123" s="8">
        <f t="shared" si="14"/>
        <v>32.0600000000004</v>
      </c>
      <c r="I123" s="20">
        <f t="shared" ca="1" si="21"/>
        <v>0</v>
      </c>
      <c r="J123" s="8">
        <f t="shared" ca="1" si="22"/>
        <v>1</v>
      </c>
      <c r="K123" s="8">
        <f t="shared" ca="1" si="23"/>
        <v>30.200000000000728</v>
      </c>
      <c r="L123" s="8">
        <f t="shared" ca="1" si="24"/>
        <v>-11.569999999999709</v>
      </c>
      <c r="M123" s="9">
        <f ca="1">AVERAGE(E123:OFFSET(E123,-M$5+1,0))</f>
        <v>6301.3289999999997</v>
      </c>
      <c r="N123" s="9">
        <f ca="1">AVERAGE(E123:OFFSET(E123,-N$5+1,0))</f>
        <v>6251.0730000000003</v>
      </c>
      <c r="O123" s="9">
        <f t="shared" ca="1" si="25"/>
        <v>0</v>
      </c>
      <c r="P123" s="14">
        <f t="shared" si="16"/>
        <v>0.48265727289185006</v>
      </c>
      <c r="Q123" s="15">
        <f ca="1">STDEV(P123:OFFSET(P123,-$Q$5+1,0))</f>
        <v>0.70698648891798055</v>
      </c>
      <c r="R123" s="15">
        <f ca="1">STDEV(P123:OFFSET(P123,-$R$5+1,0))</f>
        <v>0.67197916318332074</v>
      </c>
      <c r="S123" s="18">
        <f t="shared" si="17"/>
        <v>80.309999999999491</v>
      </c>
      <c r="T123" s="18">
        <f t="shared" si="18"/>
        <v>80.309999999999491</v>
      </c>
      <c r="U123" s="18">
        <f t="shared" si="26"/>
        <v>66.132726345934699</v>
      </c>
      <c r="V123" s="33">
        <f ca="1">AVERAGE(E123:OFFSET(E123,-V$5+1,0))</f>
        <v>6289.08</v>
      </c>
      <c r="W123" s="33">
        <f t="shared" ca="1" si="19"/>
        <v>6388.2790895189019</v>
      </c>
      <c r="X123" s="33">
        <f t="shared" ca="1" si="20"/>
        <v>6189.880910481098</v>
      </c>
      <c r="Y123" s="32">
        <f t="shared" ca="1" si="27"/>
        <v>0</v>
      </c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</row>
    <row r="124" spans="1:50">
      <c r="A124" s="5">
        <v>38537</v>
      </c>
      <c r="B124" s="4">
        <v>6269.63</v>
      </c>
      <c r="C124" s="4">
        <v>6288.96</v>
      </c>
      <c r="D124" s="4">
        <v>6257.9</v>
      </c>
      <c r="E124" s="4">
        <v>6271.2</v>
      </c>
      <c r="F124" s="4">
        <v>2599200</v>
      </c>
      <c r="G124" s="8">
        <f t="shared" si="15"/>
        <v>-2.5100000000002183</v>
      </c>
      <c r="H124" s="8">
        <f t="shared" si="14"/>
        <v>1.569999999999709</v>
      </c>
      <c r="I124" s="20">
        <f t="shared" ca="1" si="21"/>
        <v>0</v>
      </c>
      <c r="J124" s="8">
        <f t="shared" ca="1" si="22"/>
        <v>1</v>
      </c>
      <c r="K124" s="8">
        <f t="shared" ca="1" si="23"/>
        <v>-0.94000000000050932</v>
      </c>
      <c r="L124" s="8">
        <f t="shared" ca="1" si="24"/>
        <v>-12.510000000000218</v>
      </c>
      <c r="M124" s="9">
        <f ca="1">AVERAGE(E124:OFFSET(E124,-M$5+1,0))</f>
        <v>6298.76</v>
      </c>
      <c r="N124" s="9">
        <f ca="1">AVERAGE(E124:OFFSET(E124,-N$5+1,0))</f>
        <v>6257.7545</v>
      </c>
      <c r="O124" s="9">
        <f t="shared" ca="1" si="25"/>
        <v>0</v>
      </c>
      <c r="P124" s="14">
        <f t="shared" si="16"/>
        <v>-1.4988033518349816E-2</v>
      </c>
      <c r="Q124" s="15">
        <f ca="1">STDEV(P124:OFFSET(P124,-$Q$5+1,0))</f>
        <v>0.70638405816105576</v>
      </c>
      <c r="R124" s="15">
        <f ca="1">STDEV(P124:OFFSET(P124,-$R$5+1,0))</f>
        <v>0.67195970748067091</v>
      </c>
      <c r="S124" s="18">
        <f t="shared" si="17"/>
        <v>31.0600000000004</v>
      </c>
      <c r="T124" s="18">
        <f t="shared" si="18"/>
        <v>31.0600000000004</v>
      </c>
      <c r="U124" s="18">
        <f t="shared" si="26"/>
        <v>61.456362833143459</v>
      </c>
      <c r="V124" s="33">
        <f ca="1">AVERAGE(E124:OFFSET(E124,-V$5+1,0))</f>
        <v>6293.7542857142853</v>
      </c>
      <c r="W124" s="33">
        <f t="shared" ca="1" si="19"/>
        <v>6385.9388299640004</v>
      </c>
      <c r="X124" s="33">
        <f t="shared" ca="1" si="20"/>
        <v>6201.5697414645701</v>
      </c>
      <c r="Y124" s="32">
        <f t="shared" ca="1" si="27"/>
        <v>0</v>
      </c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</row>
    <row r="125" spans="1:50">
      <c r="A125" s="5">
        <v>38538</v>
      </c>
      <c r="B125" s="4">
        <v>6269.78</v>
      </c>
      <c r="C125" s="4">
        <v>6279.2</v>
      </c>
      <c r="D125" s="4">
        <v>6232.04</v>
      </c>
      <c r="E125" s="4">
        <v>6232.04</v>
      </c>
      <c r="F125" s="4">
        <v>2839600</v>
      </c>
      <c r="G125" s="8">
        <f t="shared" si="15"/>
        <v>-1.4200000000000728</v>
      </c>
      <c r="H125" s="8">
        <f t="shared" si="14"/>
        <v>-37.739999999999782</v>
      </c>
      <c r="I125" s="20">
        <f t="shared" ca="1" si="21"/>
        <v>0</v>
      </c>
      <c r="J125" s="8">
        <f t="shared" ca="1" si="22"/>
        <v>1</v>
      </c>
      <c r="K125" s="8">
        <f t="shared" ca="1" si="23"/>
        <v>-39.159999999999854</v>
      </c>
      <c r="L125" s="8">
        <f t="shared" ca="1" si="24"/>
        <v>-51.670000000000073</v>
      </c>
      <c r="M125" s="9">
        <f ca="1">AVERAGE(E125:OFFSET(E125,-M$5+1,0))</f>
        <v>6294.1179999999995</v>
      </c>
      <c r="N125" s="9">
        <f ca="1">AVERAGE(E125:OFFSET(E125,-N$5+1,0))</f>
        <v>6264.0669999999991</v>
      </c>
      <c r="O125" s="9">
        <f t="shared" ca="1" si="25"/>
        <v>0</v>
      </c>
      <c r="P125" s="14">
        <f t="shared" si="16"/>
        <v>-0.62639968592890793</v>
      </c>
      <c r="Q125" s="15">
        <f ca="1">STDEV(P125:OFFSET(P125,-$Q$5+1,0))</f>
        <v>0.72716410340599802</v>
      </c>
      <c r="R125" s="15">
        <f ca="1">STDEV(P125:OFFSET(P125,-$R$5+1,0))</f>
        <v>0.67940199384687106</v>
      </c>
      <c r="S125" s="18">
        <f t="shared" si="17"/>
        <v>47.159999999999854</v>
      </c>
      <c r="T125" s="18">
        <f t="shared" si="18"/>
        <v>47.159999999999854</v>
      </c>
      <c r="U125" s="18">
        <f t="shared" si="26"/>
        <v>59.550181122057651</v>
      </c>
      <c r="V125" s="33">
        <f ca="1">AVERAGE(E125:OFFSET(E125,-V$5+1,0))</f>
        <v>6292.3214285714275</v>
      </c>
      <c r="W125" s="33">
        <f t="shared" ca="1" si="19"/>
        <v>6381.6467002545141</v>
      </c>
      <c r="X125" s="33">
        <f t="shared" ca="1" si="20"/>
        <v>6202.9961568883409</v>
      </c>
      <c r="Y125" s="32">
        <f t="shared" ca="1" si="27"/>
        <v>0</v>
      </c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</row>
    <row r="126" spans="1:50">
      <c r="A126" s="5">
        <v>38539</v>
      </c>
      <c r="B126" s="4">
        <v>6249.29</v>
      </c>
      <c r="C126" s="4">
        <v>6256.9</v>
      </c>
      <c r="D126" s="4">
        <v>6221.03</v>
      </c>
      <c r="E126" s="4">
        <v>6222.05</v>
      </c>
      <c r="F126" s="4">
        <v>3558600</v>
      </c>
      <c r="G126" s="8">
        <f t="shared" si="15"/>
        <v>17.25</v>
      </c>
      <c r="H126" s="8">
        <f t="shared" si="14"/>
        <v>-27.239999999999782</v>
      </c>
      <c r="I126" s="20">
        <f t="shared" ca="1" si="21"/>
        <v>0</v>
      </c>
      <c r="J126" s="8">
        <f t="shared" ca="1" si="22"/>
        <v>1</v>
      </c>
      <c r="K126" s="8">
        <f t="shared" ca="1" si="23"/>
        <v>-9.9899999999997817</v>
      </c>
      <c r="L126" s="8">
        <f t="shared" ca="1" si="24"/>
        <v>-61.659999999999854</v>
      </c>
      <c r="M126" s="9">
        <f ca="1">AVERAGE(E126:OFFSET(E126,-M$5+1,0))</f>
        <v>6280.54</v>
      </c>
      <c r="N126" s="9">
        <f ca="1">AVERAGE(E126:OFFSET(E126,-N$5+1,0))</f>
        <v>6267.0864999999994</v>
      </c>
      <c r="O126" s="9">
        <f t="shared" ca="1" si="25"/>
        <v>0</v>
      </c>
      <c r="P126" s="14">
        <f t="shared" si="16"/>
        <v>-0.16042925886436188</v>
      </c>
      <c r="Q126" s="15">
        <f ca="1">STDEV(P126:OFFSET(P126,-$Q$5+1,0))</f>
        <v>0.55733004804729847</v>
      </c>
      <c r="R126" s="15">
        <f ca="1">STDEV(P126:OFFSET(P126,-$R$5+1,0))</f>
        <v>0.67235222157572117</v>
      </c>
      <c r="S126" s="18">
        <f t="shared" si="17"/>
        <v>35.869999999999891</v>
      </c>
      <c r="T126" s="18">
        <f t="shared" si="18"/>
        <v>35.869999999999891</v>
      </c>
      <c r="U126" s="18">
        <f t="shared" si="26"/>
        <v>56.392823639116614</v>
      </c>
      <c r="V126" s="33">
        <f ca="1">AVERAGE(E126:OFFSET(E126,-V$5+1,0))</f>
        <v>6288.01</v>
      </c>
      <c r="W126" s="33">
        <f t="shared" ca="1" si="19"/>
        <v>6372.5992354586751</v>
      </c>
      <c r="X126" s="33">
        <f t="shared" ca="1" si="20"/>
        <v>6203.4207645413253</v>
      </c>
      <c r="Y126" s="32">
        <f t="shared" ca="1" si="27"/>
        <v>0</v>
      </c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</row>
    <row r="127" spans="1:50">
      <c r="A127" s="5">
        <v>38540</v>
      </c>
      <c r="B127" s="4">
        <v>6219.46</v>
      </c>
      <c r="C127" s="4">
        <v>6221.59</v>
      </c>
      <c r="D127" s="4">
        <v>6180.58</v>
      </c>
      <c r="E127" s="4">
        <v>6212.6</v>
      </c>
      <c r="F127" s="4">
        <v>3135600</v>
      </c>
      <c r="G127" s="8">
        <f t="shared" si="15"/>
        <v>-2.5900000000001455</v>
      </c>
      <c r="H127" s="8">
        <f t="shared" si="14"/>
        <v>-6.8599999999996726</v>
      </c>
      <c r="I127" s="20">
        <f t="shared" ca="1" si="21"/>
        <v>0</v>
      </c>
      <c r="J127" s="8">
        <f t="shared" ca="1" si="22"/>
        <v>1</v>
      </c>
      <c r="K127" s="8">
        <f t="shared" ca="1" si="23"/>
        <v>-9.4499999999998181</v>
      </c>
      <c r="L127" s="8">
        <f t="shared" ca="1" si="24"/>
        <v>-71.109999999999673</v>
      </c>
      <c r="M127" s="9">
        <f ca="1">AVERAGE(E127:OFFSET(E127,-M$5+1,0))</f>
        <v>6264.4139999999998</v>
      </c>
      <c r="N127" s="9">
        <f ca="1">AVERAGE(E127:OFFSET(E127,-N$5+1,0))</f>
        <v>6270.4205000000002</v>
      </c>
      <c r="O127" s="9">
        <f t="shared" ca="1" si="25"/>
        <v>-1</v>
      </c>
      <c r="P127" s="14">
        <f t="shared" si="16"/>
        <v>-0.15199465717670907</v>
      </c>
      <c r="Q127" s="15">
        <f ca="1">STDEV(P127:OFFSET(P127,-$Q$5+1,0))</f>
        <v>0.53381148862825811</v>
      </c>
      <c r="R127" s="15">
        <f ca="1">STDEV(P127:OFFSET(P127,-$R$5+1,0))</f>
        <v>0.67318029409607982</v>
      </c>
      <c r="S127" s="18">
        <f t="shared" si="17"/>
        <v>41.010000000000218</v>
      </c>
      <c r="T127" s="18">
        <f t="shared" si="18"/>
        <v>41.470000000000255</v>
      </c>
      <c r="U127" s="18">
        <f t="shared" si="26"/>
        <v>54.403113820567768</v>
      </c>
      <c r="V127" s="33">
        <f ca="1">AVERAGE(E127:OFFSET(E127,-V$5+1,0))</f>
        <v>6282.227142857143</v>
      </c>
      <c r="W127" s="33">
        <f t="shared" ca="1" si="19"/>
        <v>6363.8318135879945</v>
      </c>
      <c r="X127" s="33">
        <f t="shared" ca="1" si="20"/>
        <v>6200.6224721262915</v>
      </c>
      <c r="Y127" s="32">
        <f t="shared" ca="1" si="27"/>
        <v>0</v>
      </c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</row>
    <row r="128" spans="1:50">
      <c r="A128" s="5">
        <v>38541</v>
      </c>
      <c r="B128" s="4">
        <v>6199.79</v>
      </c>
      <c r="C128" s="4">
        <v>6230.51</v>
      </c>
      <c r="D128" s="4">
        <v>6186.79</v>
      </c>
      <c r="E128" s="4">
        <v>6201.4</v>
      </c>
      <c r="F128" s="4">
        <v>2969200</v>
      </c>
      <c r="G128" s="8">
        <f t="shared" si="15"/>
        <v>-12.8100000000004</v>
      </c>
      <c r="H128" s="8">
        <f t="shared" si="14"/>
        <v>1.6099999999996726</v>
      </c>
      <c r="I128" s="20">
        <f t="shared" ca="1" si="21"/>
        <v>0</v>
      </c>
      <c r="J128" s="8">
        <f t="shared" ca="1" si="22"/>
        <v>1</v>
      </c>
      <c r="K128" s="8">
        <f t="shared" ca="1" si="23"/>
        <v>-11.200000000000728</v>
      </c>
      <c r="L128" s="8">
        <f t="shared" ca="1" si="24"/>
        <v>-82.3100000000004</v>
      </c>
      <c r="M128" s="9">
        <f ca="1">AVERAGE(E128:OFFSET(E128,-M$5+1,0))</f>
        <v>6250.4849999999997</v>
      </c>
      <c r="N128" s="9">
        <f ca="1">AVERAGE(E128:OFFSET(E128,-N$5+1,0))</f>
        <v>6270.8729999999996</v>
      </c>
      <c r="O128" s="9">
        <f t="shared" ca="1" si="25"/>
        <v>0</v>
      </c>
      <c r="P128" s="14">
        <f t="shared" si="16"/>
        <v>-0.18044148604564064</v>
      </c>
      <c r="Q128" s="15">
        <f ca="1">STDEV(P128:OFFSET(P128,-$Q$5+1,0))</f>
        <v>0.52580052534684441</v>
      </c>
      <c r="R128" s="15">
        <f ca="1">STDEV(P128:OFFSET(P128,-$R$5+1,0))</f>
        <v>0.66573956917600385</v>
      </c>
      <c r="S128" s="18">
        <f t="shared" si="17"/>
        <v>43.720000000000255</v>
      </c>
      <c r="T128" s="18">
        <f t="shared" si="18"/>
        <v>43.720000000000255</v>
      </c>
      <c r="U128" s="18">
        <f t="shared" si="26"/>
        <v>52.978698644492098</v>
      </c>
      <c r="V128" s="33">
        <f ca="1">AVERAGE(E128:OFFSET(E128,-V$5+1,0))</f>
        <v>6275.4064285714285</v>
      </c>
      <c r="W128" s="33">
        <f t="shared" ca="1" si="19"/>
        <v>6354.8744765381671</v>
      </c>
      <c r="X128" s="33">
        <f t="shared" ca="1" si="20"/>
        <v>6195.9383806046899</v>
      </c>
      <c r="Y128" s="32">
        <f t="shared" ca="1" si="27"/>
        <v>0</v>
      </c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</row>
    <row r="129" spans="1:50">
      <c r="A129" s="5">
        <v>38544</v>
      </c>
      <c r="B129" s="4">
        <v>6255.4</v>
      </c>
      <c r="C129" s="4">
        <v>6305.61</v>
      </c>
      <c r="D129" s="4">
        <v>6249.41</v>
      </c>
      <c r="E129" s="4">
        <v>6298.86</v>
      </c>
      <c r="F129" s="4">
        <v>3622000</v>
      </c>
      <c r="G129" s="8">
        <f t="shared" si="15"/>
        <v>54</v>
      </c>
      <c r="H129" s="8">
        <f t="shared" si="14"/>
        <v>43.460000000000036</v>
      </c>
      <c r="I129" s="20">
        <f t="shared" ca="1" si="21"/>
        <v>0</v>
      </c>
      <c r="J129" s="8">
        <f t="shared" ca="1" si="22"/>
        <v>1</v>
      </c>
      <c r="K129" s="8">
        <f t="shared" ca="1" si="23"/>
        <v>97.460000000000036</v>
      </c>
      <c r="L129" s="8">
        <f t="shared" ca="1" si="24"/>
        <v>15.149999999999636</v>
      </c>
      <c r="M129" s="9">
        <f ca="1">AVERAGE(E129:OFFSET(E129,-M$5+1,0))</f>
        <v>6250.0720000000001</v>
      </c>
      <c r="N129" s="9">
        <f ca="1">AVERAGE(E129:OFFSET(E129,-N$5+1,0))</f>
        <v>6274.2634999999991</v>
      </c>
      <c r="O129" s="9">
        <f t="shared" ca="1" si="25"/>
        <v>0</v>
      </c>
      <c r="P129" s="14">
        <f t="shared" si="16"/>
        <v>1.5593591630457981</v>
      </c>
      <c r="Q129" s="15">
        <f ca="1">STDEV(P129:OFFSET(P129,-$Q$5+1,0))</f>
        <v>0.74960236473059982</v>
      </c>
      <c r="R129" s="15">
        <f ca="1">STDEV(P129:OFFSET(P129,-$R$5+1,0))</f>
        <v>0.6838634017729851</v>
      </c>
      <c r="S129" s="18">
        <f t="shared" si="17"/>
        <v>56.199999999999818</v>
      </c>
      <c r="T129" s="18">
        <f t="shared" si="18"/>
        <v>104.21000000000004</v>
      </c>
      <c r="U129" s="18">
        <f t="shared" si="26"/>
        <v>59.80953882522649</v>
      </c>
      <c r="V129" s="33">
        <f ca="1">AVERAGE(E129:OFFSET(E129,-V$5+1,0))</f>
        <v>6276.863571428571</v>
      </c>
      <c r="W129" s="33">
        <f t="shared" ca="1" si="19"/>
        <v>6366.5778796664108</v>
      </c>
      <c r="X129" s="33">
        <f t="shared" ca="1" si="20"/>
        <v>6187.1492631907313</v>
      </c>
      <c r="Y129" s="32">
        <f t="shared" ca="1" si="27"/>
        <v>0</v>
      </c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</row>
    <row r="130" spans="1:50">
      <c r="A130" s="5">
        <v>38545</v>
      </c>
      <c r="B130" s="4">
        <v>6337.5</v>
      </c>
      <c r="C130" s="4">
        <v>6365.76</v>
      </c>
      <c r="D130" s="4">
        <v>6337.5</v>
      </c>
      <c r="E130" s="4">
        <v>6358.81</v>
      </c>
      <c r="F130" s="4">
        <v>4042400</v>
      </c>
      <c r="G130" s="8">
        <f t="shared" si="15"/>
        <v>38.640000000000327</v>
      </c>
      <c r="H130" s="8">
        <f t="shared" si="14"/>
        <v>21.3100000000004</v>
      </c>
      <c r="I130" s="20">
        <f t="shared" ca="1" si="21"/>
        <v>0</v>
      </c>
      <c r="J130" s="8">
        <f t="shared" ca="1" si="22"/>
        <v>1</v>
      </c>
      <c r="K130" s="8">
        <f t="shared" ca="1" si="23"/>
        <v>59.950000000000728</v>
      </c>
      <c r="L130" s="8">
        <f t="shared" ca="1" si="24"/>
        <v>75.100000000000364</v>
      </c>
      <c r="M130" s="9">
        <f ca="1">AVERAGE(E130:OFFSET(E130,-M$5+1,0))</f>
        <v>6254.2690000000002</v>
      </c>
      <c r="N130" s="9">
        <f ca="1">AVERAGE(E130:OFFSET(E130,-N$5+1,0))</f>
        <v>6281.9159999999993</v>
      </c>
      <c r="O130" s="9">
        <f t="shared" ca="1" si="25"/>
        <v>0</v>
      </c>
      <c r="P130" s="14">
        <f t="shared" si="16"/>
        <v>0.94725882844313924</v>
      </c>
      <c r="Q130" s="15">
        <f ca="1">STDEV(P130:OFFSET(P130,-$Q$5+1,0))</f>
        <v>0.80710942896584381</v>
      </c>
      <c r="R130" s="15">
        <f ca="1">STDEV(P130:OFFSET(P130,-$R$5+1,0))</f>
        <v>0.68569012943188989</v>
      </c>
      <c r="S130" s="18">
        <f t="shared" si="17"/>
        <v>28.260000000000218</v>
      </c>
      <c r="T130" s="18">
        <f t="shared" si="18"/>
        <v>66.900000000000546</v>
      </c>
      <c r="U130" s="18">
        <f t="shared" si="26"/>
        <v>60.7549336485297</v>
      </c>
      <c r="V130" s="33">
        <f ca="1">AVERAGE(E130:OFFSET(E130,-V$5+1,0))</f>
        <v>6276.9335714285708</v>
      </c>
      <c r="W130" s="33">
        <f t="shared" ca="1" si="19"/>
        <v>6368.0659719013656</v>
      </c>
      <c r="X130" s="33">
        <f t="shared" ca="1" si="20"/>
        <v>6185.8011709557759</v>
      </c>
      <c r="Y130" s="32">
        <f t="shared" ca="1" si="27"/>
        <v>0</v>
      </c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</row>
    <row r="131" spans="1:50">
      <c r="A131" s="5">
        <v>38546</v>
      </c>
      <c r="B131" s="4">
        <v>6360.6</v>
      </c>
      <c r="C131" s="4">
        <v>6406.99</v>
      </c>
      <c r="D131" s="4">
        <v>6352.21</v>
      </c>
      <c r="E131" s="4">
        <v>6377.09</v>
      </c>
      <c r="F131" s="4">
        <v>4290600</v>
      </c>
      <c r="G131" s="8">
        <f t="shared" si="15"/>
        <v>1.7899999999999636</v>
      </c>
      <c r="H131" s="8">
        <f t="shared" si="14"/>
        <v>16.489999999999782</v>
      </c>
      <c r="I131" s="20">
        <f t="shared" ca="1" si="21"/>
        <v>1</v>
      </c>
      <c r="J131" s="8">
        <f t="shared" ca="1" si="22"/>
        <v>1</v>
      </c>
      <c r="K131" s="8">
        <f t="shared" ca="1" si="23"/>
        <v>18.279999999999745</v>
      </c>
      <c r="L131" s="8">
        <f t="shared" ca="1" si="24"/>
        <v>93.380000000000109</v>
      </c>
      <c r="M131" s="9">
        <f ca="1">AVERAGE(E131:OFFSET(E131,-M$5+1,0))</f>
        <v>6268.8130000000001</v>
      </c>
      <c r="N131" s="9">
        <f ca="1">AVERAGE(E131:OFFSET(E131,-N$5+1,0))</f>
        <v>6288.1654999999992</v>
      </c>
      <c r="O131" s="9">
        <f t="shared" ca="1" si="25"/>
        <v>0</v>
      </c>
      <c r="P131" s="14">
        <f t="shared" si="16"/>
        <v>0.28706275258176112</v>
      </c>
      <c r="Q131" s="15">
        <f ca="1">STDEV(P131:OFFSET(P131,-$Q$5+1,0))</f>
        <v>0.63361625596274762</v>
      </c>
      <c r="R131" s="15">
        <f ca="1">STDEV(P131:OFFSET(P131,-$R$5+1,0))</f>
        <v>0.68470137911636852</v>
      </c>
      <c r="S131" s="18">
        <f t="shared" si="17"/>
        <v>54.779999999999745</v>
      </c>
      <c r="T131" s="18">
        <f t="shared" si="18"/>
        <v>54.779999999999745</v>
      </c>
      <c r="U131" s="18">
        <f t="shared" si="26"/>
        <v>59.958275828725711</v>
      </c>
      <c r="V131" s="33">
        <f ca="1">AVERAGE(E131:OFFSET(E131,-V$5+1,0))</f>
        <v>6277.1642857142851</v>
      </c>
      <c r="W131" s="33">
        <f t="shared" ca="1" si="19"/>
        <v>6367.1016994573738</v>
      </c>
      <c r="X131" s="33">
        <f t="shared" ca="1" si="20"/>
        <v>6187.2268719711965</v>
      </c>
      <c r="Y131" s="32">
        <f t="shared" ca="1" si="27"/>
        <v>1</v>
      </c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</row>
    <row r="132" spans="1:50">
      <c r="A132" s="5">
        <v>38547</v>
      </c>
      <c r="B132" s="4">
        <v>6403.08</v>
      </c>
      <c r="C132" s="4">
        <v>6427.32</v>
      </c>
      <c r="D132" s="4">
        <v>6375.75</v>
      </c>
      <c r="E132" s="4">
        <v>6418.35</v>
      </c>
      <c r="F132" s="4">
        <v>4243600</v>
      </c>
      <c r="G132" s="8">
        <f t="shared" si="15"/>
        <v>25.989999999999782</v>
      </c>
      <c r="H132" s="8">
        <f t="shared" ref="H132:H195" si="28">E132-B132</f>
        <v>15.270000000000437</v>
      </c>
      <c r="I132" s="20">
        <f t="shared" ca="1" si="21"/>
        <v>0</v>
      </c>
      <c r="J132" s="8">
        <f t="shared" ca="1" si="22"/>
        <v>2</v>
      </c>
      <c r="K132" s="8">
        <f t="shared" ca="1" si="23"/>
        <v>56.530000000000655</v>
      </c>
      <c r="L132" s="8">
        <f t="shared" ca="1" si="24"/>
        <v>149.91000000000076</v>
      </c>
      <c r="M132" s="9">
        <f ca="1">AVERAGE(E132:OFFSET(E132,-M$5+1,0))</f>
        <v>6286.4539999999997</v>
      </c>
      <c r="N132" s="9">
        <f ca="1">AVERAGE(E132:OFFSET(E132,-N$5+1,0))</f>
        <v>6294.9624999999996</v>
      </c>
      <c r="O132" s="9">
        <f t="shared" ca="1" si="25"/>
        <v>0</v>
      </c>
      <c r="P132" s="14">
        <f t="shared" si="16"/>
        <v>0.6449194870587367</v>
      </c>
      <c r="Q132" s="15">
        <f ca="1">STDEV(P132:OFFSET(P132,-$Q$5+1,0))</f>
        <v>0.64613770607427223</v>
      </c>
      <c r="R132" s="15">
        <f ca="1">STDEV(P132:OFFSET(P132,-$R$5+1,0))</f>
        <v>0.66316425309028693</v>
      </c>
      <c r="S132" s="18">
        <f t="shared" si="17"/>
        <v>51.569999999999709</v>
      </c>
      <c r="T132" s="18">
        <f t="shared" si="18"/>
        <v>51.569999999999709</v>
      </c>
      <c r="U132" s="18">
        <f t="shared" si="26"/>
        <v>58.839839051562244</v>
      </c>
      <c r="V132" s="33">
        <f ca="1">AVERAGE(E132:OFFSET(E132,-V$5+1,0))</f>
        <v>6282.7114285714279</v>
      </c>
      <c r="W132" s="33">
        <f t="shared" ca="1" si="19"/>
        <v>6370.9711871487716</v>
      </c>
      <c r="X132" s="33">
        <f t="shared" ca="1" si="20"/>
        <v>6194.4516699940841</v>
      </c>
      <c r="Y132" s="32">
        <f t="shared" ca="1" si="27"/>
        <v>0</v>
      </c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</row>
    <row r="133" spans="1:50">
      <c r="A133" s="5">
        <v>38548</v>
      </c>
      <c r="B133" s="4">
        <v>6428.44</v>
      </c>
      <c r="C133" s="4">
        <v>6454.33</v>
      </c>
      <c r="D133" s="4">
        <v>6410.59</v>
      </c>
      <c r="E133" s="4">
        <v>6410.59</v>
      </c>
      <c r="F133" s="4">
        <v>4524800</v>
      </c>
      <c r="G133" s="8">
        <f t="shared" ref="G133:G196" si="29">B133-E132</f>
        <v>10.089999999999236</v>
      </c>
      <c r="H133" s="8">
        <f t="shared" si="28"/>
        <v>-17.849999999999454</v>
      </c>
      <c r="I133" s="20">
        <f t="shared" ca="1" si="21"/>
        <v>0</v>
      </c>
      <c r="J133" s="8">
        <f t="shared" ca="1" si="22"/>
        <v>2</v>
      </c>
      <c r="K133" s="8">
        <f t="shared" ca="1" si="23"/>
        <v>-15.520000000000437</v>
      </c>
      <c r="L133" s="8">
        <f t="shared" ca="1" si="24"/>
        <v>134.39000000000033</v>
      </c>
      <c r="M133" s="9">
        <f ca="1">AVERAGE(E133:OFFSET(E133,-M$5+1,0))</f>
        <v>6300.2990000000009</v>
      </c>
      <c r="N133" s="9">
        <f ca="1">AVERAGE(E133:OFFSET(E133,-N$5+1,0))</f>
        <v>6300.8140000000003</v>
      </c>
      <c r="O133" s="9">
        <f t="shared" ca="1" si="25"/>
        <v>0</v>
      </c>
      <c r="P133" s="14">
        <f t="shared" ref="P133:P196" si="30">100*LN(E133/E132)</f>
        <v>-0.12097649449474283</v>
      </c>
      <c r="Q133" s="15">
        <f ca="1">STDEV(P133:OFFSET(P133,-$Q$5+1,0))</f>
        <v>0.65312507773991768</v>
      </c>
      <c r="R133" s="15">
        <f ca="1">STDEV(P133:OFFSET(P133,-$R$5+1,0))</f>
        <v>0.66100553956564922</v>
      </c>
      <c r="S133" s="18">
        <f t="shared" si="17"/>
        <v>43.739999999999782</v>
      </c>
      <c r="T133" s="18">
        <f t="shared" si="18"/>
        <v>43.739999999999782</v>
      </c>
      <c r="U133" s="18">
        <f t="shared" si="26"/>
        <v>56.826527178020584</v>
      </c>
      <c r="V133" s="33">
        <f ca="1">AVERAGE(E133:OFFSET(E133,-V$5+1,0))</f>
        <v>6290.3971428571431</v>
      </c>
      <c r="W133" s="33">
        <f t="shared" ca="1" si="19"/>
        <v>6375.6369336241742</v>
      </c>
      <c r="X133" s="33">
        <f t="shared" ca="1" si="20"/>
        <v>6205.157352090112</v>
      </c>
      <c r="Y133" s="32">
        <f t="shared" ca="1" si="27"/>
        <v>0</v>
      </c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</row>
    <row r="134" spans="1:50">
      <c r="A134" s="5">
        <v>38552</v>
      </c>
      <c r="B134" s="4">
        <v>6403.71</v>
      </c>
      <c r="C134" s="4">
        <v>6432.58</v>
      </c>
      <c r="D134" s="4">
        <v>6387.86</v>
      </c>
      <c r="E134" s="4">
        <v>6416.34</v>
      </c>
      <c r="F134" s="4">
        <v>3736400</v>
      </c>
      <c r="G134" s="8">
        <f t="shared" si="29"/>
        <v>-6.8800000000001091</v>
      </c>
      <c r="H134" s="8">
        <f t="shared" si="28"/>
        <v>12.630000000000109</v>
      </c>
      <c r="I134" s="20">
        <f t="shared" ca="1" si="21"/>
        <v>0</v>
      </c>
      <c r="J134" s="8">
        <f t="shared" ca="1" si="22"/>
        <v>2</v>
      </c>
      <c r="K134" s="8">
        <f t="shared" ca="1" si="23"/>
        <v>11.5</v>
      </c>
      <c r="L134" s="8">
        <f t="shared" ca="1" si="24"/>
        <v>145.89000000000033</v>
      </c>
      <c r="M134" s="9">
        <f ca="1">AVERAGE(E134:OFFSET(E134,-M$5+1,0))</f>
        <v>6314.8130000000001</v>
      </c>
      <c r="N134" s="9">
        <f ca="1">AVERAGE(E134:OFFSET(E134,-N$5+1,0))</f>
        <v>6306.7865000000002</v>
      </c>
      <c r="O134" s="9">
        <f t="shared" ca="1" si="25"/>
        <v>1</v>
      </c>
      <c r="P134" s="14">
        <f t="shared" si="30"/>
        <v>8.9655130029655292E-2</v>
      </c>
      <c r="Q134" s="15">
        <f ca="1">STDEV(P134:OFFSET(P134,-$Q$5+1,0))</f>
        <v>0.64980122814653751</v>
      </c>
      <c r="R134" s="15">
        <f ca="1">STDEV(P134:OFFSET(P134,-$R$5+1,0))</f>
        <v>0.62380474155607302</v>
      </c>
      <c r="S134" s="18">
        <f t="shared" si="17"/>
        <v>44.720000000000255</v>
      </c>
      <c r="T134" s="18">
        <f t="shared" si="18"/>
        <v>44.720000000000255</v>
      </c>
      <c r="U134" s="18">
        <f t="shared" si="26"/>
        <v>55.212323554284538</v>
      </c>
      <c r="V134" s="33">
        <f ca="1">AVERAGE(E134:OFFSET(E134,-V$5+1,0))</f>
        <v>6297.5042857142853</v>
      </c>
      <c r="W134" s="33">
        <f t="shared" ca="1" si="19"/>
        <v>6380.3227710457122</v>
      </c>
      <c r="X134" s="33">
        <f t="shared" ca="1" si="20"/>
        <v>6214.6858003828584</v>
      </c>
      <c r="Y134" s="32">
        <f t="shared" ca="1" si="27"/>
        <v>0</v>
      </c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</row>
    <row r="135" spans="1:50">
      <c r="A135" s="5">
        <v>38553</v>
      </c>
      <c r="B135" s="4">
        <v>6438.22</v>
      </c>
      <c r="C135" s="4">
        <v>6480.97</v>
      </c>
      <c r="D135" s="4">
        <v>6415.78</v>
      </c>
      <c r="E135" s="4">
        <v>6423.81</v>
      </c>
      <c r="F135" s="4">
        <v>5118600</v>
      </c>
      <c r="G135" s="8">
        <f t="shared" si="29"/>
        <v>21.880000000000109</v>
      </c>
      <c r="H135" s="8">
        <f t="shared" si="28"/>
        <v>-14.409999999999854</v>
      </c>
      <c r="I135" s="20">
        <f t="shared" ca="1" si="21"/>
        <v>0</v>
      </c>
      <c r="J135" s="8">
        <f t="shared" ca="1" si="22"/>
        <v>2</v>
      </c>
      <c r="K135" s="8">
        <f t="shared" ca="1" si="23"/>
        <v>14.940000000000509</v>
      </c>
      <c r="L135" s="8">
        <f t="shared" ca="1" si="24"/>
        <v>160.83000000000084</v>
      </c>
      <c r="M135" s="9">
        <f ca="1">AVERAGE(E135:OFFSET(E135,-M$5+1,0))</f>
        <v>6333.99</v>
      </c>
      <c r="N135" s="9">
        <f ca="1">AVERAGE(E135:OFFSET(E135,-N$5+1,0))</f>
        <v>6314.0539999999992</v>
      </c>
      <c r="O135" s="9">
        <f t="shared" ca="1" si="25"/>
        <v>0</v>
      </c>
      <c r="P135" s="14">
        <f t="shared" si="30"/>
        <v>0.11635379404062074</v>
      </c>
      <c r="Q135" s="15">
        <f ca="1">STDEV(P135:OFFSET(P135,-$Q$5+1,0))</f>
        <v>0.57987374596161023</v>
      </c>
      <c r="R135" s="15">
        <f ca="1">STDEV(P135:OFFSET(P135,-$R$5+1,0))</f>
        <v>0.62326225245254585</v>
      </c>
      <c r="S135" s="18">
        <f t="shared" si="17"/>
        <v>65.190000000000509</v>
      </c>
      <c r="T135" s="18">
        <f t="shared" si="18"/>
        <v>65.190000000000509</v>
      </c>
      <c r="U135" s="18">
        <f t="shared" si="26"/>
        <v>56.542680413713342</v>
      </c>
      <c r="V135" s="33">
        <f ca="1">AVERAGE(E135:OFFSET(E135,-V$5+1,0))</f>
        <v>6311.2300000000005</v>
      </c>
      <c r="W135" s="33">
        <f t="shared" ca="1" si="19"/>
        <v>6396.0440206205703</v>
      </c>
      <c r="X135" s="33">
        <f t="shared" ca="1" si="20"/>
        <v>6226.4159793794306</v>
      </c>
      <c r="Y135" s="32">
        <f t="shared" ca="1" si="27"/>
        <v>0</v>
      </c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</row>
    <row r="136" spans="1:50">
      <c r="A136" s="5">
        <v>38554</v>
      </c>
      <c r="B136" s="4">
        <v>6344.84</v>
      </c>
      <c r="C136" s="4">
        <v>6478.64</v>
      </c>
      <c r="D136" s="4">
        <v>6344.84</v>
      </c>
      <c r="E136" s="4">
        <v>6394.03</v>
      </c>
      <c r="F136" s="4">
        <v>4379000</v>
      </c>
      <c r="G136" s="8">
        <f t="shared" si="29"/>
        <v>-78.970000000000255</v>
      </c>
      <c r="H136" s="8">
        <f t="shared" si="28"/>
        <v>49.1899999999996</v>
      </c>
      <c r="I136" s="20">
        <f t="shared" ca="1" si="21"/>
        <v>0</v>
      </c>
      <c r="J136" s="8">
        <f t="shared" ca="1" si="22"/>
        <v>2</v>
      </c>
      <c r="K136" s="8">
        <f t="shared" ca="1" si="23"/>
        <v>-59.56000000000131</v>
      </c>
      <c r="L136" s="8">
        <f t="shared" ca="1" si="24"/>
        <v>101.26999999999953</v>
      </c>
      <c r="M136" s="9">
        <f ca="1">AVERAGE(E136:OFFSET(E136,-M$5+1,0))</f>
        <v>6351.1879999999992</v>
      </c>
      <c r="N136" s="9">
        <f ca="1">AVERAGE(E136:OFFSET(E136,-N$5+1,0))</f>
        <v>6315.8639999999996</v>
      </c>
      <c r="O136" s="9">
        <f t="shared" ca="1" si="25"/>
        <v>0</v>
      </c>
      <c r="P136" s="14">
        <f t="shared" si="30"/>
        <v>-0.46466570939712132</v>
      </c>
      <c r="Q136" s="15">
        <f ca="1">STDEV(P136:OFFSET(P136,-$Q$5+1,0))</f>
        <v>0.61387808403596622</v>
      </c>
      <c r="R136" s="15">
        <f ca="1">STDEV(P136:OFFSET(P136,-$R$5+1,0))</f>
        <v>0.62618449627227268</v>
      </c>
      <c r="S136" s="18">
        <f t="shared" si="17"/>
        <v>133.80000000000018</v>
      </c>
      <c r="T136" s="18">
        <f t="shared" si="18"/>
        <v>133.80000000000018</v>
      </c>
      <c r="U136" s="18">
        <f t="shared" si="26"/>
        <v>66.843656358551584</v>
      </c>
      <c r="V136" s="33">
        <f ca="1">AVERAGE(E136:OFFSET(E136,-V$5+1,0))</f>
        <v>6322.0935714285715</v>
      </c>
      <c r="W136" s="33">
        <f t="shared" ca="1" si="19"/>
        <v>6422.359055966399</v>
      </c>
      <c r="X136" s="33">
        <f t="shared" ca="1" si="20"/>
        <v>6221.8280868907441</v>
      </c>
      <c r="Y136" s="32">
        <f t="shared" ca="1" si="27"/>
        <v>0</v>
      </c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</row>
    <row r="137" spans="1:50">
      <c r="A137" s="5">
        <v>38555</v>
      </c>
      <c r="B137" s="4">
        <v>6412.87</v>
      </c>
      <c r="C137" s="4">
        <v>6415.43</v>
      </c>
      <c r="D137" s="4">
        <v>6365.38</v>
      </c>
      <c r="E137" s="4">
        <v>6380.73</v>
      </c>
      <c r="F137" s="4">
        <v>3899000</v>
      </c>
      <c r="G137" s="8">
        <f t="shared" si="29"/>
        <v>18.840000000000146</v>
      </c>
      <c r="H137" s="8">
        <f t="shared" si="28"/>
        <v>-32.140000000000327</v>
      </c>
      <c r="I137" s="20">
        <f t="shared" ca="1" si="21"/>
        <v>0</v>
      </c>
      <c r="J137" s="8">
        <f t="shared" ca="1" si="22"/>
        <v>2</v>
      </c>
      <c r="K137" s="8">
        <f t="shared" ca="1" si="23"/>
        <v>-26.600000000000364</v>
      </c>
      <c r="L137" s="8">
        <f t="shared" ca="1" si="24"/>
        <v>74.669999999999163</v>
      </c>
      <c r="M137" s="9">
        <f ca="1">AVERAGE(E137:OFFSET(E137,-M$5+1,0))</f>
        <v>6368.0009999999993</v>
      </c>
      <c r="N137" s="9">
        <f ca="1">AVERAGE(E137:OFFSET(E137,-N$5+1,0))</f>
        <v>6316.2074999999986</v>
      </c>
      <c r="O137" s="9">
        <f t="shared" ca="1" si="25"/>
        <v>0</v>
      </c>
      <c r="P137" s="14">
        <f t="shared" si="30"/>
        <v>-0.2082231651379442</v>
      </c>
      <c r="Q137" s="15">
        <f ca="1">STDEV(P137:OFFSET(P137,-$Q$5+1,0))</f>
        <v>0.61844040551534507</v>
      </c>
      <c r="R137" s="15">
        <f ca="1">STDEV(P137:OFFSET(P137,-$R$5+1,0))</f>
        <v>0.62030998919717584</v>
      </c>
      <c r="S137" s="18">
        <f t="shared" si="17"/>
        <v>50.050000000000182</v>
      </c>
      <c r="T137" s="18">
        <f t="shared" si="18"/>
        <v>50.050000000000182</v>
      </c>
      <c r="U137" s="18">
        <f t="shared" si="26"/>
        <v>64.604502177411405</v>
      </c>
      <c r="V137" s="33">
        <f ca="1">AVERAGE(E137:OFFSET(E137,-V$5+1,0))</f>
        <v>6329.8499999999995</v>
      </c>
      <c r="W137" s="33">
        <f t="shared" ca="1" si="19"/>
        <v>6426.7567532661169</v>
      </c>
      <c r="X137" s="33">
        <f t="shared" ca="1" si="20"/>
        <v>6232.943246733882</v>
      </c>
      <c r="Y137" s="32">
        <f t="shared" ca="1" si="27"/>
        <v>0</v>
      </c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</row>
    <row r="138" spans="1:50">
      <c r="A138" s="5">
        <v>38558</v>
      </c>
      <c r="B138" s="4">
        <v>6406.45</v>
      </c>
      <c r="C138" s="4">
        <v>6434.45</v>
      </c>
      <c r="D138" s="4">
        <v>6400.11</v>
      </c>
      <c r="E138" s="4">
        <v>6420.45</v>
      </c>
      <c r="F138" s="4">
        <v>3729800</v>
      </c>
      <c r="G138" s="8">
        <f t="shared" si="29"/>
        <v>25.720000000000255</v>
      </c>
      <c r="H138" s="8">
        <f t="shared" si="28"/>
        <v>14</v>
      </c>
      <c r="I138" s="20">
        <f t="shared" ca="1" si="21"/>
        <v>0</v>
      </c>
      <c r="J138" s="8">
        <f t="shared" ca="1" si="22"/>
        <v>2</v>
      </c>
      <c r="K138" s="8">
        <f t="shared" ca="1" si="23"/>
        <v>79.440000000000509</v>
      </c>
      <c r="L138" s="8">
        <f t="shared" ca="1" si="24"/>
        <v>154.10999999999967</v>
      </c>
      <c r="M138" s="9">
        <f ca="1">AVERAGE(E138:OFFSET(E138,-M$5+1,0))</f>
        <v>6389.9059999999999</v>
      </c>
      <c r="N138" s="9">
        <f ca="1">AVERAGE(E138:OFFSET(E138,-N$5+1,0))</f>
        <v>6320.1954999999989</v>
      </c>
      <c r="O138" s="9">
        <f t="shared" ca="1" si="25"/>
        <v>0</v>
      </c>
      <c r="P138" s="14">
        <f t="shared" si="30"/>
        <v>0.62056978294637877</v>
      </c>
      <c r="Q138" s="15">
        <f ca="1">STDEV(P138:OFFSET(P138,-$Q$5+1,0))</f>
        <v>0.60578820923904397</v>
      </c>
      <c r="R138" s="15">
        <f ca="1">STDEV(P138:OFFSET(P138,-$R$5+1,0))</f>
        <v>0.61430023215134022</v>
      </c>
      <c r="S138" s="18">
        <f t="shared" si="17"/>
        <v>34.340000000000146</v>
      </c>
      <c r="T138" s="18">
        <f t="shared" si="18"/>
        <v>53.720000000000255</v>
      </c>
      <c r="U138" s="18">
        <f t="shared" si="26"/>
        <v>63.153235220423255</v>
      </c>
      <c r="V138" s="33">
        <f ca="1">AVERAGE(E138:OFFSET(E138,-V$5+1,0))</f>
        <v>6340.5107142857141</v>
      </c>
      <c r="W138" s="33">
        <f t="shared" ca="1" si="19"/>
        <v>6435.2405671163488</v>
      </c>
      <c r="X138" s="33">
        <f t="shared" ca="1" si="20"/>
        <v>6245.7808614550795</v>
      </c>
      <c r="Y138" s="32">
        <f t="shared" ca="1" si="27"/>
        <v>0</v>
      </c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</row>
    <row r="139" spans="1:50">
      <c r="A139" s="5">
        <v>38559</v>
      </c>
      <c r="B139" s="4">
        <v>6416.22</v>
      </c>
      <c r="C139" s="4">
        <v>6439.98</v>
      </c>
      <c r="D139" s="4">
        <v>6366.16</v>
      </c>
      <c r="E139" s="4">
        <v>6366.16</v>
      </c>
      <c r="F139" s="4">
        <v>4096600</v>
      </c>
      <c r="G139" s="8">
        <f t="shared" si="29"/>
        <v>-4.2299999999995634</v>
      </c>
      <c r="H139" s="8">
        <f t="shared" si="28"/>
        <v>-50.0600000000004</v>
      </c>
      <c r="I139" s="20">
        <f t="shared" ca="1" si="21"/>
        <v>0</v>
      </c>
      <c r="J139" s="8">
        <f t="shared" ca="1" si="22"/>
        <v>2</v>
      </c>
      <c r="K139" s="8">
        <f t="shared" ca="1" si="23"/>
        <v>-108.57999999999993</v>
      </c>
      <c r="L139" s="8">
        <f t="shared" ca="1" si="24"/>
        <v>45.529999999999745</v>
      </c>
      <c r="M139" s="9">
        <f ca="1">AVERAGE(E139:OFFSET(E139,-M$5+1,0))</f>
        <v>6396.6360000000004</v>
      </c>
      <c r="N139" s="9">
        <f ca="1">AVERAGE(E139:OFFSET(E139,-N$5+1,0))</f>
        <v>6323.3539999999994</v>
      </c>
      <c r="O139" s="9">
        <f t="shared" ca="1" si="25"/>
        <v>0</v>
      </c>
      <c r="P139" s="14">
        <f t="shared" si="30"/>
        <v>-0.84917466374878925</v>
      </c>
      <c r="Q139" s="15">
        <f ca="1">STDEV(P139:OFFSET(P139,-$Q$5+1,0))</f>
        <v>0.54613414222144185</v>
      </c>
      <c r="R139" s="15">
        <f ca="1">STDEV(P139:OFFSET(P139,-$R$5+1,0))</f>
        <v>0.63473659394442383</v>
      </c>
      <c r="S139" s="18">
        <f t="shared" si="17"/>
        <v>73.819999999999709</v>
      </c>
      <c r="T139" s="18">
        <f t="shared" si="18"/>
        <v>73.819999999999709</v>
      </c>
      <c r="U139" s="18">
        <f t="shared" si="26"/>
        <v>64.575470524366779</v>
      </c>
      <c r="V139" s="33">
        <f ca="1">AVERAGE(E139:OFFSET(E139,-V$5+1,0))</f>
        <v>6350.0907142857131</v>
      </c>
      <c r="W139" s="33">
        <f t="shared" ca="1" si="19"/>
        <v>6446.9539200722629</v>
      </c>
      <c r="X139" s="33">
        <f t="shared" ca="1" si="20"/>
        <v>6253.2275084991634</v>
      </c>
      <c r="Y139" s="32">
        <f t="shared" ca="1" si="27"/>
        <v>0</v>
      </c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</row>
    <row r="140" spans="1:50">
      <c r="A140" s="5">
        <v>38560</v>
      </c>
      <c r="B140" s="4">
        <v>6364.01</v>
      </c>
      <c r="C140" s="4">
        <v>6376.05</v>
      </c>
      <c r="D140" s="4">
        <v>6305.93</v>
      </c>
      <c r="E140" s="4">
        <v>6327.25</v>
      </c>
      <c r="F140" s="4">
        <v>3693600</v>
      </c>
      <c r="G140" s="8">
        <f t="shared" si="29"/>
        <v>-2.1499999999996362</v>
      </c>
      <c r="H140" s="8">
        <f t="shared" si="28"/>
        <v>-36.760000000000218</v>
      </c>
      <c r="I140" s="20">
        <f t="shared" ca="1" si="21"/>
        <v>0</v>
      </c>
      <c r="J140" s="8">
        <f t="shared" ca="1" si="22"/>
        <v>2</v>
      </c>
      <c r="K140" s="8">
        <f t="shared" ca="1" si="23"/>
        <v>-77.819999999999709</v>
      </c>
      <c r="L140" s="8">
        <f t="shared" ca="1" si="24"/>
        <v>-32.289999999999964</v>
      </c>
      <c r="M140" s="9">
        <f ca="1">AVERAGE(E140:OFFSET(E140,-M$5+1,0))</f>
        <v>6393.4800000000005</v>
      </c>
      <c r="N140" s="9">
        <f ca="1">AVERAGE(E140:OFFSET(E140,-N$5+1,0))</f>
        <v>6323.8744999999999</v>
      </c>
      <c r="O140" s="9">
        <f t="shared" ca="1" si="25"/>
        <v>0</v>
      </c>
      <c r="P140" s="14">
        <f t="shared" si="30"/>
        <v>-0.6130759484364765</v>
      </c>
      <c r="Q140" s="15">
        <f ca="1">STDEV(P140:OFFSET(P140,-$Q$5+1,0))</f>
        <v>0.50012435331568728</v>
      </c>
      <c r="R140" s="15">
        <f ca="1">STDEV(P140:OFFSET(P140,-$R$5+1,0))</f>
        <v>0.64576496477204881</v>
      </c>
      <c r="S140" s="18">
        <f t="shared" si="17"/>
        <v>70.119999999999891</v>
      </c>
      <c r="T140" s="18">
        <f t="shared" si="18"/>
        <v>70.119999999999891</v>
      </c>
      <c r="U140" s="18">
        <f t="shared" si="26"/>
        <v>65.314741121117862</v>
      </c>
      <c r="V140" s="33">
        <f ca="1">AVERAGE(E140:OFFSET(E140,-V$5+1,0))</f>
        <v>6357.6049999999987</v>
      </c>
      <c r="W140" s="33">
        <f t="shared" ca="1" si="19"/>
        <v>6455.5771116816759</v>
      </c>
      <c r="X140" s="33">
        <f t="shared" ca="1" si="20"/>
        <v>6259.6328883183214</v>
      </c>
      <c r="Y140" s="32">
        <f t="shared" ca="1" si="27"/>
        <v>0</v>
      </c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</row>
    <row r="141" spans="1:50">
      <c r="A141" s="5">
        <v>38561</v>
      </c>
      <c r="B141" s="4">
        <v>6347.89</v>
      </c>
      <c r="C141" s="4">
        <v>6375.64</v>
      </c>
      <c r="D141" s="4">
        <v>6326</v>
      </c>
      <c r="E141" s="4">
        <v>6375.64</v>
      </c>
      <c r="F141" s="4">
        <v>4157600</v>
      </c>
      <c r="G141" s="8">
        <f t="shared" si="29"/>
        <v>20.640000000000327</v>
      </c>
      <c r="H141" s="8">
        <f t="shared" si="28"/>
        <v>27.75</v>
      </c>
      <c r="I141" s="20">
        <f t="shared" ca="1" si="21"/>
        <v>0</v>
      </c>
      <c r="J141" s="8">
        <f t="shared" ca="1" si="22"/>
        <v>2</v>
      </c>
      <c r="K141" s="8">
        <f t="shared" ca="1" si="23"/>
        <v>96.780000000000655</v>
      </c>
      <c r="L141" s="8">
        <f t="shared" ca="1" si="24"/>
        <v>64.490000000000691</v>
      </c>
      <c r="M141" s="9">
        <f ca="1">AVERAGE(E141:OFFSET(E141,-M$5+1,0))</f>
        <v>6393.3349999999991</v>
      </c>
      <c r="N141" s="9">
        <f ca="1">AVERAGE(E141:OFFSET(E141,-N$5+1,0))</f>
        <v>6331.0739999999996</v>
      </c>
      <c r="O141" s="9">
        <f t="shared" ca="1" si="25"/>
        <v>0</v>
      </c>
      <c r="P141" s="14">
        <f t="shared" si="30"/>
        <v>0.76187755808679514</v>
      </c>
      <c r="Q141" s="15">
        <f ca="1">STDEV(P141:OFFSET(P141,-$Q$5+1,0))</f>
        <v>0.55516525047863463</v>
      </c>
      <c r="R141" s="15">
        <f ca="1">STDEV(P141:OFFSET(P141,-$R$5+1,0))</f>
        <v>0.64017241280860671</v>
      </c>
      <c r="S141" s="18">
        <f t="shared" si="17"/>
        <v>49.640000000000327</v>
      </c>
      <c r="T141" s="18">
        <f t="shared" si="18"/>
        <v>49.640000000000327</v>
      </c>
      <c r="U141" s="18">
        <f t="shared" si="26"/>
        <v>63.224775638302198</v>
      </c>
      <c r="V141" s="33">
        <f ca="1">AVERAGE(E141:OFFSET(E141,-V$5+1,0))</f>
        <v>6369.2507142857139</v>
      </c>
      <c r="W141" s="33">
        <f t="shared" ca="1" si="19"/>
        <v>6464.0878777431672</v>
      </c>
      <c r="X141" s="33">
        <f t="shared" ca="1" si="20"/>
        <v>6274.4135508282607</v>
      </c>
      <c r="Y141" s="32">
        <f t="shared" ca="1" si="27"/>
        <v>0</v>
      </c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</row>
    <row r="142" spans="1:50">
      <c r="A142" s="5">
        <v>38562</v>
      </c>
      <c r="B142" s="4">
        <v>6409.56</v>
      </c>
      <c r="C142" s="4">
        <v>6420.64</v>
      </c>
      <c r="D142" s="4">
        <v>6310.63</v>
      </c>
      <c r="E142" s="4">
        <v>6311.98</v>
      </c>
      <c r="F142" s="4">
        <v>4865200</v>
      </c>
      <c r="G142" s="8">
        <f t="shared" si="29"/>
        <v>33.920000000000073</v>
      </c>
      <c r="H142" s="8">
        <f t="shared" si="28"/>
        <v>-97.580000000000837</v>
      </c>
      <c r="I142" s="20">
        <f t="shared" ca="1" si="21"/>
        <v>0</v>
      </c>
      <c r="J142" s="8">
        <f t="shared" ca="1" si="22"/>
        <v>2</v>
      </c>
      <c r="K142" s="8">
        <f t="shared" ca="1" si="23"/>
        <v>-127.32000000000153</v>
      </c>
      <c r="L142" s="8">
        <f t="shared" ca="1" si="24"/>
        <v>-62.830000000000837</v>
      </c>
      <c r="M142" s="9">
        <f ca="1">AVERAGE(E142:OFFSET(E142,-M$5+1,0))</f>
        <v>6382.6979999999994</v>
      </c>
      <c r="N142" s="9">
        <f ca="1">AVERAGE(E142:OFFSET(E142,-N$5+1,0))</f>
        <v>6334.5759999999991</v>
      </c>
      <c r="O142" s="9">
        <f t="shared" ca="1" si="25"/>
        <v>0</v>
      </c>
      <c r="P142" s="14">
        <f t="shared" si="30"/>
        <v>-1.003506319165155</v>
      </c>
      <c r="Q142" s="15">
        <f ca="1">STDEV(P142:OFFSET(P142,-$Q$5+1,0))</f>
        <v>0.58554362262040138</v>
      </c>
      <c r="R142" s="15">
        <f ca="1">STDEV(P142:OFFSET(P142,-$R$5+1,0))</f>
        <v>0.64644525953352561</v>
      </c>
      <c r="S142" s="18">
        <f t="shared" si="17"/>
        <v>110.01000000000022</v>
      </c>
      <c r="T142" s="18">
        <f t="shared" si="18"/>
        <v>110.01000000000022</v>
      </c>
      <c r="U142" s="18">
        <f t="shared" si="26"/>
        <v>69.462805553195267</v>
      </c>
      <c r="V142" s="33">
        <f ca="1">AVERAGE(E142:OFFSET(E142,-V$5+1,0))</f>
        <v>6377.1492857142857</v>
      </c>
      <c r="W142" s="33">
        <f t="shared" ca="1" si="19"/>
        <v>6481.3434940440784</v>
      </c>
      <c r="X142" s="33">
        <f t="shared" ca="1" si="20"/>
        <v>6272.9550773844931</v>
      </c>
      <c r="Y142" s="32">
        <f t="shared" ca="1" si="27"/>
        <v>0</v>
      </c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</row>
    <row r="143" spans="1:50">
      <c r="A143" s="5">
        <v>38565</v>
      </c>
      <c r="B143" s="4">
        <v>6320.67</v>
      </c>
      <c r="C143" s="4">
        <v>6327.83</v>
      </c>
      <c r="D143" s="4">
        <v>6290.93</v>
      </c>
      <c r="E143" s="4">
        <v>6307.93</v>
      </c>
      <c r="F143" s="4">
        <v>3090200</v>
      </c>
      <c r="G143" s="8">
        <f t="shared" si="29"/>
        <v>8.6900000000005093</v>
      </c>
      <c r="H143" s="8">
        <f t="shared" si="28"/>
        <v>-12.739999999999782</v>
      </c>
      <c r="I143" s="20">
        <f t="shared" ca="1" si="21"/>
        <v>0</v>
      </c>
      <c r="J143" s="8">
        <f t="shared" ca="1" si="22"/>
        <v>2</v>
      </c>
      <c r="K143" s="8">
        <f t="shared" ca="1" si="23"/>
        <v>-8.0999999999985448</v>
      </c>
      <c r="L143" s="8">
        <f t="shared" ca="1" si="24"/>
        <v>-70.929999999999382</v>
      </c>
      <c r="M143" s="9">
        <f ca="1">AVERAGE(E143:OFFSET(E143,-M$5+1,0))</f>
        <v>6372.4319999999998</v>
      </c>
      <c r="N143" s="9">
        <f ca="1">AVERAGE(E143:OFFSET(E143,-N$5+1,0))</f>
        <v>6336.3654999999999</v>
      </c>
      <c r="O143" s="9">
        <f t="shared" ca="1" si="25"/>
        <v>0</v>
      </c>
      <c r="P143" s="14">
        <f t="shared" si="30"/>
        <v>-6.4184295118370954E-2</v>
      </c>
      <c r="Q143" s="15">
        <f ca="1">STDEV(P143:OFFSET(P143,-$Q$5+1,0))</f>
        <v>0.58631576825923037</v>
      </c>
      <c r="R143" s="15">
        <f ca="1">STDEV(P143:OFFSET(P143,-$R$5+1,0))</f>
        <v>0.62549346752937984</v>
      </c>
      <c r="S143" s="18">
        <f t="shared" si="17"/>
        <v>36.899999999999636</v>
      </c>
      <c r="T143" s="18">
        <f t="shared" si="18"/>
        <v>36.899999999999636</v>
      </c>
      <c r="U143" s="18">
        <f t="shared" si="26"/>
        <v>65.121098146102511</v>
      </c>
      <c r="V143" s="33">
        <f ca="1">AVERAGE(E143:OFFSET(E143,-V$5+1,0))</f>
        <v>6377.7971428571427</v>
      </c>
      <c r="W143" s="33">
        <f t="shared" ca="1" si="19"/>
        <v>6475.4787900762967</v>
      </c>
      <c r="X143" s="33">
        <f t="shared" ca="1" si="20"/>
        <v>6280.1154956379887</v>
      </c>
      <c r="Y143" s="32">
        <f t="shared" ca="1" si="27"/>
        <v>0</v>
      </c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</row>
    <row r="144" spans="1:50">
      <c r="A144" s="5">
        <v>38566</v>
      </c>
      <c r="B144" s="4">
        <v>6344.4</v>
      </c>
      <c r="C144" s="4">
        <v>6360.43</v>
      </c>
      <c r="D144" s="4">
        <v>6296.78</v>
      </c>
      <c r="E144" s="4">
        <v>6343.54</v>
      </c>
      <c r="F144" s="4">
        <v>3479000</v>
      </c>
      <c r="G144" s="8">
        <f t="shared" si="29"/>
        <v>36.469999999999345</v>
      </c>
      <c r="H144" s="8">
        <f t="shared" si="28"/>
        <v>-0.85999999999967258</v>
      </c>
      <c r="I144" s="20">
        <f t="shared" ca="1" si="21"/>
        <v>0</v>
      </c>
      <c r="J144" s="8">
        <f t="shared" ca="1" si="22"/>
        <v>2</v>
      </c>
      <c r="K144" s="8">
        <f t="shared" ca="1" si="23"/>
        <v>71.219999999999345</v>
      </c>
      <c r="L144" s="8">
        <f t="shared" ca="1" si="24"/>
        <v>0.28999999999996362</v>
      </c>
      <c r="M144" s="9">
        <f ca="1">AVERAGE(E144:OFFSET(E144,-M$5+1,0))</f>
        <v>6365.152</v>
      </c>
      <c r="N144" s="9">
        <f ca="1">AVERAGE(E144:OFFSET(E144,-N$5+1,0))</f>
        <v>6339.9824999999992</v>
      </c>
      <c r="O144" s="9">
        <f t="shared" ca="1" si="25"/>
        <v>0</v>
      </c>
      <c r="P144" s="14">
        <f t="shared" si="30"/>
        <v>0.5629400226291702</v>
      </c>
      <c r="Q144" s="15">
        <f ca="1">STDEV(P144:OFFSET(P144,-$Q$5+1,0))</f>
        <v>0.62655769781963988</v>
      </c>
      <c r="R144" s="15">
        <f ca="1">STDEV(P144:OFFSET(P144,-$R$5+1,0))</f>
        <v>0.62692574670733325</v>
      </c>
      <c r="S144" s="18">
        <f t="shared" si="17"/>
        <v>63.650000000000546</v>
      </c>
      <c r="T144" s="18">
        <f t="shared" si="18"/>
        <v>63.650000000000546</v>
      </c>
      <c r="U144" s="18">
        <f t="shared" si="26"/>
        <v>64.924951726622254</v>
      </c>
      <c r="V144" s="33">
        <f ca="1">AVERAGE(E144:OFFSET(E144,-V$5+1,0))</f>
        <v>6376.7064285714287</v>
      </c>
      <c r="W144" s="33">
        <f t="shared" ca="1" si="19"/>
        <v>6474.0938561613621</v>
      </c>
      <c r="X144" s="33">
        <f t="shared" ca="1" si="20"/>
        <v>6279.3190009814953</v>
      </c>
      <c r="Y144" s="32">
        <f t="shared" ca="1" si="27"/>
        <v>0</v>
      </c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</row>
    <row r="145" spans="1:50">
      <c r="A145" s="5">
        <v>38567</v>
      </c>
      <c r="B145" s="4">
        <v>6391.68</v>
      </c>
      <c r="C145" s="4">
        <v>6455.57</v>
      </c>
      <c r="D145" s="4">
        <v>6379.51</v>
      </c>
      <c r="E145" s="4">
        <v>6455.57</v>
      </c>
      <c r="F145" s="4">
        <v>4033800</v>
      </c>
      <c r="G145" s="8">
        <f t="shared" si="29"/>
        <v>48.140000000000327</v>
      </c>
      <c r="H145" s="8">
        <f t="shared" si="28"/>
        <v>63.889999999999418</v>
      </c>
      <c r="I145" s="20">
        <f t="shared" ca="1" si="21"/>
        <v>0</v>
      </c>
      <c r="J145" s="8">
        <f t="shared" ca="1" si="22"/>
        <v>2</v>
      </c>
      <c r="K145" s="8">
        <f t="shared" ca="1" si="23"/>
        <v>224.05999999999949</v>
      </c>
      <c r="L145" s="8">
        <f t="shared" ca="1" si="24"/>
        <v>224.34999999999945</v>
      </c>
      <c r="M145" s="9">
        <f ca="1">AVERAGE(E145:OFFSET(E145,-M$5+1,0))</f>
        <v>6368.3280000000004</v>
      </c>
      <c r="N145" s="9">
        <f ca="1">AVERAGE(E145:OFFSET(E145,-N$5+1,0))</f>
        <v>6351.1589999999978</v>
      </c>
      <c r="O145" s="9">
        <f t="shared" ca="1" si="25"/>
        <v>0</v>
      </c>
      <c r="P145" s="14">
        <f t="shared" si="30"/>
        <v>1.7506351794803896</v>
      </c>
      <c r="Q145" s="15">
        <f ca="1">STDEV(P145:OFFSET(P145,-$Q$5+1,0))</f>
        <v>0.86218332567668499</v>
      </c>
      <c r="R145" s="15">
        <f ca="1">STDEV(P145:OFFSET(P145,-$R$5+1,0))</f>
        <v>0.67216099735350776</v>
      </c>
      <c r="S145" s="18">
        <f t="shared" si="17"/>
        <v>76.059999999999491</v>
      </c>
      <c r="T145" s="18">
        <f t="shared" si="18"/>
        <v>112.02999999999975</v>
      </c>
      <c r="U145" s="18">
        <f t="shared" si="26"/>
        <v>71.205624829739264</v>
      </c>
      <c r="V145" s="33">
        <f ca="1">AVERAGE(E145:OFFSET(E145,-V$5+1,0))</f>
        <v>6382.3121428571403</v>
      </c>
      <c r="W145" s="33">
        <f t="shared" ca="1" si="19"/>
        <v>6489.1205801017495</v>
      </c>
      <c r="X145" s="33">
        <f t="shared" ca="1" si="20"/>
        <v>6275.5037056125311</v>
      </c>
      <c r="Y145" s="32">
        <f t="shared" ca="1" si="27"/>
        <v>0</v>
      </c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</row>
    <row r="146" spans="1:50">
      <c r="A146" s="5">
        <v>38568</v>
      </c>
      <c r="B146" s="4">
        <v>6481.62</v>
      </c>
      <c r="C146" s="4">
        <v>6481.62</v>
      </c>
      <c r="D146" s="4">
        <v>6439.89</v>
      </c>
      <c r="E146" s="4">
        <v>6446.01</v>
      </c>
      <c r="F146" s="4">
        <v>3893000</v>
      </c>
      <c r="G146" s="8">
        <f t="shared" si="29"/>
        <v>26.050000000000182</v>
      </c>
      <c r="H146" s="8">
        <f t="shared" si="28"/>
        <v>-35.609999999999673</v>
      </c>
      <c r="I146" s="20">
        <f t="shared" ca="1" si="21"/>
        <v>0</v>
      </c>
      <c r="J146" s="8">
        <f t="shared" ca="1" si="22"/>
        <v>2</v>
      </c>
      <c r="K146" s="8">
        <f t="shared" ca="1" si="23"/>
        <v>-19.119999999998981</v>
      </c>
      <c r="L146" s="8">
        <f t="shared" ca="1" si="24"/>
        <v>205.23000000000047</v>
      </c>
      <c r="M146" s="9">
        <f ca="1">AVERAGE(E146:OFFSET(E146,-M$5+1,0))</f>
        <v>6373.5259999999998</v>
      </c>
      <c r="N146" s="9">
        <f ca="1">AVERAGE(E146:OFFSET(E146,-N$5+1,0))</f>
        <v>6362.3569999999982</v>
      </c>
      <c r="O146" s="9">
        <f t="shared" ca="1" si="25"/>
        <v>0</v>
      </c>
      <c r="P146" s="14">
        <f t="shared" si="30"/>
        <v>-0.14819892989404393</v>
      </c>
      <c r="Q146" s="15">
        <f ca="1">STDEV(P146:OFFSET(P146,-$Q$5+1,0))</f>
        <v>0.8468935757608963</v>
      </c>
      <c r="R146" s="15">
        <f ca="1">STDEV(P146:OFFSET(P146,-$R$5+1,0))</f>
        <v>0.6617659398496778</v>
      </c>
      <c r="S146" s="18">
        <f t="shared" si="17"/>
        <v>41.729999999999563</v>
      </c>
      <c r="T146" s="18">
        <f t="shared" si="18"/>
        <v>41.729999999999563</v>
      </c>
      <c r="U146" s="18">
        <f t="shared" si="26"/>
        <v>67.275541519107307</v>
      </c>
      <c r="V146" s="33">
        <f ca="1">AVERAGE(E146:OFFSET(E146,-V$5+1,0))</f>
        <v>6384.2878571428564</v>
      </c>
      <c r="W146" s="33">
        <f t="shared" ca="1" si="19"/>
        <v>6485.2011694215171</v>
      </c>
      <c r="X146" s="33">
        <f t="shared" ca="1" si="20"/>
        <v>6283.3745448641957</v>
      </c>
      <c r="Y146" s="32">
        <f t="shared" ca="1" si="27"/>
        <v>0</v>
      </c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</row>
    <row r="147" spans="1:50">
      <c r="A147" s="5">
        <v>38572</v>
      </c>
      <c r="B147" s="4">
        <v>6400.04</v>
      </c>
      <c r="C147" s="4">
        <v>6408.05</v>
      </c>
      <c r="D147" s="4">
        <v>6375.89</v>
      </c>
      <c r="E147" s="4">
        <v>6380.03</v>
      </c>
      <c r="F147" s="4">
        <v>3062400</v>
      </c>
      <c r="G147" s="8">
        <f t="shared" si="29"/>
        <v>-45.970000000000255</v>
      </c>
      <c r="H147" s="8">
        <f t="shared" si="28"/>
        <v>-20.010000000000218</v>
      </c>
      <c r="I147" s="20">
        <f t="shared" ca="1" si="21"/>
        <v>0</v>
      </c>
      <c r="J147" s="8">
        <f t="shared" ca="1" si="22"/>
        <v>2</v>
      </c>
      <c r="K147" s="8">
        <f t="shared" ca="1" si="23"/>
        <v>-131.96000000000095</v>
      </c>
      <c r="L147" s="8">
        <f t="shared" ca="1" si="24"/>
        <v>73.269999999999527</v>
      </c>
      <c r="M147" s="9">
        <f ca="1">AVERAGE(E147:OFFSET(E147,-M$5+1,0))</f>
        <v>6373.4560000000001</v>
      </c>
      <c r="N147" s="9">
        <f ca="1">AVERAGE(E147:OFFSET(E147,-N$5+1,0))</f>
        <v>6370.7284999999983</v>
      </c>
      <c r="O147" s="9">
        <f t="shared" ca="1" si="25"/>
        <v>0</v>
      </c>
      <c r="P147" s="14">
        <f t="shared" si="30"/>
        <v>-1.0288535201716438</v>
      </c>
      <c r="Q147" s="15">
        <f ca="1">STDEV(P147:OFFSET(P147,-$Q$5+1,0))</f>
        <v>0.91504608301667323</v>
      </c>
      <c r="R147" s="15">
        <f ca="1">STDEV(P147:OFFSET(P147,-$R$5+1,0))</f>
        <v>0.68373025792209596</v>
      </c>
      <c r="S147" s="18">
        <f t="shared" si="17"/>
        <v>32.159999999999854</v>
      </c>
      <c r="T147" s="18">
        <f t="shared" si="18"/>
        <v>70.119999999999891</v>
      </c>
      <c r="U147" s="18">
        <f t="shared" si="26"/>
        <v>67.654802649892986</v>
      </c>
      <c r="V147" s="33">
        <f ca="1">AVERAGE(E147:OFFSET(E147,-V$5+1,0))</f>
        <v>6382.1049999999987</v>
      </c>
      <c r="W147" s="33">
        <f t="shared" ca="1" si="19"/>
        <v>6483.5872039748383</v>
      </c>
      <c r="X147" s="33">
        <f t="shared" ca="1" si="20"/>
        <v>6280.622796025159</v>
      </c>
      <c r="Y147" s="32">
        <f t="shared" ca="1" si="27"/>
        <v>0</v>
      </c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</row>
    <row r="148" spans="1:50">
      <c r="A148" s="5">
        <v>38573</v>
      </c>
      <c r="B148" s="4">
        <v>6374.6</v>
      </c>
      <c r="C148" s="4">
        <v>6397.37</v>
      </c>
      <c r="D148" s="4">
        <v>6361.19</v>
      </c>
      <c r="E148" s="4">
        <v>6380</v>
      </c>
      <c r="F148" s="4">
        <v>3092800</v>
      </c>
      <c r="G148" s="8">
        <f t="shared" si="29"/>
        <v>-5.4299999999993815</v>
      </c>
      <c r="H148" s="8">
        <f t="shared" si="28"/>
        <v>5.3999999999996362</v>
      </c>
      <c r="I148" s="20">
        <f t="shared" ca="1" si="21"/>
        <v>0</v>
      </c>
      <c r="J148" s="8">
        <f t="shared" ca="1" si="22"/>
        <v>2</v>
      </c>
      <c r="K148" s="8">
        <f t="shared" ca="1" si="23"/>
        <v>-5.9999999999490683E-2</v>
      </c>
      <c r="L148" s="8">
        <f t="shared" ca="1" si="24"/>
        <v>73.210000000000036</v>
      </c>
      <c r="M148" s="9">
        <f ca="1">AVERAGE(E148:OFFSET(E148,-M$5+1,0))</f>
        <v>6369.4110000000001</v>
      </c>
      <c r="N148" s="9">
        <f ca="1">AVERAGE(E148:OFFSET(E148,-N$5+1,0))</f>
        <v>6379.6584999999986</v>
      </c>
      <c r="O148" s="9">
        <f t="shared" ca="1" si="25"/>
        <v>-1</v>
      </c>
      <c r="P148" s="14">
        <f t="shared" si="30"/>
        <v>-4.7021833020420518E-4</v>
      </c>
      <c r="Q148" s="15">
        <f ca="1">STDEV(P148:OFFSET(P148,-$Q$5+1,0))</f>
        <v>0.88886604422206794</v>
      </c>
      <c r="R148" s="15">
        <f ca="1">STDEV(P148:OFFSET(P148,-$R$5+1,0))</f>
        <v>0.67543238930556571</v>
      </c>
      <c r="S148" s="18">
        <f t="shared" si="17"/>
        <v>36.180000000000291</v>
      </c>
      <c r="T148" s="18">
        <f t="shared" si="18"/>
        <v>36.180000000000291</v>
      </c>
      <c r="U148" s="18">
        <f t="shared" si="26"/>
        <v>63.458162296573967</v>
      </c>
      <c r="V148" s="33">
        <f ca="1">AVERAGE(E148:OFFSET(E148,-V$5+1,0))</f>
        <v>6379.5092857142854</v>
      </c>
      <c r="W148" s="33">
        <f t="shared" ca="1" si="19"/>
        <v>6474.6965291591459</v>
      </c>
      <c r="X148" s="33">
        <f t="shared" ca="1" si="20"/>
        <v>6284.3220422694249</v>
      </c>
      <c r="Y148" s="32">
        <f t="shared" ca="1" si="27"/>
        <v>0</v>
      </c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</row>
    <row r="149" spans="1:50">
      <c r="A149" s="5">
        <v>38574</v>
      </c>
      <c r="B149" s="4">
        <v>6408.86</v>
      </c>
      <c r="C149" s="4">
        <v>6430.13</v>
      </c>
      <c r="D149" s="4">
        <v>6356.84</v>
      </c>
      <c r="E149" s="4">
        <v>6356.84</v>
      </c>
      <c r="F149" s="4">
        <v>3416000</v>
      </c>
      <c r="G149" s="8">
        <f t="shared" si="29"/>
        <v>28.859999999999673</v>
      </c>
      <c r="H149" s="8">
        <f t="shared" si="28"/>
        <v>-52.019999999999527</v>
      </c>
      <c r="I149" s="20">
        <f t="shared" ca="1" si="21"/>
        <v>0</v>
      </c>
      <c r="J149" s="8">
        <f t="shared" ca="1" si="22"/>
        <v>2</v>
      </c>
      <c r="K149" s="8">
        <f t="shared" ca="1" si="23"/>
        <v>-46.319999999999709</v>
      </c>
      <c r="L149" s="8">
        <f t="shared" ca="1" si="24"/>
        <v>26.890000000000327</v>
      </c>
      <c r="M149" s="9">
        <f ca="1">AVERAGE(E149:OFFSET(E149,-M$5+1,0))</f>
        <v>6368.4790000000012</v>
      </c>
      <c r="N149" s="9">
        <f ca="1">AVERAGE(E149:OFFSET(E149,-N$5+1,0))</f>
        <v>6382.557499999999</v>
      </c>
      <c r="O149" s="9">
        <f t="shared" ca="1" si="25"/>
        <v>0</v>
      </c>
      <c r="P149" s="14">
        <f t="shared" si="30"/>
        <v>-0.36366988240977427</v>
      </c>
      <c r="Q149" s="15">
        <f ca="1">STDEV(P149:OFFSET(P149,-$Q$5+1,0))</f>
        <v>0.85373045259781588</v>
      </c>
      <c r="R149" s="15">
        <f ca="1">STDEV(P149:OFFSET(P149,-$R$5+1,0))</f>
        <v>0.67290398418922548</v>
      </c>
      <c r="S149" s="18">
        <f t="shared" si="17"/>
        <v>73.289999999999964</v>
      </c>
      <c r="T149" s="18">
        <f t="shared" si="18"/>
        <v>73.289999999999964</v>
      </c>
      <c r="U149" s="18">
        <f t="shared" si="26"/>
        <v>64.769073990364106</v>
      </c>
      <c r="V149" s="33">
        <f ca="1">AVERAGE(E149:OFFSET(E149,-V$5+1,0))</f>
        <v>6374.7257142857143</v>
      </c>
      <c r="W149" s="33">
        <f t="shared" ca="1" si="19"/>
        <v>6471.8793252712603</v>
      </c>
      <c r="X149" s="33">
        <f t="shared" ca="1" si="20"/>
        <v>6277.5721033001682</v>
      </c>
      <c r="Y149" s="32">
        <f t="shared" ca="1" si="27"/>
        <v>0</v>
      </c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</row>
    <row r="150" spans="1:50">
      <c r="A150" s="5">
        <v>38575</v>
      </c>
      <c r="B150" s="4">
        <v>6362.62</v>
      </c>
      <c r="C150" s="4">
        <v>6380.39</v>
      </c>
      <c r="D150" s="4">
        <v>6326.37</v>
      </c>
      <c r="E150" s="4">
        <v>6353.71</v>
      </c>
      <c r="F150" s="4">
        <v>3110800</v>
      </c>
      <c r="G150" s="8">
        <f t="shared" si="29"/>
        <v>5.7799999999997453</v>
      </c>
      <c r="H150" s="8">
        <f t="shared" si="28"/>
        <v>-8.9099999999998545</v>
      </c>
      <c r="I150" s="20">
        <f t="shared" ca="1" si="21"/>
        <v>0</v>
      </c>
      <c r="J150" s="8">
        <f t="shared" ca="1" si="22"/>
        <v>2</v>
      </c>
      <c r="K150" s="8">
        <f t="shared" ca="1" si="23"/>
        <v>-6.2600000000002183</v>
      </c>
      <c r="L150" s="8">
        <f t="shared" ca="1" si="24"/>
        <v>20.630000000000109</v>
      </c>
      <c r="M150" s="9">
        <f ca="1">AVERAGE(E150:OFFSET(E150,-M$5+1,0))</f>
        <v>6371.1249999999991</v>
      </c>
      <c r="N150" s="9">
        <f ca="1">AVERAGE(E150:OFFSET(E150,-N$5+1,0))</f>
        <v>6382.3024999999998</v>
      </c>
      <c r="O150" s="9">
        <f t="shared" ca="1" si="25"/>
        <v>0</v>
      </c>
      <c r="P150" s="14">
        <f t="shared" si="30"/>
        <v>-4.9250426822887799E-2</v>
      </c>
      <c r="Q150" s="15">
        <f ca="1">STDEV(P150:OFFSET(P150,-$Q$5+1,0))</f>
        <v>0.82804961872004001</v>
      </c>
      <c r="R150" s="15">
        <f ca="1">STDEV(P150:OFFSET(P150,-$R$5+1,0))</f>
        <v>0.66904639239331121</v>
      </c>
      <c r="S150" s="18">
        <f t="shared" si="17"/>
        <v>54.020000000000437</v>
      </c>
      <c r="T150" s="18">
        <f t="shared" si="18"/>
        <v>54.020000000000437</v>
      </c>
      <c r="U150" s="18">
        <f t="shared" si="26"/>
        <v>63.33586412498228</v>
      </c>
      <c r="V150" s="33">
        <f ca="1">AVERAGE(E150:OFFSET(E150,-V$5+1,0))</f>
        <v>6371.8457142857151</v>
      </c>
      <c r="W150" s="33">
        <f t="shared" ca="1" si="19"/>
        <v>6466.8495104731883</v>
      </c>
      <c r="X150" s="33">
        <f t="shared" ca="1" si="20"/>
        <v>6276.8419180982419</v>
      </c>
      <c r="Y150" s="32">
        <f t="shared" ca="1" si="27"/>
        <v>0</v>
      </c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</row>
    <row r="151" spans="1:50">
      <c r="A151" s="5">
        <v>38576</v>
      </c>
      <c r="B151" s="4">
        <v>6389.27</v>
      </c>
      <c r="C151" s="4">
        <v>6398.72</v>
      </c>
      <c r="D151" s="4">
        <v>6350.9</v>
      </c>
      <c r="E151" s="4">
        <v>6350.9</v>
      </c>
      <c r="F151" s="4">
        <v>3607000</v>
      </c>
      <c r="G151" s="8">
        <f t="shared" si="29"/>
        <v>35.5600000000004</v>
      </c>
      <c r="H151" s="8">
        <f t="shared" si="28"/>
        <v>-38.3700000000008</v>
      </c>
      <c r="I151" s="20">
        <f t="shared" ca="1" si="21"/>
        <v>0</v>
      </c>
      <c r="J151" s="8">
        <f t="shared" ca="1" si="22"/>
        <v>2</v>
      </c>
      <c r="K151" s="8">
        <f t="shared" ca="1" si="23"/>
        <v>-5.6200000000008004</v>
      </c>
      <c r="L151" s="8">
        <f t="shared" ca="1" si="24"/>
        <v>15.009999999999309</v>
      </c>
      <c r="M151" s="9">
        <f ca="1">AVERAGE(E151:OFFSET(E151,-M$5+1,0))</f>
        <v>6368.6509999999998</v>
      </c>
      <c r="N151" s="9">
        <f ca="1">AVERAGE(E151:OFFSET(E151,-N$5+1,0))</f>
        <v>6380.9929999999977</v>
      </c>
      <c r="O151" s="9">
        <f t="shared" ca="1" si="25"/>
        <v>0</v>
      </c>
      <c r="P151" s="14">
        <f t="shared" si="30"/>
        <v>-4.4235911937831593E-2</v>
      </c>
      <c r="Q151" s="15">
        <f ca="1">STDEV(P151:OFFSET(P151,-$Q$5+1,0))</f>
        <v>0.78844392246623474</v>
      </c>
      <c r="R151" s="15">
        <f ca="1">STDEV(P151:OFFSET(P151,-$R$5+1,0))</f>
        <v>0.65989732013752134</v>
      </c>
      <c r="S151" s="18">
        <f t="shared" si="17"/>
        <v>47.820000000000618</v>
      </c>
      <c r="T151" s="18">
        <f t="shared" si="18"/>
        <v>47.820000000000618</v>
      </c>
      <c r="U151" s="18">
        <f t="shared" si="26"/>
        <v>61.267082241651394</v>
      </c>
      <c r="V151" s="33">
        <f ca="1">AVERAGE(E151:OFFSET(E151,-V$5+1,0))</f>
        <v>6369.7149999999992</v>
      </c>
      <c r="W151" s="33">
        <f t="shared" ca="1" si="19"/>
        <v>6461.6156233624761</v>
      </c>
      <c r="X151" s="33">
        <f t="shared" ca="1" si="20"/>
        <v>6277.8143766375224</v>
      </c>
      <c r="Y151" s="32">
        <f t="shared" ca="1" si="27"/>
        <v>0</v>
      </c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</row>
    <row r="152" spans="1:50">
      <c r="A152" s="5">
        <v>38579</v>
      </c>
      <c r="B152" s="4">
        <v>6344.88</v>
      </c>
      <c r="C152" s="4">
        <v>6344.88</v>
      </c>
      <c r="D152" s="4">
        <v>6238.02</v>
      </c>
      <c r="E152" s="4">
        <v>6245.13</v>
      </c>
      <c r="F152" s="4">
        <v>3014200</v>
      </c>
      <c r="G152" s="8">
        <f t="shared" si="29"/>
        <v>-6.0199999999995271</v>
      </c>
      <c r="H152" s="8">
        <f t="shared" si="28"/>
        <v>-99.75</v>
      </c>
      <c r="I152" s="20">
        <f t="shared" ca="1" si="21"/>
        <v>-1</v>
      </c>
      <c r="J152" s="8">
        <f t="shared" ca="1" si="22"/>
        <v>2</v>
      </c>
      <c r="K152" s="8">
        <f t="shared" ca="1" si="23"/>
        <v>-211.53999999999905</v>
      </c>
      <c r="L152" s="8">
        <f t="shared" ca="1" si="24"/>
        <v>-196.52999999999975</v>
      </c>
      <c r="M152" s="9">
        <f ca="1">AVERAGE(E152:OFFSET(E152,-M$5+1,0))</f>
        <v>6361.9659999999994</v>
      </c>
      <c r="N152" s="9">
        <f ca="1">AVERAGE(E152:OFFSET(E152,-N$5+1,0))</f>
        <v>6372.3319999999994</v>
      </c>
      <c r="O152" s="9">
        <f t="shared" ca="1" si="25"/>
        <v>0</v>
      </c>
      <c r="P152" s="14">
        <f t="shared" si="30"/>
        <v>-1.6794575130793441</v>
      </c>
      <c r="Q152" s="15">
        <f ca="1">STDEV(P152:OFFSET(P152,-$Q$5+1,0))</f>
        <v>0.90123956485588641</v>
      </c>
      <c r="R152" s="15">
        <f ca="1">STDEV(P152:OFFSET(P152,-$R$5+1,0))</f>
        <v>0.70932255849605008</v>
      </c>
      <c r="S152" s="18">
        <f t="shared" si="17"/>
        <v>106.85999999999967</v>
      </c>
      <c r="T152" s="18">
        <f t="shared" si="18"/>
        <v>112.8799999999992</v>
      </c>
      <c r="U152" s="18">
        <f t="shared" si="26"/>
        <v>68.14880460943111</v>
      </c>
      <c r="V152" s="33">
        <f ca="1">AVERAGE(E152:OFFSET(E152,-V$5+1,0))</f>
        <v>6357.1921428571432</v>
      </c>
      <c r="W152" s="33">
        <f t="shared" ca="1" si="19"/>
        <v>6459.4153497712896</v>
      </c>
      <c r="X152" s="33">
        <f t="shared" ca="1" si="20"/>
        <v>6254.9689359429967</v>
      </c>
      <c r="Y152" s="32">
        <f t="shared" ca="1" si="27"/>
        <v>-1</v>
      </c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</row>
    <row r="153" spans="1:50">
      <c r="A153" s="5">
        <v>38580</v>
      </c>
      <c r="B153" s="4">
        <v>6262.87</v>
      </c>
      <c r="C153" s="4">
        <v>6266.33</v>
      </c>
      <c r="D153" s="4">
        <v>6207.58</v>
      </c>
      <c r="E153" s="4">
        <v>6242.4</v>
      </c>
      <c r="F153" s="4">
        <v>2770600</v>
      </c>
      <c r="G153" s="8">
        <f t="shared" si="29"/>
        <v>17.739999999999782</v>
      </c>
      <c r="H153" s="8">
        <f t="shared" si="28"/>
        <v>-20.470000000000255</v>
      </c>
      <c r="I153" s="20">
        <f t="shared" ca="1" si="21"/>
        <v>0</v>
      </c>
      <c r="J153" s="8">
        <f t="shared" ca="1" si="22"/>
        <v>1</v>
      </c>
      <c r="K153" s="8">
        <f t="shared" ca="1" si="23"/>
        <v>15.009999999999309</v>
      </c>
      <c r="L153" s="8">
        <f t="shared" ca="1" si="24"/>
        <v>-181.52000000000044</v>
      </c>
      <c r="M153" s="9">
        <f ca="1">AVERAGE(E153:OFFSET(E153,-M$5+1,0))</f>
        <v>6355.4130000000005</v>
      </c>
      <c r="N153" s="9">
        <f ca="1">AVERAGE(E153:OFFSET(E153,-N$5+1,0))</f>
        <v>6363.9224999999988</v>
      </c>
      <c r="O153" s="9">
        <f t="shared" ca="1" si="25"/>
        <v>0</v>
      </c>
      <c r="P153" s="14">
        <f t="shared" si="30"/>
        <v>-4.3723619378575947E-2</v>
      </c>
      <c r="Q153" s="15">
        <f ca="1">STDEV(P153:OFFSET(P153,-$Q$5+1,0))</f>
        <v>0.90136945989284023</v>
      </c>
      <c r="R153" s="15">
        <f ca="1">STDEV(P153:OFFSET(P153,-$R$5+1,0))</f>
        <v>0.70864750542717847</v>
      </c>
      <c r="S153" s="18">
        <f t="shared" si="17"/>
        <v>58.75</v>
      </c>
      <c r="T153" s="18">
        <f t="shared" si="18"/>
        <v>58.75</v>
      </c>
      <c r="U153" s="18">
        <f t="shared" si="26"/>
        <v>66.895630661506956</v>
      </c>
      <c r="V153" s="33">
        <f ca="1">AVERAGE(E153:OFFSET(E153,-V$5+1,0))</f>
        <v>6348.352142857143</v>
      </c>
      <c r="W153" s="33">
        <f t="shared" ca="1" si="19"/>
        <v>6448.6955888494031</v>
      </c>
      <c r="X153" s="33">
        <f t="shared" ca="1" si="20"/>
        <v>6248.0086968648829</v>
      </c>
      <c r="Y153" s="32">
        <f t="shared" ca="1" si="27"/>
        <v>0</v>
      </c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</row>
    <row r="154" spans="1:50">
      <c r="A154" s="5">
        <v>38581</v>
      </c>
      <c r="B154" s="4">
        <v>6216.08</v>
      </c>
      <c r="C154" s="4">
        <v>6256.11</v>
      </c>
      <c r="D154" s="4">
        <v>6213.59</v>
      </c>
      <c r="E154" s="4">
        <v>6241.92</v>
      </c>
      <c r="F154" s="4">
        <v>2659400</v>
      </c>
      <c r="G154" s="8">
        <f t="shared" si="29"/>
        <v>-26.319999999999709</v>
      </c>
      <c r="H154" s="8">
        <f t="shared" si="28"/>
        <v>25.840000000000146</v>
      </c>
      <c r="I154" s="20">
        <f t="shared" ca="1" si="21"/>
        <v>0</v>
      </c>
      <c r="J154" s="8">
        <f t="shared" ca="1" si="22"/>
        <v>1</v>
      </c>
      <c r="K154" s="8">
        <f t="shared" ca="1" si="23"/>
        <v>-0.47999999999956344</v>
      </c>
      <c r="L154" s="8">
        <f t="shared" ca="1" si="24"/>
        <v>-182</v>
      </c>
      <c r="M154" s="9">
        <f ca="1">AVERAGE(E154:OFFSET(E154,-M$5+1,0))</f>
        <v>6345.2510000000002</v>
      </c>
      <c r="N154" s="9">
        <f ca="1">AVERAGE(E154:OFFSET(E154,-N$5+1,0))</f>
        <v>6355.2014999999992</v>
      </c>
      <c r="O154" s="9">
        <f t="shared" ca="1" si="25"/>
        <v>0</v>
      </c>
      <c r="P154" s="14">
        <f t="shared" si="30"/>
        <v>-7.6896458955872798E-3</v>
      </c>
      <c r="Q154" s="15">
        <f ca="1">STDEV(P154:OFFSET(P154,-$Q$5+1,0))</f>
        <v>0.87201032031591086</v>
      </c>
      <c r="R154" s="15">
        <f ca="1">STDEV(P154:OFFSET(P154,-$R$5+1,0))</f>
        <v>0.70855155312833606</v>
      </c>
      <c r="S154" s="18">
        <f t="shared" si="17"/>
        <v>42.519999999999527</v>
      </c>
      <c r="T154" s="18">
        <f t="shared" si="18"/>
        <v>42.519999999999527</v>
      </c>
      <c r="U154" s="18">
        <f t="shared" si="26"/>
        <v>63.645546573305971</v>
      </c>
      <c r="V154" s="33">
        <f ca="1">AVERAGE(E154:OFFSET(E154,-V$5+1,0))</f>
        <v>6342.2571428571418</v>
      </c>
      <c r="W154" s="33">
        <f t="shared" ca="1" si="19"/>
        <v>6437.7254627171005</v>
      </c>
      <c r="X154" s="33">
        <f t="shared" ca="1" si="20"/>
        <v>6246.7888229971832</v>
      </c>
      <c r="Y154" s="32">
        <f t="shared" ca="1" si="27"/>
        <v>0</v>
      </c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</row>
    <row r="155" spans="1:50">
      <c r="A155" s="5">
        <v>38582</v>
      </c>
      <c r="B155" s="4">
        <v>6252.32</v>
      </c>
      <c r="C155" s="4">
        <v>6260.28</v>
      </c>
      <c r="D155" s="4">
        <v>6204.42</v>
      </c>
      <c r="E155" s="4">
        <v>6205.09</v>
      </c>
      <c r="F155" s="4">
        <v>3140200</v>
      </c>
      <c r="G155" s="8">
        <f t="shared" si="29"/>
        <v>10.399999999999636</v>
      </c>
      <c r="H155" s="8">
        <f t="shared" si="28"/>
        <v>-47.229999999999563</v>
      </c>
      <c r="I155" s="20">
        <f t="shared" ca="1" si="21"/>
        <v>0</v>
      </c>
      <c r="J155" s="8">
        <f t="shared" ca="1" si="22"/>
        <v>1</v>
      </c>
      <c r="K155" s="8">
        <f t="shared" ca="1" si="23"/>
        <v>-36.829999999999927</v>
      </c>
      <c r="L155" s="8">
        <f t="shared" ca="1" si="24"/>
        <v>-218.82999999999993</v>
      </c>
      <c r="M155" s="9">
        <f ca="1">AVERAGE(E155:OFFSET(E155,-M$5+1,0))</f>
        <v>6320.2029999999995</v>
      </c>
      <c r="N155" s="9">
        <f ca="1">AVERAGE(E155:OFFSET(E155,-N$5+1,0))</f>
        <v>6344.2654999999995</v>
      </c>
      <c r="O155" s="9">
        <f t="shared" ca="1" si="25"/>
        <v>0</v>
      </c>
      <c r="P155" s="14">
        <f t="shared" si="30"/>
        <v>-0.5917904378166422</v>
      </c>
      <c r="Q155" s="15">
        <f ca="1">STDEV(P155:OFFSET(P155,-$Q$5+1,0))</f>
        <v>0.56014394861639449</v>
      </c>
      <c r="R155" s="15">
        <f ca="1">STDEV(P155:OFFSET(P155,-$R$5+1,0))</f>
        <v>0.71304229170833489</v>
      </c>
      <c r="S155" s="18">
        <f t="shared" si="17"/>
        <v>55.859999999999673</v>
      </c>
      <c r="T155" s="18">
        <f t="shared" si="18"/>
        <v>55.859999999999673</v>
      </c>
      <c r="U155" s="18">
        <f t="shared" si="26"/>
        <v>62.607473696865135</v>
      </c>
      <c r="V155" s="33">
        <f ca="1">AVERAGE(E155:OFFSET(E155,-V$5+1,0))</f>
        <v>6330.0749999999989</v>
      </c>
      <c r="W155" s="33">
        <f t="shared" ca="1" si="19"/>
        <v>6423.9862105452967</v>
      </c>
      <c r="X155" s="33">
        <f t="shared" ca="1" si="20"/>
        <v>6236.1637894547011</v>
      </c>
      <c r="Y155" s="32">
        <f t="shared" ca="1" si="27"/>
        <v>0</v>
      </c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</row>
    <row r="156" spans="1:50">
      <c r="A156" s="5">
        <v>38583</v>
      </c>
      <c r="B156" s="4">
        <v>6190.33</v>
      </c>
      <c r="C156" s="4">
        <v>6190.33</v>
      </c>
      <c r="D156" s="4">
        <v>6138.62</v>
      </c>
      <c r="E156" s="4">
        <v>6158.94</v>
      </c>
      <c r="F156" s="4">
        <v>2560400</v>
      </c>
      <c r="G156" s="8">
        <f t="shared" si="29"/>
        <v>-14.760000000000218</v>
      </c>
      <c r="H156" s="8">
        <f t="shared" si="28"/>
        <v>-31.390000000000327</v>
      </c>
      <c r="I156" s="20">
        <f t="shared" ca="1" si="21"/>
        <v>0</v>
      </c>
      <c r="J156" s="8">
        <f t="shared" ca="1" si="22"/>
        <v>1</v>
      </c>
      <c r="K156" s="8">
        <f t="shared" ca="1" si="23"/>
        <v>-46.150000000000546</v>
      </c>
      <c r="L156" s="8">
        <f t="shared" ca="1" si="24"/>
        <v>-264.98000000000047</v>
      </c>
      <c r="M156" s="9">
        <f ca="1">AVERAGE(E156:OFFSET(E156,-M$5+1,0))</f>
        <v>6291.4959999999992</v>
      </c>
      <c r="N156" s="9">
        <f ca="1">AVERAGE(E156:OFFSET(E156,-N$5+1,0))</f>
        <v>6332.5110000000004</v>
      </c>
      <c r="O156" s="9">
        <f t="shared" ca="1" si="25"/>
        <v>0</v>
      </c>
      <c r="P156" s="14">
        <f t="shared" si="30"/>
        <v>-0.74652381670459078</v>
      </c>
      <c r="Q156" s="15">
        <f ca="1">STDEV(P156:OFFSET(P156,-$Q$5+1,0))</f>
        <v>0.56271482746539936</v>
      </c>
      <c r="R156" s="15">
        <f ca="1">STDEV(P156:OFFSET(P156,-$R$5+1,0))</f>
        <v>0.6904089419796583</v>
      </c>
      <c r="S156" s="18">
        <f t="shared" si="17"/>
        <v>51.710000000000036</v>
      </c>
      <c r="T156" s="18">
        <f t="shared" si="18"/>
        <v>66.470000000000255</v>
      </c>
      <c r="U156" s="18">
        <f t="shared" si="26"/>
        <v>63.122477203949813</v>
      </c>
      <c r="V156" s="33">
        <f ca="1">AVERAGE(E156:OFFSET(E156,-V$5+1,0))</f>
        <v>6319.1435714285708</v>
      </c>
      <c r="W156" s="33">
        <f t="shared" ca="1" si="19"/>
        <v>6413.8272872344951</v>
      </c>
      <c r="X156" s="33">
        <f t="shared" ca="1" si="20"/>
        <v>6224.4598556226465</v>
      </c>
      <c r="Y156" s="32">
        <f t="shared" ca="1" si="27"/>
        <v>0</v>
      </c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</row>
    <row r="157" spans="1:50">
      <c r="A157" s="5">
        <v>38586</v>
      </c>
      <c r="B157" s="4">
        <v>6194.89</v>
      </c>
      <c r="C157" s="4">
        <v>6207.95</v>
      </c>
      <c r="D157" s="4">
        <v>6181.51</v>
      </c>
      <c r="E157" s="4">
        <v>6206.65</v>
      </c>
      <c r="F157" s="4">
        <v>2288400</v>
      </c>
      <c r="G157" s="8">
        <f t="shared" si="29"/>
        <v>35.950000000000728</v>
      </c>
      <c r="H157" s="8">
        <f t="shared" si="28"/>
        <v>11.759999999999309</v>
      </c>
      <c r="I157" s="20">
        <f t="shared" ca="1" si="21"/>
        <v>0</v>
      </c>
      <c r="J157" s="8">
        <f t="shared" ca="1" si="22"/>
        <v>1</v>
      </c>
      <c r="K157" s="8">
        <f t="shared" ca="1" si="23"/>
        <v>47.710000000000036</v>
      </c>
      <c r="L157" s="8">
        <f t="shared" ca="1" si="24"/>
        <v>-217.27000000000044</v>
      </c>
      <c r="M157" s="9">
        <f ca="1">AVERAGE(E157:OFFSET(E157,-M$5+1,0))</f>
        <v>6274.1579999999994</v>
      </c>
      <c r="N157" s="9">
        <f ca="1">AVERAGE(E157:OFFSET(E157,-N$5+1,0))</f>
        <v>6323.8069999999989</v>
      </c>
      <c r="O157" s="9">
        <f t="shared" ca="1" si="25"/>
        <v>0</v>
      </c>
      <c r="P157" s="14">
        <f t="shared" si="30"/>
        <v>0.77166130763195706</v>
      </c>
      <c r="Q157" s="15">
        <f ca="1">STDEV(P157:OFFSET(P157,-$Q$5+1,0))</f>
        <v>0.64144598028159128</v>
      </c>
      <c r="R157" s="15">
        <f ca="1">STDEV(P157:OFFSET(P157,-$R$5+1,0))</f>
        <v>0.70160660893089999</v>
      </c>
      <c r="S157" s="18">
        <f t="shared" si="17"/>
        <v>26.4399999999996</v>
      </c>
      <c r="T157" s="18">
        <f t="shared" si="18"/>
        <v>49.010000000000218</v>
      </c>
      <c r="U157" s="18">
        <f t="shared" si="26"/>
        <v>61.240813576756537</v>
      </c>
      <c r="V157" s="33">
        <f ca="1">AVERAGE(E157:OFFSET(E157,-V$5+1,0))</f>
        <v>6311.909285714285</v>
      </c>
      <c r="W157" s="33">
        <f t="shared" ca="1" si="19"/>
        <v>6403.7705060794196</v>
      </c>
      <c r="X157" s="33">
        <f t="shared" ca="1" si="20"/>
        <v>6220.0480653491504</v>
      </c>
      <c r="Y157" s="32">
        <f t="shared" ca="1" si="27"/>
        <v>0</v>
      </c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</row>
    <row r="158" spans="1:50">
      <c r="A158" s="5">
        <v>38587</v>
      </c>
      <c r="B158" s="4">
        <v>6211.15</v>
      </c>
      <c r="C158" s="4">
        <v>6234.31</v>
      </c>
      <c r="D158" s="4">
        <v>6195.18</v>
      </c>
      <c r="E158" s="4">
        <v>6195.18</v>
      </c>
      <c r="F158" s="4">
        <v>2654600</v>
      </c>
      <c r="G158" s="8">
        <f t="shared" si="29"/>
        <v>4.5</v>
      </c>
      <c r="H158" s="8">
        <f t="shared" si="28"/>
        <v>-15.969999999999345</v>
      </c>
      <c r="I158" s="20">
        <f t="shared" ca="1" si="21"/>
        <v>0</v>
      </c>
      <c r="J158" s="8">
        <f t="shared" ca="1" si="22"/>
        <v>1</v>
      </c>
      <c r="K158" s="8">
        <f t="shared" ca="1" si="23"/>
        <v>-11.469999999999345</v>
      </c>
      <c r="L158" s="8">
        <f t="shared" ca="1" si="24"/>
        <v>-228.73999999999978</v>
      </c>
      <c r="M158" s="9">
        <f ca="1">AVERAGE(E158:OFFSET(E158,-M$5+1,0))</f>
        <v>6255.6759999999995</v>
      </c>
      <c r="N158" s="9">
        <f ca="1">AVERAGE(E158:OFFSET(E158,-N$5+1,0))</f>
        <v>6312.5434999999998</v>
      </c>
      <c r="O158" s="9">
        <f t="shared" ca="1" si="25"/>
        <v>0</v>
      </c>
      <c r="P158" s="14">
        <f t="shared" si="30"/>
        <v>-0.18497275434956115</v>
      </c>
      <c r="Q158" s="15">
        <f ca="1">STDEV(P158:OFFSET(P158,-$Q$5+1,0))</f>
        <v>0.63527952310069924</v>
      </c>
      <c r="R158" s="15">
        <f ca="1">STDEV(P158:OFFSET(P158,-$R$5+1,0))</f>
        <v>0.69801417527496579</v>
      </c>
      <c r="S158" s="18">
        <f t="shared" si="17"/>
        <v>39.130000000000109</v>
      </c>
      <c r="T158" s="18">
        <f t="shared" si="18"/>
        <v>39.130000000000109</v>
      </c>
      <c r="U158" s="18">
        <f t="shared" si="26"/>
        <v>58.292705099855681</v>
      </c>
      <c r="V158" s="33">
        <f ca="1">AVERAGE(E158:OFFSET(E158,-V$5+1,0))</f>
        <v>6301.3121428571421</v>
      </c>
      <c r="W158" s="33">
        <f t="shared" ca="1" si="19"/>
        <v>6388.7512005069257</v>
      </c>
      <c r="X158" s="33">
        <f t="shared" ca="1" si="20"/>
        <v>6213.8730852073586</v>
      </c>
      <c r="Y158" s="32">
        <f t="shared" ca="1" si="27"/>
        <v>0</v>
      </c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</row>
    <row r="159" spans="1:50">
      <c r="A159" s="5">
        <v>38588</v>
      </c>
      <c r="B159" s="4">
        <v>6174.25</v>
      </c>
      <c r="C159" s="4">
        <v>6174.79</v>
      </c>
      <c r="D159" s="4">
        <v>6126.97</v>
      </c>
      <c r="E159" s="4">
        <v>6127.24</v>
      </c>
      <c r="F159" s="4">
        <v>2879000</v>
      </c>
      <c r="G159" s="8">
        <f t="shared" si="29"/>
        <v>-20.930000000000291</v>
      </c>
      <c r="H159" s="8">
        <f t="shared" si="28"/>
        <v>-47.010000000000218</v>
      </c>
      <c r="I159" s="20">
        <f t="shared" ca="1" si="21"/>
        <v>0</v>
      </c>
      <c r="J159" s="8">
        <f t="shared" ca="1" si="22"/>
        <v>1</v>
      </c>
      <c r="K159" s="8">
        <f t="shared" ca="1" si="23"/>
        <v>-67.940000000000509</v>
      </c>
      <c r="L159" s="8">
        <f t="shared" ca="1" si="24"/>
        <v>-296.68000000000029</v>
      </c>
      <c r="M159" s="9">
        <f ca="1">AVERAGE(E159:OFFSET(E159,-M$5+1,0))</f>
        <v>6232.7159999999994</v>
      </c>
      <c r="N159" s="9">
        <f ca="1">AVERAGE(E159:OFFSET(E159,-N$5+1,0))</f>
        <v>6300.5974999999999</v>
      </c>
      <c r="O159" s="9">
        <f t="shared" ca="1" si="25"/>
        <v>0</v>
      </c>
      <c r="P159" s="14">
        <f t="shared" si="30"/>
        <v>-1.1027166489734632</v>
      </c>
      <c r="Q159" s="15">
        <f ca="1">STDEV(P159:OFFSET(P159,-$Q$5+1,0))</f>
        <v>0.68530785456936294</v>
      </c>
      <c r="R159" s="15">
        <f ca="1">STDEV(P159:OFFSET(P159,-$R$5+1,0))</f>
        <v>0.71246938180402009</v>
      </c>
      <c r="S159" s="18">
        <f t="shared" si="17"/>
        <v>47.819999999999709</v>
      </c>
      <c r="T159" s="18">
        <f t="shared" si="18"/>
        <v>68.210000000000036</v>
      </c>
      <c r="U159" s="18">
        <f t="shared" si="26"/>
        <v>59.6150110865416</v>
      </c>
      <c r="V159" s="33">
        <f ca="1">AVERAGE(E159:OFFSET(E159,-V$5+1,0))</f>
        <v>6277.86</v>
      </c>
      <c r="W159" s="33">
        <f t="shared" ca="1" si="19"/>
        <v>6367.2825166298117</v>
      </c>
      <c r="X159" s="33">
        <f t="shared" ca="1" si="20"/>
        <v>6188.4374833701877</v>
      </c>
      <c r="Y159" s="32">
        <f t="shared" ca="1" si="27"/>
        <v>0</v>
      </c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</row>
    <row r="160" spans="1:50">
      <c r="A160" s="5">
        <v>38589</v>
      </c>
      <c r="B160" s="4">
        <v>6103.46</v>
      </c>
      <c r="C160" s="4">
        <v>6153.62</v>
      </c>
      <c r="D160" s="4">
        <v>6097.23</v>
      </c>
      <c r="E160" s="4">
        <v>6109.66</v>
      </c>
      <c r="F160" s="4">
        <v>3113400</v>
      </c>
      <c r="G160" s="8">
        <f t="shared" si="29"/>
        <v>-23.779999999999745</v>
      </c>
      <c r="H160" s="8">
        <f t="shared" si="28"/>
        <v>6.1999999999998181</v>
      </c>
      <c r="I160" s="20">
        <f t="shared" ca="1" si="21"/>
        <v>0</v>
      </c>
      <c r="J160" s="8">
        <f t="shared" ca="1" si="22"/>
        <v>1</v>
      </c>
      <c r="K160" s="8">
        <f t="shared" ca="1" si="23"/>
        <v>-17.579999999999927</v>
      </c>
      <c r="L160" s="8">
        <f t="shared" ca="1" si="24"/>
        <v>-314.26000000000022</v>
      </c>
      <c r="M160" s="9">
        <f ca="1">AVERAGE(E160:OFFSET(E160,-M$5+1,0))</f>
        <v>6208.3109999999997</v>
      </c>
      <c r="N160" s="9">
        <f ca="1">AVERAGE(E160:OFFSET(E160,-N$5+1,0))</f>
        <v>6289.7179999999998</v>
      </c>
      <c r="O160" s="9">
        <f t="shared" ca="1" si="25"/>
        <v>0</v>
      </c>
      <c r="P160" s="14">
        <f t="shared" si="30"/>
        <v>-0.28732787053328512</v>
      </c>
      <c r="Q160" s="15">
        <f ca="1">STDEV(P160:OFFSET(P160,-$Q$5+1,0))</f>
        <v>0.67709528629127547</v>
      </c>
      <c r="R160" s="15">
        <f ca="1">STDEV(P160:OFFSET(P160,-$R$5+1,0))</f>
        <v>0.711682461189585</v>
      </c>
      <c r="S160" s="18">
        <f t="shared" si="17"/>
        <v>56.390000000000327</v>
      </c>
      <c r="T160" s="18">
        <f t="shared" si="18"/>
        <v>56.390000000000327</v>
      </c>
      <c r="U160" s="18">
        <f t="shared" si="26"/>
        <v>59.185009608336102</v>
      </c>
      <c r="V160" s="33">
        <f ca="1">AVERAGE(E160:OFFSET(E160,-V$5+1,0))</f>
        <v>6253.8349999999991</v>
      </c>
      <c r="W160" s="33">
        <f t="shared" ca="1" si="19"/>
        <v>6342.6125144125035</v>
      </c>
      <c r="X160" s="33">
        <f t="shared" ca="1" si="20"/>
        <v>6165.0574855874947</v>
      </c>
      <c r="Y160" s="32">
        <f t="shared" ca="1" si="27"/>
        <v>0</v>
      </c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</row>
    <row r="161" spans="1:50">
      <c r="A161" s="5">
        <v>38590</v>
      </c>
      <c r="B161" s="4">
        <v>6130.83</v>
      </c>
      <c r="C161" s="4">
        <v>6148.95</v>
      </c>
      <c r="D161" s="4">
        <v>6107</v>
      </c>
      <c r="E161" s="4">
        <v>6136.55</v>
      </c>
      <c r="F161" s="4">
        <v>2661800</v>
      </c>
      <c r="G161" s="8">
        <f t="shared" si="29"/>
        <v>21.170000000000073</v>
      </c>
      <c r="H161" s="8">
        <f t="shared" si="28"/>
        <v>5.7200000000002547</v>
      </c>
      <c r="I161" s="20">
        <f t="shared" ca="1" si="21"/>
        <v>0</v>
      </c>
      <c r="J161" s="8">
        <f t="shared" ca="1" si="22"/>
        <v>1</v>
      </c>
      <c r="K161" s="8">
        <f t="shared" ca="1" si="23"/>
        <v>26.890000000000327</v>
      </c>
      <c r="L161" s="8">
        <f t="shared" ca="1" si="24"/>
        <v>-287.36999999999989</v>
      </c>
      <c r="M161" s="9">
        <f ca="1">AVERAGE(E161:OFFSET(E161,-M$5+1,0))</f>
        <v>6186.8759999999993</v>
      </c>
      <c r="N161" s="9">
        <f ca="1">AVERAGE(E161:OFFSET(E161,-N$5+1,0))</f>
        <v>6277.7634999999991</v>
      </c>
      <c r="O161" s="9">
        <f t="shared" ca="1" si="25"/>
        <v>0</v>
      </c>
      <c r="P161" s="14">
        <f t="shared" si="30"/>
        <v>0.43915698353109123</v>
      </c>
      <c r="Q161" s="15">
        <f ca="1">STDEV(P161:OFFSET(P161,-$Q$5+1,0))</f>
        <v>0.72051878208130493</v>
      </c>
      <c r="R161" s="15">
        <f ca="1">STDEV(P161:OFFSET(P161,-$R$5+1,0))</f>
        <v>0.68540344429808553</v>
      </c>
      <c r="S161" s="18">
        <f t="shared" si="17"/>
        <v>41.949999999999818</v>
      </c>
      <c r="T161" s="18">
        <f t="shared" si="18"/>
        <v>41.949999999999818</v>
      </c>
      <c r="U161" s="18">
        <f t="shared" si="26"/>
        <v>56.887008327224606</v>
      </c>
      <c r="V161" s="33">
        <f ca="1">AVERAGE(E161:OFFSET(E161,-V$5+1,0))</f>
        <v>6236.4435714285719</v>
      </c>
      <c r="W161" s="33">
        <f t="shared" ca="1" si="19"/>
        <v>6321.7740839194084</v>
      </c>
      <c r="X161" s="33">
        <f t="shared" ca="1" si="20"/>
        <v>6151.1130589377353</v>
      </c>
      <c r="Y161" s="32">
        <f t="shared" ca="1" si="27"/>
        <v>0</v>
      </c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</row>
    <row r="162" spans="1:50">
      <c r="A162" s="5">
        <v>38593</v>
      </c>
      <c r="B162" s="4">
        <v>6117.27</v>
      </c>
      <c r="C162" s="4">
        <v>6130.79</v>
      </c>
      <c r="D162" s="4">
        <v>6031.2</v>
      </c>
      <c r="E162" s="4">
        <v>6049.44</v>
      </c>
      <c r="F162" s="4">
        <v>2578200</v>
      </c>
      <c r="G162" s="8">
        <f t="shared" si="29"/>
        <v>-19.279999999999745</v>
      </c>
      <c r="H162" s="8">
        <f t="shared" si="28"/>
        <v>-67.830000000000837</v>
      </c>
      <c r="I162" s="20">
        <f t="shared" ca="1" si="21"/>
        <v>0</v>
      </c>
      <c r="J162" s="8">
        <f t="shared" ca="1" si="22"/>
        <v>1</v>
      </c>
      <c r="K162" s="8">
        <f t="shared" ca="1" si="23"/>
        <v>-87.110000000000582</v>
      </c>
      <c r="L162" s="8">
        <f t="shared" ca="1" si="24"/>
        <v>-374.48000000000047</v>
      </c>
      <c r="M162" s="9">
        <f ca="1">AVERAGE(E162:OFFSET(E162,-M$5+1,0))</f>
        <v>6167.3070000000007</v>
      </c>
      <c r="N162" s="9">
        <f ca="1">AVERAGE(E162:OFFSET(E162,-N$5+1,0))</f>
        <v>6264.6365000000005</v>
      </c>
      <c r="O162" s="9">
        <f t="shared" ca="1" si="25"/>
        <v>0</v>
      </c>
      <c r="P162" s="14">
        <f t="shared" si="30"/>
        <v>-1.429698921415943</v>
      </c>
      <c r="Q162" s="15">
        <f ca="1">STDEV(P162:OFFSET(P162,-$Q$5+1,0))</f>
        <v>0.6717351331116892</v>
      </c>
      <c r="R162" s="15">
        <f ca="1">STDEV(P162:OFFSET(P162,-$R$5+1,0))</f>
        <v>0.71883025190923378</v>
      </c>
      <c r="S162" s="18">
        <f t="shared" si="17"/>
        <v>99.590000000000146</v>
      </c>
      <c r="T162" s="18">
        <f t="shared" si="18"/>
        <v>105.35000000000036</v>
      </c>
      <c r="U162" s="18">
        <f t="shared" si="26"/>
        <v>63.348740550261375</v>
      </c>
      <c r="V162" s="33">
        <f ca="1">AVERAGE(E162:OFFSET(E162,-V$5+1,0))</f>
        <v>6212.8321428571435</v>
      </c>
      <c r="W162" s="33">
        <f t="shared" ca="1" si="19"/>
        <v>6307.8552536825355</v>
      </c>
      <c r="X162" s="33">
        <f t="shared" ca="1" si="20"/>
        <v>6117.8090320317515</v>
      </c>
      <c r="Y162" s="32">
        <f t="shared" ca="1" si="27"/>
        <v>0</v>
      </c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</row>
    <row r="163" spans="1:50">
      <c r="A163" s="5">
        <v>38594</v>
      </c>
      <c r="B163" s="4">
        <v>6087.86</v>
      </c>
      <c r="C163" s="4">
        <v>6087.86</v>
      </c>
      <c r="D163" s="4">
        <v>6021.97</v>
      </c>
      <c r="E163" s="4">
        <v>6032.12</v>
      </c>
      <c r="F163" s="4">
        <v>2676600</v>
      </c>
      <c r="G163" s="8">
        <f t="shared" si="29"/>
        <v>38.420000000000073</v>
      </c>
      <c r="H163" s="8">
        <f t="shared" si="28"/>
        <v>-55.739999999999782</v>
      </c>
      <c r="I163" s="20">
        <f t="shared" ca="1" si="21"/>
        <v>0</v>
      </c>
      <c r="J163" s="8">
        <f t="shared" ca="1" si="22"/>
        <v>1</v>
      </c>
      <c r="K163" s="8">
        <f t="shared" ca="1" si="23"/>
        <v>-17.319999999999709</v>
      </c>
      <c r="L163" s="8">
        <f t="shared" ca="1" si="24"/>
        <v>-391.80000000000018</v>
      </c>
      <c r="M163" s="9">
        <f ca="1">AVERAGE(E163:OFFSET(E163,-M$5+1,0))</f>
        <v>6146.2790000000005</v>
      </c>
      <c r="N163" s="9">
        <f ca="1">AVERAGE(E163:OFFSET(E163,-N$5+1,0))</f>
        <v>6250.8460000000005</v>
      </c>
      <c r="O163" s="9">
        <f t="shared" ca="1" si="25"/>
        <v>0</v>
      </c>
      <c r="P163" s="14">
        <f t="shared" si="30"/>
        <v>-0.286718136817605</v>
      </c>
      <c r="Q163" s="15">
        <f ca="1">STDEV(P163:OFFSET(P163,-$Q$5+1,0))</f>
        <v>0.66505830975182567</v>
      </c>
      <c r="R163" s="15">
        <f ca="1">STDEV(P163:OFFSET(P163,-$R$5+1,0))</f>
        <v>0.71371017637611145</v>
      </c>
      <c r="S163" s="18">
        <f t="shared" si="17"/>
        <v>65.889999999999418</v>
      </c>
      <c r="T163" s="18">
        <f t="shared" si="18"/>
        <v>65.889999999999418</v>
      </c>
      <c r="U163" s="18">
        <f t="shared" si="26"/>
        <v>63.687575143559783</v>
      </c>
      <c r="V163" s="33">
        <f ca="1">AVERAGE(E163:OFFSET(E163,-V$5+1,0))</f>
        <v>6189.6378571428568</v>
      </c>
      <c r="W163" s="33">
        <f t="shared" ca="1" si="19"/>
        <v>6285.1692198581968</v>
      </c>
      <c r="X163" s="33">
        <f t="shared" ca="1" si="20"/>
        <v>6094.1064944275167</v>
      </c>
      <c r="Y163" s="32">
        <f t="shared" ca="1" si="27"/>
        <v>0</v>
      </c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</row>
    <row r="164" spans="1:50">
      <c r="A164" s="5">
        <v>38595</v>
      </c>
      <c r="B164" s="4">
        <v>6041.86</v>
      </c>
      <c r="C164" s="4">
        <v>6078.17</v>
      </c>
      <c r="D164" s="4">
        <v>5976.4</v>
      </c>
      <c r="E164" s="4">
        <v>6033.47</v>
      </c>
      <c r="F164" s="4">
        <v>2955000</v>
      </c>
      <c r="G164" s="8">
        <f t="shared" si="29"/>
        <v>9.7399999999997817</v>
      </c>
      <c r="H164" s="8">
        <f t="shared" si="28"/>
        <v>-8.3899999999994179</v>
      </c>
      <c r="I164" s="20">
        <f t="shared" ca="1" si="21"/>
        <v>0</v>
      </c>
      <c r="J164" s="8">
        <f t="shared" ca="1" si="22"/>
        <v>1</v>
      </c>
      <c r="K164" s="8">
        <f t="shared" ca="1" si="23"/>
        <v>1.3500000000003638</v>
      </c>
      <c r="L164" s="8">
        <f t="shared" ca="1" si="24"/>
        <v>-390.44999999999982</v>
      </c>
      <c r="M164" s="9">
        <f ca="1">AVERAGE(E164:OFFSET(E164,-M$5+1,0))</f>
        <v>6125.4340000000002</v>
      </c>
      <c r="N164" s="9">
        <f ca="1">AVERAGE(E164:OFFSET(E164,-N$5+1,0))</f>
        <v>6235.3425000000007</v>
      </c>
      <c r="O164" s="9">
        <f t="shared" ca="1" si="25"/>
        <v>0</v>
      </c>
      <c r="P164" s="14">
        <f t="shared" si="30"/>
        <v>2.2377687384265654E-2</v>
      </c>
      <c r="Q164" s="15">
        <f ca="1">STDEV(P164:OFFSET(P164,-$Q$5+1,0))</f>
        <v>0.66680665937446149</v>
      </c>
      <c r="R164" s="15">
        <f ca="1">STDEV(P164:OFFSET(P164,-$R$5+1,0))</f>
        <v>0.71384544606242972</v>
      </c>
      <c r="S164" s="18">
        <f t="shared" si="17"/>
        <v>101.77000000000044</v>
      </c>
      <c r="T164" s="18">
        <f t="shared" si="18"/>
        <v>101.77000000000044</v>
      </c>
      <c r="U164" s="18">
        <f t="shared" si="26"/>
        <v>68.765231791085213</v>
      </c>
      <c r="V164" s="33">
        <f ca="1">AVERAGE(E164:OFFSET(E164,-V$5+1,0))</f>
        <v>6166.7635714285716</v>
      </c>
      <c r="W164" s="33">
        <f t="shared" ca="1" si="19"/>
        <v>6269.9114191151994</v>
      </c>
      <c r="X164" s="33">
        <f t="shared" ca="1" si="20"/>
        <v>6063.6157237419438</v>
      </c>
      <c r="Y164" s="32">
        <f t="shared" ca="1" si="27"/>
        <v>0</v>
      </c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</row>
    <row r="165" spans="1:50">
      <c r="A165" s="5">
        <v>38597</v>
      </c>
      <c r="B165" s="4">
        <v>6081.71</v>
      </c>
      <c r="C165" s="4">
        <v>6116.05</v>
      </c>
      <c r="D165" s="4">
        <v>6075.35</v>
      </c>
      <c r="E165" s="4">
        <v>6116.05</v>
      </c>
      <c r="F165" s="4">
        <v>2964000</v>
      </c>
      <c r="G165" s="8">
        <f t="shared" si="29"/>
        <v>48.239999999999782</v>
      </c>
      <c r="H165" s="8">
        <f t="shared" si="28"/>
        <v>34.340000000000146</v>
      </c>
      <c r="I165" s="20">
        <f t="shared" ca="1" si="21"/>
        <v>0</v>
      </c>
      <c r="J165" s="8">
        <f t="shared" ca="1" si="22"/>
        <v>1</v>
      </c>
      <c r="K165" s="8">
        <f t="shared" ca="1" si="23"/>
        <v>82.579999999999927</v>
      </c>
      <c r="L165" s="8">
        <f t="shared" ca="1" si="24"/>
        <v>-307.86999999999989</v>
      </c>
      <c r="M165" s="9">
        <f ca="1">AVERAGE(E165:OFFSET(E165,-M$5+1,0))</f>
        <v>6116.5300000000007</v>
      </c>
      <c r="N165" s="9">
        <f ca="1">AVERAGE(E165:OFFSET(E165,-N$5+1,0))</f>
        <v>6218.3665000000001</v>
      </c>
      <c r="O165" s="9">
        <f t="shared" ca="1" si="25"/>
        <v>0</v>
      </c>
      <c r="P165" s="14">
        <f t="shared" si="30"/>
        <v>1.3594162030537105</v>
      </c>
      <c r="Q165" s="15">
        <f ca="1">STDEV(P165:OFFSET(P165,-$Q$5+1,0))</f>
        <v>0.84618300129694646</v>
      </c>
      <c r="R165" s="15">
        <f ca="1">STDEV(P165:OFFSET(P165,-$R$5+1,0))</f>
        <v>0.74445299507140794</v>
      </c>
      <c r="S165" s="18">
        <f t="shared" si="17"/>
        <v>40.699999999999818</v>
      </c>
      <c r="T165" s="18">
        <f t="shared" si="18"/>
        <v>82.579999999999927</v>
      </c>
      <c r="U165" s="18">
        <f t="shared" si="26"/>
        <v>70.60720088560717</v>
      </c>
      <c r="V165" s="33">
        <f ca="1">AVERAGE(E165:OFFSET(E165,-V$5+1,0))</f>
        <v>6149.988571428571</v>
      </c>
      <c r="W165" s="33">
        <f t="shared" ca="1" si="19"/>
        <v>6255.8993727569814</v>
      </c>
      <c r="X165" s="33">
        <f t="shared" ca="1" si="20"/>
        <v>6044.0777701001607</v>
      </c>
      <c r="Y165" s="32">
        <f t="shared" ca="1" si="27"/>
        <v>0</v>
      </c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</row>
    <row r="166" spans="1:50">
      <c r="A166" s="5">
        <v>38600</v>
      </c>
      <c r="B166" s="4">
        <v>6131.95</v>
      </c>
      <c r="C166" s="4">
        <v>6131.95</v>
      </c>
      <c r="D166" s="4">
        <v>6094</v>
      </c>
      <c r="E166" s="4">
        <v>6098.78</v>
      </c>
      <c r="F166" s="4">
        <v>2384200</v>
      </c>
      <c r="G166" s="8">
        <f t="shared" si="29"/>
        <v>15.899999999999636</v>
      </c>
      <c r="H166" s="8">
        <f t="shared" si="28"/>
        <v>-33.170000000000073</v>
      </c>
      <c r="I166" s="20">
        <f t="shared" ca="1" si="21"/>
        <v>0</v>
      </c>
      <c r="J166" s="8">
        <f t="shared" ca="1" si="22"/>
        <v>1</v>
      </c>
      <c r="K166" s="8">
        <f t="shared" ca="1" si="23"/>
        <v>-17.270000000000437</v>
      </c>
      <c r="L166" s="8">
        <f t="shared" ca="1" si="24"/>
        <v>-325.14000000000033</v>
      </c>
      <c r="M166" s="9">
        <f ca="1">AVERAGE(E166:OFFSET(E166,-M$5+1,0))</f>
        <v>6110.514000000001</v>
      </c>
      <c r="N166" s="9">
        <f ca="1">AVERAGE(E166:OFFSET(E166,-N$5+1,0))</f>
        <v>6201.0049999999992</v>
      </c>
      <c r="O166" s="9">
        <f t="shared" ca="1" si="25"/>
        <v>0</v>
      </c>
      <c r="P166" s="14">
        <f t="shared" si="30"/>
        <v>-0.28277121347595258</v>
      </c>
      <c r="Q166" s="15">
        <f ca="1">STDEV(P166:OFFSET(P166,-$Q$5+1,0))</f>
        <v>0.82188419964864901</v>
      </c>
      <c r="R166" s="15">
        <f ca="1">STDEV(P166:OFFSET(P166,-$R$5+1,0))</f>
        <v>0.74518205800547355</v>
      </c>
      <c r="S166" s="18">
        <f t="shared" si="17"/>
        <v>37.949999999999818</v>
      </c>
      <c r="T166" s="18">
        <f t="shared" si="18"/>
        <v>37.949999999999818</v>
      </c>
      <c r="U166" s="18">
        <f t="shared" si="26"/>
        <v>66.252907434192863</v>
      </c>
      <c r="V166" s="33">
        <f ca="1">AVERAGE(E166:OFFSET(E166,-V$5+1,0))</f>
        <v>6139.5350000000008</v>
      </c>
      <c r="W166" s="33">
        <f t="shared" ca="1" si="19"/>
        <v>6238.91436115129</v>
      </c>
      <c r="X166" s="33">
        <f t="shared" ca="1" si="20"/>
        <v>6040.1556388487115</v>
      </c>
      <c r="Y166" s="32">
        <f t="shared" ca="1" si="27"/>
        <v>0</v>
      </c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</row>
    <row r="167" spans="1:50">
      <c r="A167" s="5">
        <v>38601</v>
      </c>
      <c r="B167" s="4">
        <v>6141.28</v>
      </c>
      <c r="C167" s="4">
        <v>6145.3</v>
      </c>
      <c r="D167" s="4">
        <v>6123.84</v>
      </c>
      <c r="E167" s="4">
        <v>6140.14</v>
      </c>
      <c r="F167" s="4">
        <v>2365800</v>
      </c>
      <c r="G167" s="8">
        <f t="shared" si="29"/>
        <v>42.5</v>
      </c>
      <c r="H167" s="8">
        <f t="shared" si="28"/>
        <v>-1.1399999999994179</v>
      </c>
      <c r="I167" s="20">
        <f t="shared" ca="1" si="21"/>
        <v>0</v>
      </c>
      <c r="J167" s="8">
        <f t="shared" ca="1" si="22"/>
        <v>1</v>
      </c>
      <c r="K167" s="8">
        <f t="shared" ca="1" si="23"/>
        <v>41.360000000000582</v>
      </c>
      <c r="L167" s="8">
        <f t="shared" ca="1" si="24"/>
        <v>-283.77999999999975</v>
      </c>
      <c r="M167" s="9">
        <f ca="1">AVERAGE(E167:OFFSET(E167,-M$5+1,0))</f>
        <v>6103.8630000000003</v>
      </c>
      <c r="N167" s="9">
        <f ca="1">AVERAGE(E167:OFFSET(E167,-N$5+1,0))</f>
        <v>6189.0105000000003</v>
      </c>
      <c r="O167" s="9">
        <f t="shared" ca="1" si="25"/>
        <v>0</v>
      </c>
      <c r="P167" s="14">
        <f t="shared" si="30"/>
        <v>0.67587920254384226</v>
      </c>
      <c r="Q167" s="15">
        <f ca="1">STDEV(P167:OFFSET(P167,-$Q$5+1,0))</f>
        <v>0.81110850243562216</v>
      </c>
      <c r="R167" s="15">
        <f ca="1">STDEV(P167:OFFSET(P167,-$R$5+1,0))</f>
        <v>0.7537251630257823</v>
      </c>
      <c r="S167" s="18">
        <f t="shared" si="17"/>
        <v>21.460000000000036</v>
      </c>
      <c r="T167" s="18">
        <f t="shared" si="18"/>
        <v>46.520000000000437</v>
      </c>
      <c r="U167" s="18">
        <f t="shared" si="26"/>
        <v>63.621853109633875</v>
      </c>
      <c r="V167" s="33">
        <f ca="1">AVERAGE(E167:OFFSET(E167,-V$5+1,0))</f>
        <v>6132.2307142857144</v>
      </c>
      <c r="W167" s="33">
        <f t="shared" ca="1" si="19"/>
        <v>6227.6634939501655</v>
      </c>
      <c r="X167" s="33">
        <f t="shared" ca="1" si="20"/>
        <v>6036.7979346212633</v>
      </c>
      <c r="Y167" s="32">
        <f t="shared" ca="1" si="27"/>
        <v>0</v>
      </c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</row>
    <row r="168" spans="1:50">
      <c r="A168" s="5">
        <v>38602</v>
      </c>
      <c r="B168" s="4">
        <v>6168.51</v>
      </c>
      <c r="C168" s="4">
        <v>6168.51</v>
      </c>
      <c r="D168" s="4">
        <v>6130.56</v>
      </c>
      <c r="E168" s="4">
        <v>6141.14</v>
      </c>
      <c r="F168" s="4">
        <v>2522800</v>
      </c>
      <c r="G168" s="8">
        <f t="shared" si="29"/>
        <v>28.369999999999891</v>
      </c>
      <c r="H168" s="8">
        <f t="shared" si="28"/>
        <v>-27.369999999999891</v>
      </c>
      <c r="I168" s="20">
        <f t="shared" ca="1" si="21"/>
        <v>0</v>
      </c>
      <c r="J168" s="8">
        <f t="shared" ca="1" si="22"/>
        <v>1</v>
      </c>
      <c r="K168" s="8">
        <f t="shared" ca="1" si="23"/>
        <v>1</v>
      </c>
      <c r="L168" s="8">
        <f t="shared" ca="1" si="24"/>
        <v>-282.77999999999975</v>
      </c>
      <c r="M168" s="9">
        <f ca="1">AVERAGE(E168:OFFSET(E168,-M$5+1,0))</f>
        <v>6098.4589999999998</v>
      </c>
      <c r="N168" s="9">
        <f ca="1">AVERAGE(E168:OFFSET(E168,-N$5+1,0))</f>
        <v>6177.0675000000001</v>
      </c>
      <c r="O168" s="9">
        <f t="shared" ca="1" si="25"/>
        <v>0</v>
      </c>
      <c r="P168" s="14">
        <f t="shared" si="30"/>
        <v>1.6284947533320403E-2</v>
      </c>
      <c r="Q168" s="15">
        <f ca="1">STDEV(P168:OFFSET(P168,-$Q$5+1,0))</f>
        <v>0.81147594337665674</v>
      </c>
      <c r="R168" s="15">
        <f ca="1">STDEV(P168:OFFSET(P168,-$R$5+1,0))</f>
        <v>0.75335559910326833</v>
      </c>
      <c r="S168" s="18">
        <f t="shared" si="17"/>
        <v>37.949999999999818</v>
      </c>
      <c r="T168" s="18">
        <f t="shared" si="18"/>
        <v>37.949999999999818</v>
      </c>
      <c r="U168" s="18">
        <f t="shared" si="26"/>
        <v>60.198939361682669</v>
      </c>
      <c r="V168" s="33">
        <f ca="1">AVERAGE(E168:OFFSET(E168,-V$5+1,0))</f>
        <v>6125.0321428571424</v>
      </c>
      <c r="W168" s="33">
        <f t="shared" ca="1" si="19"/>
        <v>6215.3305518996667</v>
      </c>
      <c r="X168" s="33">
        <f t="shared" ca="1" si="20"/>
        <v>6034.7337338146181</v>
      </c>
      <c r="Y168" s="32">
        <f t="shared" ca="1" si="27"/>
        <v>0</v>
      </c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</row>
    <row r="169" spans="1:50">
      <c r="A169" s="5">
        <v>38603</v>
      </c>
      <c r="B169" s="4">
        <v>6157.47</v>
      </c>
      <c r="C169" s="4">
        <v>6170</v>
      </c>
      <c r="D169" s="4">
        <v>6140.34</v>
      </c>
      <c r="E169" s="4">
        <v>6149.88</v>
      </c>
      <c r="F169" s="4">
        <v>2575200</v>
      </c>
      <c r="G169" s="8">
        <f t="shared" si="29"/>
        <v>16.329999999999927</v>
      </c>
      <c r="H169" s="8">
        <f t="shared" si="28"/>
        <v>-7.5900000000001455</v>
      </c>
      <c r="I169" s="20">
        <f t="shared" ca="1" si="21"/>
        <v>0</v>
      </c>
      <c r="J169" s="8">
        <f t="shared" ca="1" si="22"/>
        <v>1</v>
      </c>
      <c r="K169" s="8">
        <f t="shared" ca="1" si="23"/>
        <v>8.7399999999997817</v>
      </c>
      <c r="L169" s="8">
        <f t="shared" ca="1" si="24"/>
        <v>-274.03999999999996</v>
      </c>
      <c r="M169" s="9">
        <f ca="1">AVERAGE(E169:OFFSET(E169,-M$5+1,0))</f>
        <v>6100.723</v>
      </c>
      <c r="N169" s="9">
        <f ca="1">AVERAGE(E169:OFFSET(E169,-N$5+1,0))</f>
        <v>6166.7195000000002</v>
      </c>
      <c r="O169" s="9">
        <f t="shared" ca="1" si="25"/>
        <v>0</v>
      </c>
      <c r="P169" s="14">
        <f t="shared" si="30"/>
        <v>0.14221767555691286</v>
      </c>
      <c r="Q169" s="15">
        <f ca="1">STDEV(P169:OFFSET(P169,-$Q$5+1,0))</f>
        <v>0.7298277108960296</v>
      </c>
      <c r="R169" s="15">
        <f ca="1">STDEV(P169:OFFSET(P169,-$R$5+1,0))</f>
        <v>0.70898030132870449</v>
      </c>
      <c r="S169" s="18">
        <f t="shared" si="17"/>
        <v>29.659999999999854</v>
      </c>
      <c r="T169" s="18">
        <f t="shared" si="18"/>
        <v>29.659999999999854</v>
      </c>
      <c r="U169" s="18">
        <f t="shared" si="26"/>
        <v>56.127080780124963</v>
      </c>
      <c r="V169" s="33">
        <f ca="1">AVERAGE(E169:OFFSET(E169,-V$5+1,0))</f>
        <v>6121.0885714285732</v>
      </c>
      <c r="W169" s="33">
        <f t="shared" ca="1" si="19"/>
        <v>6205.2791925987603</v>
      </c>
      <c r="X169" s="33">
        <f t="shared" ca="1" si="20"/>
        <v>6036.8979502583861</v>
      </c>
      <c r="Y169" s="32">
        <f t="shared" ca="1" si="27"/>
        <v>0</v>
      </c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</row>
    <row r="170" spans="1:50">
      <c r="A170" s="5">
        <v>38604</v>
      </c>
      <c r="B170" s="4">
        <v>6161.8</v>
      </c>
      <c r="C170" s="4">
        <v>6167.9</v>
      </c>
      <c r="D170" s="4">
        <v>6108.4</v>
      </c>
      <c r="E170" s="4">
        <v>6119.06</v>
      </c>
      <c r="F170" s="4">
        <v>2400000</v>
      </c>
      <c r="G170" s="8">
        <f t="shared" si="29"/>
        <v>11.920000000000073</v>
      </c>
      <c r="H170" s="8">
        <f t="shared" si="28"/>
        <v>-42.739999999999782</v>
      </c>
      <c r="I170" s="20">
        <f t="shared" ca="1" si="21"/>
        <v>0</v>
      </c>
      <c r="J170" s="8">
        <f t="shared" ca="1" si="22"/>
        <v>1</v>
      </c>
      <c r="K170" s="8">
        <f t="shared" ca="1" si="23"/>
        <v>-30.819999999999709</v>
      </c>
      <c r="L170" s="8">
        <f t="shared" ca="1" si="24"/>
        <v>-304.85999999999967</v>
      </c>
      <c r="M170" s="9">
        <f ca="1">AVERAGE(E170:OFFSET(E170,-M$5+1,0))</f>
        <v>6101.6629999999996</v>
      </c>
      <c r="N170" s="9">
        <f ca="1">AVERAGE(E170:OFFSET(E170,-N$5+1,0))</f>
        <v>6154.9870000000001</v>
      </c>
      <c r="O170" s="9">
        <f t="shared" ca="1" si="25"/>
        <v>0</v>
      </c>
      <c r="P170" s="14">
        <f t="shared" si="30"/>
        <v>-0.50240794768310792</v>
      </c>
      <c r="Q170" s="15">
        <f ca="1">STDEV(P170:OFFSET(P170,-$Q$5+1,0))</f>
        <v>0.74348517909454048</v>
      </c>
      <c r="R170" s="15">
        <f ca="1">STDEV(P170:OFFSET(P170,-$R$5+1,0))</f>
        <v>0.6930525000116089</v>
      </c>
      <c r="S170" s="18">
        <f t="shared" si="17"/>
        <v>59.5</v>
      </c>
      <c r="T170" s="18">
        <f t="shared" si="18"/>
        <v>59.5</v>
      </c>
      <c r="U170" s="18">
        <f t="shared" si="26"/>
        <v>56.576803342774966</v>
      </c>
      <c r="V170" s="33">
        <f ca="1">AVERAGE(E170:OFFSET(E170,-V$5+1,0))</f>
        <v>6118.2400000000007</v>
      </c>
      <c r="W170" s="33">
        <f t="shared" ca="1" si="19"/>
        <v>6203.1052050141634</v>
      </c>
      <c r="X170" s="33">
        <f t="shared" ca="1" si="20"/>
        <v>6033.374794985838</v>
      </c>
      <c r="Y170" s="32">
        <f t="shared" ca="1" si="27"/>
        <v>0</v>
      </c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</row>
    <row r="171" spans="1:50">
      <c r="A171" s="5">
        <v>38607</v>
      </c>
      <c r="B171" s="4">
        <v>6155.38</v>
      </c>
      <c r="C171" s="4">
        <v>6166.11</v>
      </c>
      <c r="D171" s="4">
        <v>6130.99</v>
      </c>
      <c r="E171" s="4">
        <v>6164.98</v>
      </c>
      <c r="F171" s="4">
        <v>2486200</v>
      </c>
      <c r="G171" s="8">
        <f t="shared" si="29"/>
        <v>36.319999999999709</v>
      </c>
      <c r="H171" s="8">
        <f t="shared" si="28"/>
        <v>9.5999999999994543</v>
      </c>
      <c r="I171" s="20">
        <f t="shared" ca="1" si="21"/>
        <v>0</v>
      </c>
      <c r="J171" s="8">
        <f t="shared" ca="1" si="22"/>
        <v>1</v>
      </c>
      <c r="K171" s="8">
        <f t="shared" ca="1" si="23"/>
        <v>45.919999999999163</v>
      </c>
      <c r="L171" s="8">
        <f t="shared" ca="1" si="24"/>
        <v>-258.94000000000051</v>
      </c>
      <c r="M171" s="9">
        <f ca="1">AVERAGE(E171:OFFSET(E171,-M$5+1,0))</f>
        <v>6104.5059999999994</v>
      </c>
      <c r="N171" s="9">
        <f ca="1">AVERAGE(E171:OFFSET(E171,-N$5+1,0))</f>
        <v>6145.6909999999998</v>
      </c>
      <c r="O171" s="9">
        <f t="shared" ca="1" si="25"/>
        <v>0</v>
      </c>
      <c r="P171" s="14">
        <f t="shared" si="30"/>
        <v>0.74764025349047603</v>
      </c>
      <c r="Q171" s="15">
        <f ca="1">STDEV(P171:OFFSET(P171,-$Q$5+1,0))</f>
        <v>0.76898474027948649</v>
      </c>
      <c r="R171" s="15">
        <f ca="1">STDEV(P171:OFFSET(P171,-$R$5+1,0))</f>
        <v>0.70333113816512238</v>
      </c>
      <c r="S171" s="18">
        <f t="shared" si="17"/>
        <v>35.119999999999891</v>
      </c>
      <c r="T171" s="18">
        <f t="shared" si="18"/>
        <v>47.049999999999272</v>
      </c>
      <c r="U171" s="18">
        <f t="shared" si="26"/>
        <v>55.306562897071537</v>
      </c>
      <c r="V171" s="33">
        <f ca="1">AVERAGE(E171:OFFSET(E171,-V$5+1,0))</f>
        <v>6115.2635714285716</v>
      </c>
      <c r="W171" s="33">
        <f t="shared" ca="1" si="19"/>
        <v>6198.2234157741786</v>
      </c>
      <c r="X171" s="33">
        <f t="shared" ca="1" si="20"/>
        <v>6032.3037270829645</v>
      </c>
      <c r="Y171" s="32">
        <f t="shared" ca="1" si="27"/>
        <v>0</v>
      </c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</row>
    <row r="172" spans="1:50">
      <c r="A172" s="5">
        <v>38608</v>
      </c>
      <c r="B172" s="4">
        <v>6170.37</v>
      </c>
      <c r="C172" s="4">
        <v>6186.12</v>
      </c>
      <c r="D172" s="4">
        <v>6156.12</v>
      </c>
      <c r="E172" s="4">
        <v>6169.08</v>
      </c>
      <c r="F172" s="4">
        <v>2617600</v>
      </c>
      <c r="G172" s="8">
        <f t="shared" si="29"/>
        <v>5.3900000000003274</v>
      </c>
      <c r="H172" s="8">
        <f t="shared" si="28"/>
        <v>-1.2899999999999636</v>
      </c>
      <c r="I172" s="20">
        <f t="shared" ca="1" si="21"/>
        <v>0</v>
      </c>
      <c r="J172" s="8">
        <f t="shared" ca="1" si="22"/>
        <v>1</v>
      </c>
      <c r="K172" s="8">
        <f t="shared" ca="1" si="23"/>
        <v>4.1000000000003638</v>
      </c>
      <c r="L172" s="8">
        <f t="shared" ca="1" si="24"/>
        <v>-254.84000000000015</v>
      </c>
      <c r="M172" s="9">
        <f ca="1">AVERAGE(E172:OFFSET(E172,-M$5+1,0))</f>
        <v>6116.4699999999993</v>
      </c>
      <c r="N172" s="9">
        <f ca="1">AVERAGE(E172:OFFSET(E172,-N$5+1,0))</f>
        <v>6141.8885</v>
      </c>
      <c r="O172" s="9">
        <f t="shared" ca="1" si="25"/>
        <v>0</v>
      </c>
      <c r="P172" s="14">
        <f t="shared" si="30"/>
        <v>6.6482571854112701E-2</v>
      </c>
      <c r="Q172" s="15">
        <f ca="1">STDEV(P172:OFFSET(P172,-$Q$5+1,0))</f>
        <v>0.56962462008090131</v>
      </c>
      <c r="R172" s="15">
        <f ca="1">STDEV(P172:OFFSET(P172,-$R$5+1,0))</f>
        <v>0.69383019184861772</v>
      </c>
      <c r="S172" s="18">
        <f t="shared" si="17"/>
        <v>30</v>
      </c>
      <c r="T172" s="18">
        <f t="shared" si="18"/>
        <v>30</v>
      </c>
      <c r="U172" s="18">
        <f t="shared" si="26"/>
        <v>51.932354510795335</v>
      </c>
      <c r="V172" s="33">
        <f ca="1">AVERAGE(E172:OFFSET(E172,-V$5+1,0))</f>
        <v>6113.3992857142857</v>
      </c>
      <c r="W172" s="33">
        <f t="shared" ca="1" si="19"/>
        <v>6191.2978174804784</v>
      </c>
      <c r="X172" s="33">
        <f t="shared" ca="1" si="20"/>
        <v>6035.500753948093</v>
      </c>
      <c r="Y172" s="32">
        <f t="shared" ca="1" si="27"/>
        <v>0</v>
      </c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</row>
    <row r="173" spans="1:50">
      <c r="A173" s="5">
        <v>38609</v>
      </c>
      <c r="B173" s="4">
        <v>6159.97</v>
      </c>
      <c r="C173" s="4">
        <v>6172.89</v>
      </c>
      <c r="D173" s="4">
        <v>6132.99</v>
      </c>
      <c r="E173" s="4">
        <v>6148.7</v>
      </c>
      <c r="F173" s="4">
        <v>2165600</v>
      </c>
      <c r="G173" s="8">
        <f t="shared" si="29"/>
        <v>-9.1099999999996726</v>
      </c>
      <c r="H173" s="8">
        <f t="shared" si="28"/>
        <v>-11.270000000000437</v>
      </c>
      <c r="I173" s="20">
        <f t="shared" ca="1" si="21"/>
        <v>0</v>
      </c>
      <c r="J173" s="8">
        <f t="shared" ca="1" si="22"/>
        <v>1</v>
      </c>
      <c r="K173" s="8">
        <f t="shared" ca="1" si="23"/>
        <v>-20.380000000000109</v>
      </c>
      <c r="L173" s="8">
        <f t="shared" ca="1" si="24"/>
        <v>-275.22000000000025</v>
      </c>
      <c r="M173" s="9">
        <f ca="1">AVERAGE(E173:OFFSET(E173,-M$5+1,0))</f>
        <v>6128.1279999999997</v>
      </c>
      <c r="N173" s="9">
        <f ca="1">AVERAGE(E173:OFFSET(E173,-N$5+1,0))</f>
        <v>6137.2034999999996</v>
      </c>
      <c r="O173" s="9">
        <f t="shared" ca="1" si="25"/>
        <v>0</v>
      </c>
      <c r="P173" s="14">
        <f t="shared" si="30"/>
        <v>-0.3309040849296575</v>
      </c>
      <c r="Q173" s="15">
        <f ca="1">STDEV(P173:OFFSET(P173,-$Q$5+1,0))</f>
        <v>0.57393879048473873</v>
      </c>
      <c r="R173" s="15">
        <f ca="1">STDEV(P173:OFFSET(P173,-$R$5+1,0))</f>
        <v>0.6947937518598355</v>
      </c>
      <c r="S173" s="18">
        <f t="shared" si="17"/>
        <v>39.900000000000546</v>
      </c>
      <c r="T173" s="18">
        <f t="shared" si="18"/>
        <v>39.900000000000546</v>
      </c>
      <c r="U173" s="18">
        <f t="shared" si="26"/>
        <v>50.328040576022694</v>
      </c>
      <c r="V173" s="33">
        <f ca="1">AVERAGE(E173:OFFSET(E173,-V$5+1,0))</f>
        <v>6114.932142857142</v>
      </c>
      <c r="W173" s="33">
        <f t="shared" ca="1" si="19"/>
        <v>6190.4242037211761</v>
      </c>
      <c r="X173" s="33">
        <f t="shared" ca="1" si="20"/>
        <v>6039.4400819931079</v>
      </c>
      <c r="Y173" s="32">
        <f t="shared" ca="1" si="27"/>
        <v>0</v>
      </c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</row>
    <row r="174" spans="1:50">
      <c r="A174" s="5">
        <v>38610</v>
      </c>
      <c r="B174" s="4">
        <v>6132.45</v>
      </c>
      <c r="C174" s="4">
        <v>6139.99</v>
      </c>
      <c r="D174" s="4">
        <v>6079.57</v>
      </c>
      <c r="E174" s="4">
        <v>6082.56</v>
      </c>
      <c r="F174" s="4">
        <v>2663600</v>
      </c>
      <c r="G174" s="8">
        <f t="shared" si="29"/>
        <v>-16.25</v>
      </c>
      <c r="H174" s="8">
        <f t="shared" si="28"/>
        <v>-49.889999999999418</v>
      </c>
      <c r="I174" s="20">
        <f t="shared" ca="1" si="21"/>
        <v>0</v>
      </c>
      <c r="J174" s="8">
        <f t="shared" ca="1" si="22"/>
        <v>1</v>
      </c>
      <c r="K174" s="8">
        <f t="shared" ca="1" si="23"/>
        <v>-66.139999999999418</v>
      </c>
      <c r="L174" s="8">
        <f t="shared" ca="1" si="24"/>
        <v>-341.35999999999967</v>
      </c>
      <c r="M174" s="9">
        <f ca="1">AVERAGE(E174:OFFSET(E174,-M$5+1,0))</f>
        <v>6133.0369999999994</v>
      </c>
      <c r="N174" s="9">
        <f ca="1">AVERAGE(E174:OFFSET(E174,-N$5+1,0))</f>
        <v>6129.2354999999998</v>
      </c>
      <c r="O174" s="9">
        <f t="shared" ca="1" si="25"/>
        <v>1</v>
      </c>
      <c r="P174" s="14">
        <f t="shared" si="30"/>
        <v>-1.0815017368387749</v>
      </c>
      <c r="Q174" s="15">
        <f ca="1">STDEV(P174:OFFSET(P174,-$Q$5+1,0))</f>
        <v>0.70194606157035455</v>
      </c>
      <c r="R174" s="15">
        <f ca="1">STDEV(P174:OFFSET(P174,-$R$5+1,0))</f>
        <v>0.71090165265551608</v>
      </c>
      <c r="S174" s="18">
        <f t="shared" si="17"/>
        <v>60.420000000000073</v>
      </c>
      <c r="T174" s="18">
        <f t="shared" si="18"/>
        <v>69.130000000000109</v>
      </c>
      <c r="U174" s="18">
        <f t="shared" si="26"/>
        <v>52.834968499219684</v>
      </c>
      <c r="V174" s="33">
        <f ca="1">AVERAGE(E174:OFFSET(E174,-V$5+1,0))</f>
        <v>6112.9964285714286</v>
      </c>
      <c r="W174" s="33">
        <f t="shared" ca="1" si="19"/>
        <v>6192.2488813202581</v>
      </c>
      <c r="X174" s="33">
        <f t="shared" ca="1" si="20"/>
        <v>6033.7439758225992</v>
      </c>
      <c r="Y174" s="32">
        <f t="shared" ca="1" si="27"/>
        <v>0</v>
      </c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</row>
    <row r="175" spans="1:50">
      <c r="A175" s="5">
        <v>38611</v>
      </c>
      <c r="B175" s="4">
        <v>6080.19</v>
      </c>
      <c r="C175" s="4">
        <v>6086.88</v>
      </c>
      <c r="D175" s="4">
        <v>6015.56</v>
      </c>
      <c r="E175" s="4">
        <v>6031.24</v>
      </c>
      <c r="F175" s="4">
        <v>2717800</v>
      </c>
      <c r="G175" s="8">
        <f t="shared" si="29"/>
        <v>-2.3700000000008004</v>
      </c>
      <c r="H175" s="8">
        <f t="shared" si="28"/>
        <v>-48.949999999999818</v>
      </c>
      <c r="I175" s="20">
        <f t="shared" ca="1" si="21"/>
        <v>0</v>
      </c>
      <c r="J175" s="8">
        <f t="shared" ca="1" si="22"/>
        <v>1</v>
      </c>
      <c r="K175" s="8">
        <f t="shared" ca="1" si="23"/>
        <v>-51.320000000000618</v>
      </c>
      <c r="L175" s="8">
        <f t="shared" ca="1" si="24"/>
        <v>-392.68000000000029</v>
      </c>
      <c r="M175" s="9">
        <f ca="1">AVERAGE(E175:OFFSET(E175,-M$5+1,0))</f>
        <v>6124.5559999999996</v>
      </c>
      <c r="N175" s="9">
        <f ca="1">AVERAGE(E175:OFFSET(E175,-N$5+1,0))</f>
        <v>6120.5430000000006</v>
      </c>
      <c r="O175" s="9">
        <f t="shared" ca="1" si="25"/>
        <v>0</v>
      </c>
      <c r="P175" s="14">
        <f t="shared" si="30"/>
        <v>-0.84730319191732884</v>
      </c>
      <c r="Q175" s="15">
        <f ca="1">STDEV(P175:OFFSET(P175,-$Q$5+1,0))</f>
        <v>0.59396412853929126</v>
      </c>
      <c r="R175" s="15">
        <f ca="1">STDEV(P175:OFFSET(P175,-$R$5+1,0))</f>
        <v>0.718503260254577</v>
      </c>
      <c r="S175" s="18">
        <f t="shared" si="17"/>
        <v>71.319999999999709</v>
      </c>
      <c r="T175" s="18">
        <f t="shared" si="18"/>
        <v>71.319999999999709</v>
      </c>
      <c r="U175" s="18">
        <f t="shared" si="26"/>
        <v>55.299639365990359</v>
      </c>
      <c r="V175" s="33">
        <f ca="1">AVERAGE(E175:OFFSET(E175,-V$5+1,0))</f>
        <v>6105.4742857142855</v>
      </c>
      <c r="W175" s="33">
        <f t="shared" ca="1" si="19"/>
        <v>6188.4237447632713</v>
      </c>
      <c r="X175" s="33">
        <f t="shared" ca="1" si="20"/>
        <v>6022.5248266652998</v>
      </c>
      <c r="Y175" s="32">
        <f t="shared" ca="1" si="27"/>
        <v>0</v>
      </c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</row>
    <row r="176" spans="1:50">
      <c r="A176" s="5">
        <v>38614</v>
      </c>
      <c r="B176" s="4">
        <v>6044.16</v>
      </c>
      <c r="C176" s="4">
        <v>6050.4</v>
      </c>
      <c r="D176" s="4">
        <v>6023.08</v>
      </c>
      <c r="E176" s="4">
        <v>6035.59</v>
      </c>
      <c r="F176" s="4">
        <v>2058000</v>
      </c>
      <c r="G176" s="8">
        <f t="shared" si="29"/>
        <v>12.920000000000073</v>
      </c>
      <c r="H176" s="8">
        <f t="shared" si="28"/>
        <v>-8.569999999999709</v>
      </c>
      <c r="I176" s="20">
        <f t="shared" ca="1" si="21"/>
        <v>0</v>
      </c>
      <c r="J176" s="8">
        <f t="shared" ca="1" si="22"/>
        <v>1</v>
      </c>
      <c r="K176" s="8">
        <f t="shared" ca="1" si="23"/>
        <v>4.3500000000003638</v>
      </c>
      <c r="L176" s="8">
        <f t="shared" ca="1" si="24"/>
        <v>-388.32999999999993</v>
      </c>
      <c r="M176" s="9">
        <f ca="1">AVERAGE(E176:OFFSET(E176,-M$5+1,0))</f>
        <v>6118.2369999999992</v>
      </c>
      <c r="N176" s="9">
        <f ca="1">AVERAGE(E176:OFFSET(E176,-N$5+1,0))</f>
        <v>6114.3755000000001</v>
      </c>
      <c r="O176" s="9">
        <f t="shared" ca="1" si="25"/>
        <v>0</v>
      </c>
      <c r="P176" s="14">
        <f t="shared" si="30"/>
        <v>7.2098474718454708E-2</v>
      </c>
      <c r="Q176" s="15">
        <f ca="1">STDEV(P176:OFFSET(P176,-$Q$5+1,0))</f>
        <v>0.59506233962799981</v>
      </c>
      <c r="R176" s="15">
        <f ca="1">STDEV(P176:OFFSET(P176,-$R$5+1,0))</f>
        <v>0.71763411127580368</v>
      </c>
      <c r="S176" s="18">
        <f t="shared" si="17"/>
        <v>27.319999999999709</v>
      </c>
      <c r="T176" s="18">
        <f t="shared" si="18"/>
        <v>27.319999999999709</v>
      </c>
      <c r="U176" s="18">
        <f t="shared" si="26"/>
        <v>51.569020783858271</v>
      </c>
      <c r="V176" s="33">
        <f ca="1">AVERAGE(E176:OFFSET(E176,-V$5+1,0))</f>
        <v>6104.4849999999997</v>
      </c>
      <c r="W176" s="33">
        <f t="shared" ca="1" si="19"/>
        <v>6181.8385311757875</v>
      </c>
      <c r="X176" s="33">
        <f t="shared" ca="1" si="20"/>
        <v>6027.1314688242119</v>
      </c>
      <c r="Y176" s="32">
        <f t="shared" ca="1" si="27"/>
        <v>0</v>
      </c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</row>
    <row r="177" spans="1:50">
      <c r="A177" s="5">
        <v>38615</v>
      </c>
      <c r="B177" s="4">
        <v>6015.98</v>
      </c>
      <c r="C177" s="4">
        <v>6115.54</v>
      </c>
      <c r="D177" s="4">
        <v>5994.46</v>
      </c>
      <c r="E177" s="4">
        <v>6105.35</v>
      </c>
      <c r="F177" s="4">
        <v>3146200</v>
      </c>
      <c r="G177" s="8">
        <f t="shared" si="29"/>
        <v>-19.610000000000582</v>
      </c>
      <c r="H177" s="8">
        <f t="shared" si="28"/>
        <v>89.3700000000008</v>
      </c>
      <c r="I177" s="20">
        <f t="shared" ca="1" si="21"/>
        <v>0</v>
      </c>
      <c r="J177" s="8">
        <f t="shared" ca="1" si="22"/>
        <v>1</v>
      </c>
      <c r="K177" s="8">
        <f t="shared" ca="1" si="23"/>
        <v>69.760000000000218</v>
      </c>
      <c r="L177" s="8">
        <f t="shared" ca="1" si="24"/>
        <v>-318.56999999999971</v>
      </c>
      <c r="M177" s="9">
        <f ca="1">AVERAGE(E177:OFFSET(E177,-M$5+1,0))</f>
        <v>6114.7579999999998</v>
      </c>
      <c r="N177" s="9">
        <f ca="1">AVERAGE(E177:OFFSET(E177,-N$5+1,0))</f>
        <v>6109.3105000000005</v>
      </c>
      <c r="O177" s="9">
        <f t="shared" ca="1" si="25"/>
        <v>0</v>
      </c>
      <c r="P177" s="14">
        <f t="shared" si="30"/>
        <v>1.1491823156812238</v>
      </c>
      <c r="Q177" s="15">
        <f ca="1">STDEV(P177:OFFSET(P177,-$Q$5+1,0))</f>
        <v>0.67715817576958792</v>
      </c>
      <c r="R177" s="15">
        <f ca="1">STDEV(P177:OFFSET(P177,-$R$5+1,0))</f>
        <v>0.74606146434205511</v>
      </c>
      <c r="S177" s="18">
        <f t="shared" si="17"/>
        <v>121.07999999999993</v>
      </c>
      <c r="T177" s="18">
        <f t="shared" si="18"/>
        <v>121.07999999999993</v>
      </c>
      <c r="U177" s="18">
        <f t="shared" si="26"/>
        <v>60.837151346010494</v>
      </c>
      <c r="V177" s="33">
        <f ca="1">AVERAGE(E177:OFFSET(E177,-V$5+1,0))</f>
        <v>6109.715714285715</v>
      </c>
      <c r="W177" s="33">
        <f t="shared" ca="1" si="19"/>
        <v>6200.9714413047304</v>
      </c>
      <c r="X177" s="33">
        <f t="shared" ca="1" si="20"/>
        <v>6018.4599872666995</v>
      </c>
      <c r="Y177" s="32">
        <f t="shared" ca="1" si="27"/>
        <v>0</v>
      </c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</row>
    <row r="178" spans="1:50">
      <c r="A178" s="5">
        <v>38616</v>
      </c>
      <c r="B178" s="4">
        <v>6099.13</v>
      </c>
      <c r="C178" s="4">
        <v>6121.62</v>
      </c>
      <c r="D178" s="4">
        <v>6066.37</v>
      </c>
      <c r="E178" s="4">
        <v>6067.34</v>
      </c>
      <c r="F178" s="4">
        <v>2645800</v>
      </c>
      <c r="G178" s="8">
        <f t="shared" si="29"/>
        <v>-6.2200000000002547</v>
      </c>
      <c r="H178" s="8">
        <f t="shared" si="28"/>
        <v>-31.789999999999964</v>
      </c>
      <c r="I178" s="20">
        <f t="shared" ca="1" si="21"/>
        <v>0</v>
      </c>
      <c r="J178" s="8">
        <f t="shared" ca="1" si="22"/>
        <v>1</v>
      </c>
      <c r="K178" s="8">
        <f t="shared" ca="1" si="23"/>
        <v>-38.010000000000218</v>
      </c>
      <c r="L178" s="8">
        <f t="shared" ca="1" si="24"/>
        <v>-356.57999999999993</v>
      </c>
      <c r="M178" s="9">
        <f ca="1">AVERAGE(E178:OFFSET(E178,-M$5+1,0))</f>
        <v>6107.3779999999997</v>
      </c>
      <c r="N178" s="9">
        <f ca="1">AVERAGE(E178:OFFSET(E178,-N$5+1,0))</f>
        <v>6102.9184999999998</v>
      </c>
      <c r="O178" s="9">
        <f t="shared" ca="1" si="25"/>
        <v>0</v>
      </c>
      <c r="P178" s="14">
        <f t="shared" si="30"/>
        <v>-0.62451477098887143</v>
      </c>
      <c r="Q178" s="15">
        <f ca="1">STDEV(P178:OFFSET(P178,-$Q$5+1,0))</f>
        <v>0.69942499976237704</v>
      </c>
      <c r="R178" s="15">
        <f ca="1">STDEV(P178:OFFSET(P178,-$R$5+1,0))</f>
        <v>0.74074129791251409</v>
      </c>
      <c r="S178" s="18">
        <f t="shared" si="17"/>
        <v>55.25</v>
      </c>
      <c r="T178" s="18">
        <f t="shared" si="18"/>
        <v>55.25</v>
      </c>
      <c r="U178" s="18">
        <f t="shared" si="26"/>
        <v>60.092197833209099</v>
      </c>
      <c r="V178" s="33">
        <f ca="1">AVERAGE(E178:OFFSET(E178,-V$5+1,0))</f>
        <v>6112.1350000000002</v>
      </c>
      <c r="W178" s="33">
        <f t="shared" ca="1" si="19"/>
        <v>6202.2732967498141</v>
      </c>
      <c r="X178" s="33">
        <f t="shared" ca="1" si="20"/>
        <v>6021.9967032501863</v>
      </c>
      <c r="Y178" s="32">
        <f t="shared" ca="1" si="27"/>
        <v>0</v>
      </c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</row>
    <row r="179" spans="1:50">
      <c r="A179" s="5">
        <v>38617</v>
      </c>
      <c r="B179" s="4">
        <v>6017.25</v>
      </c>
      <c r="C179" s="4">
        <v>6039.85</v>
      </c>
      <c r="D179" s="4">
        <v>5966.16</v>
      </c>
      <c r="E179" s="4">
        <v>5972.06</v>
      </c>
      <c r="F179" s="4">
        <v>2942000</v>
      </c>
      <c r="G179" s="8">
        <f t="shared" si="29"/>
        <v>-50.090000000000146</v>
      </c>
      <c r="H179" s="8">
        <f t="shared" si="28"/>
        <v>-45.1899999999996</v>
      </c>
      <c r="I179" s="20">
        <f t="shared" ca="1" si="21"/>
        <v>-1</v>
      </c>
      <c r="J179" s="8">
        <f t="shared" ca="1" si="22"/>
        <v>1</v>
      </c>
      <c r="K179" s="8">
        <f t="shared" ca="1" si="23"/>
        <v>-95.279999999999745</v>
      </c>
      <c r="L179" s="8">
        <f t="shared" ca="1" si="24"/>
        <v>-451.85999999999967</v>
      </c>
      <c r="M179" s="9">
        <f ca="1">AVERAGE(E179:OFFSET(E179,-M$5+1,0))</f>
        <v>6089.5960000000005</v>
      </c>
      <c r="N179" s="9">
        <f ca="1">AVERAGE(E179:OFFSET(E179,-N$5+1,0))</f>
        <v>6095.1594999999998</v>
      </c>
      <c r="O179" s="9">
        <f t="shared" ca="1" si="25"/>
        <v>-1</v>
      </c>
      <c r="P179" s="14">
        <f t="shared" si="30"/>
        <v>-1.5828361754864537</v>
      </c>
      <c r="Q179" s="15">
        <f ca="1">STDEV(P179:OFFSET(P179,-$Q$5+1,0))</f>
        <v>0.82819749130680564</v>
      </c>
      <c r="R179" s="15">
        <f ca="1">STDEV(P179:OFFSET(P179,-$R$5+1,0))</f>
        <v>0.7673216302428848</v>
      </c>
      <c r="S179" s="18">
        <f t="shared" si="17"/>
        <v>73.690000000000509</v>
      </c>
      <c r="T179" s="18">
        <f t="shared" si="18"/>
        <v>101.18000000000029</v>
      </c>
      <c r="U179" s="18">
        <f t="shared" si="26"/>
        <v>65.570571455447919</v>
      </c>
      <c r="V179" s="33">
        <f ca="1">AVERAGE(E179:OFFSET(E179,-V$5+1,0))</f>
        <v>6101.8499999999995</v>
      </c>
      <c r="W179" s="33">
        <f t="shared" ca="1" si="19"/>
        <v>6200.2058571831712</v>
      </c>
      <c r="X179" s="33">
        <f t="shared" ca="1" si="20"/>
        <v>6003.4941428168277</v>
      </c>
      <c r="Y179" s="32">
        <f t="shared" ca="1" si="27"/>
        <v>-1</v>
      </c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</row>
    <row r="180" spans="1:50">
      <c r="A180" s="5">
        <v>38618</v>
      </c>
      <c r="B180" s="4">
        <v>5957.79</v>
      </c>
      <c r="C180" s="4">
        <v>5973.72</v>
      </c>
      <c r="D180" s="4">
        <v>5899.59</v>
      </c>
      <c r="E180" s="4">
        <v>5925.54</v>
      </c>
      <c r="F180" s="4">
        <v>2593000</v>
      </c>
      <c r="G180" s="8">
        <f t="shared" si="29"/>
        <v>-14.270000000000437</v>
      </c>
      <c r="H180" s="8">
        <f t="shared" si="28"/>
        <v>-32.25</v>
      </c>
      <c r="I180" s="20">
        <f t="shared" ca="1" si="21"/>
        <v>0</v>
      </c>
      <c r="J180" s="8">
        <f t="shared" ca="1" si="22"/>
        <v>0</v>
      </c>
      <c r="K180" s="8">
        <f t="shared" ca="1" si="23"/>
        <v>-14.270000000000437</v>
      </c>
      <c r="L180" s="8">
        <f t="shared" ca="1" si="24"/>
        <v>-466.13000000000011</v>
      </c>
      <c r="M180" s="9">
        <f ca="1">AVERAGE(E180:OFFSET(E180,-M$5+1,0))</f>
        <v>6070.2439999999997</v>
      </c>
      <c r="N180" s="9">
        <f ca="1">AVERAGE(E180:OFFSET(E180,-N$5+1,0))</f>
        <v>6085.9534999999996</v>
      </c>
      <c r="O180" s="9">
        <f t="shared" ca="1" si="25"/>
        <v>0</v>
      </c>
      <c r="P180" s="14">
        <f t="shared" si="30"/>
        <v>-0.78201044031669997</v>
      </c>
      <c r="Q180" s="15">
        <f ca="1">STDEV(P180:OFFSET(P180,-$Q$5+1,0))</f>
        <v>0.84066337899296206</v>
      </c>
      <c r="R180" s="15">
        <f ca="1">STDEV(P180:OFFSET(P180,-$R$5+1,0))</f>
        <v>0.77033963909270109</v>
      </c>
      <c r="S180" s="18">
        <f t="shared" si="17"/>
        <v>74.130000000000109</v>
      </c>
      <c r="T180" s="18">
        <f t="shared" si="18"/>
        <v>74.130000000000109</v>
      </c>
      <c r="U180" s="18">
        <f t="shared" si="26"/>
        <v>66.711828594721538</v>
      </c>
      <c r="V180" s="33">
        <f ca="1">AVERAGE(E180:OFFSET(E180,-V$5+1,0))</f>
        <v>6089.4757142857134</v>
      </c>
      <c r="W180" s="33">
        <f t="shared" ca="1" si="19"/>
        <v>6189.543457177796</v>
      </c>
      <c r="X180" s="33">
        <f t="shared" ca="1" si="20"/>
        <v>5989.4079713936308</v>
      </c>
      <c r="Y180" s="32">
        <f t="shared" ca="1" si="27"/>
        <v>0</v>
      </c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</row>
    <row r="181" spans="1:50">
      <c r="A181" s="5">
        <v>38621</v>
      </c>
      <c r="B181" s="4">
        <v>5967.69</v>
      </c>
      <c r="C181" s="4">
        <v>5975.98</v>
      </c>
      <c r="D181" s="4">
        <v>5894.99</v>
      </c>
      <c r="E181" s="4">
        <v>5930.2</v>
      </c>
      <c r="F181" s="4">
        <v>2349200</v>
      </c>
      <c r="G181" s="8">
        <f t="shared" si="29"/>
        <v>42.149999999999636</v>
      </c>
      <c r="H181" s="8">
        <f t="shared" si="28"/>
        <v>-37.489999999999782</v>
      </c>
      <c r="I181" s="20">
        <f t="shared" ca="1" si="21"/>
        <v>0</v>
      </c>
      <c r="J181" s="8">
        <f t="shared" ca="1" si="22"/>
        <v>0</v>
      </c>
      <c r="K181" s="8">
        <f t="shared" ca="1" si="23"/>
        <v>0</v>
      </c>
      <c r="L181" s="8">
        <f t="shared" ca="1" si="24"/>
        <v>-466.13000000000011</v>
      </c>
      <c r="M181" s="9">
        <f ca="1">AVERAGE(E181:OFFSET(E181,-M$5+1,0))</f>
        <v>6046.7659999999996</v>
      </c>
      <c r="N181" s="9">
        <f ca="1">AVERAGE(E181:OFFSET(E181,-N$5+1,0))</f>
        <v>6075.6359999999995</v>
      </c>
      <c r="O181" s="9">
        <f t="shared" ca="1" si="25"/>
        <v>0</v>
      </c>
      <c r="P181" s="14">
        <f t="shared" si="30"/>
        <v>7.8611714494116233E-2</v>
      </c>
      <c r="Q181" s="15">
        <f ca="1">STDEV(P181:OFFSET(P181,-$Q$5+1,0))</f>
        <v>0.76976773024030087</v>
      </c>
      <c r="R181" s="15">
        <f ca="1">STDEV(P181:OFFSET(P181,-$R$5+1,0))</f>
        <v>0.7567383454444927</v>
      </c>
      <c r="S181" s="18">
        <f t="shared" ref="S181:S244" si="31">C181-D181</f>
        <v>80.989999999999782</v>
      </c>
      <c r="T181" s="18">
        <f t="shared" ref="T181:T244" si="32">MAX(C181,E180)-MIN(D181,E180)</f>
        <v>80.989999999999782</v>
      </c>
      <c r="U181" s="18">
        <f t="shared" si="26"/>
        <v>68.615584782091972</v>
      </c>
      <c r="V181" s="33">
        <f ca="1">AVERAGE(E181:OFFSET(E181,-V$5+1,0))</f>
        <v>6074.4799999999987</v>
      </c>
      <c r="W181" s="33">
        <f t="shared" ref="W181:W244" ca="1" si="33">V181+W$5*U181</f>
        <v>6177.4033771731365</v>
      </c>
      <c r="X181" s="33">
        <f t="shared" ref="X181:X244" ca="1" si="34">V181-W$5*U181</f>
        <v>5971.5566228268608</v>
      </c>
      <c r="Y181" s="32">
        <f t="shared" ca="1" si="27"/>
        <v>0</v>
      </c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</row>
    <row r="182" spans="1:50">
      <c r="A182" s="5">
        <v>38622</v>
      </c>
      <c r="B182" s="4">
        <v>5929.87</v>
      </c>
      <c r="C182" s="4">
        <v>5966.97</v>
      </c>
      <c r="D182" s="4">
        <v>5905.44</v>
      </c>
      <c r="E182" s="4">
        <v>5945.05</v>
      </c>
      <c r="F182" s="4">
        <v>2370000</v>
      </c>
      <c r="G182" s="8">
        <f t="shared" si="29"/>
        <v>-0.32999999999992724</v>
      </c>
      <c r="H182" s="8">
        <f t="shared" si="28"/>
        <v>15.180000000000291</v>
      </c>
      <c r="I182" s="20">
        <f t="shared" ref="I182:I245" ca="1" si="35">Y182</f>
        <v>0</v>
      </c>
      <c r="J182" s="8">
        <f t="shared" ref="J182:J245" ca="1" si="36">IF((J181+I181)&gt;=J$5,J$5,IF((J181+I181)&lt;=J$7,J$7,J181+I181))</f>
        <v>0</v>
      </c>
      <c r="K182" s="8">
        <f t="shared" ref="K182:K245" ca="1" si="37">J181*G182+J182*H182</f>
        <v>0</v>
      </c>
      <c r="L182" s="8">
        <f t="shared" ref="L182:L245" ca="1" si="38">L181+K182</f>
        <v>-466.13000000000011</v>
      </c>
      <c r="M182" s="9">
        <f ca="1">AVERAGE(E182:OFFSET(E182,-M$5+1,0))</f>
        <v>6024.3629999999994</v>
      </c>
      <c r="N182" s="9">
        <f ca="1">AVERAGE(E182:OFFSET(E182,-N$5+1,0))</f>
        <v>6070.4164999999994</v>
      </c>
      <c r="O182" s="9">
        <f t="shared" ref="O182:O245" ca="1" si="39">IF(AND(M181&lt;=N181,M182&gt;N182),1,IF(AND(M181&gt;=N181,M182&lt;N182),-1,0))</f>
        <v>0</v>
      </c>
      <c r="P182" s="14">
        <f t="shared" si="30"/>
        <v>0.25010012825954725</v>
      </c>
      <c r="Q182" s="15">
        <f ca="1">STDEV(P182:OFFSET(P182,-$Q$5+1,0))</f>
        <v>0.78388108744522911</v>
      </c>
      <c r="R182" s="15">
        <f ca="1">STDEV(P182:OFFSET(P182,-$R$5+1,0))</f>
        <v>0.74770885615453486</v>
      </c>
      <c r="S182" s="18">
        <f t="shared" si="31"/>
        <v>61.530000000000655</v>
      </c>
      <c r="T182" s="18">
        <f t="shared" si="32"/>
        <v>61.530000000000655</v>
      </c>
      <c r="U182" s="18">
        <f t="shared" ref="U182:U245" si="40">$U$5*T182+(1-$U$5)*U181</f>
        <v>67.670840144479797</v>
      </c>
      <c r="V182" s="33">
        <f ca="1">AVERAGE(E182:OFFSET(E182,-V$5+1,0))</f>
        <v>6060.4735714285707</v>
      </c>
      <c r="W182" s="33">
        <f t="shared" ca="1" si="33"/>
        <v>6161.9798316452907</v>
      </c>
      <c r="X182" s="33">
        <f t="shared" ca="1" si="34"/>
        <v>5958.9673112118508</v>
      </c>
      <c r="Y182" s="32">
        <f t="shared" ref="Y182:Y245" ca="1" si="41">IF(AND(E181&gt;X181,E182&lt;X182),-1,IF(AND(E181&lt;W181,E182&gt;W182),1,0))</f>
        <v>0</v>
      </c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</row>
    <row r="183" spans="1:50">
      <c r="A183" s="5">
        <v>38623</v>
      </c>
      <c r="B183" s="4">
        <v>5943.12</v>
      </c>
      <c r="C183" s="4">
        <v>5961.21</v>
      </c>
      <c r="D183" s="4">
        <v>5912.88</v>
      </c>
      <c r="E183" s="4">
        <v>5931.38</v>
      </c>
      <c r="F183" s="4">
        <v>2538400</v>
      </c>
      <c r="G183" s="8">
        <f t="shared" si="29"/>
        <v>-1.930000000000291</v>
      </c>
      <c r="H183" s="8">
        <f t="shared" si="28"/>
        <v>-11.739999999999782</v>
      </c>
      <c r="I183" s="20">
        <f t="shared" ca="1" si="35"/>
        <v>0</v>
      </c>
      <c r="J183" s="8">
        <f t="shared" ca="1" si="36"/>
        <v>0</v>
      </c>
      <c r="K183" s="8">
        <f t="shared" ca="1" si="37"/>
        <v>0</v>
      </c>
      <c r="L183" s="8">
        <f t="shared" ca="1" si="38"/>
        <v>-466.13000000000011</v>
      </c>
      <c r="M183" s="9">
        <f ca="1">AVERAGE(E183:OFFSET(E183,-M$5+1,0))</f>
        <v>6002.6309999999994</v>
      </c>
      <c r="N183" s="9">
        <f ca="1">AVERAGE(E183:OFFSET(E183,-N$5+1,0))</f>
        <v>6065.3795</v>
      </c>
      <c r="O183" s="9">
        <f t="shared" ca="1" si="39"/>
        <v>0</v>
      </c>
      <c r="P183" s="14">
        <f t="shared" si="30"/>
        <v>-0.23020395921811532</v>
      </c>
      <c r="Q183" s="15">
        <f ca="1">STDEV(P183:OFFSET(P183,-$Q$5+1,0))</f>
        <v>0.78508370752641765</v>
      </c>
      <c r="R183" s="15">
        <f ca="1">STDEV(P183:OFFSET(P183,-$R$5+1,0))</f>
        <v>0.74768262502730698</v>
      </c>
      <c r="S183" s="18">
        <f t="shared" si="31"/>
        <v>48.329999999999927</v>
      </c>
      <c r="T183" s="18">
        <f t="shared" si="32"/>
        <v>48.329999999999927</v>
      </c>
      <c r="U183" s="18">
        <f t="shared" si="40"/>
        <v>65.092061458549153</v>
      </c>
      <c r="V183" s="33">
        <f ca="1">AVERAGE(E183:OFFSET(E183,-V$5+1,0))</f>
        <v>6044.8664285714285</v>
      </c>
      <c r="W183" s="33">
        <f t="shared" ca="1" si="33"/>
        <v>6142.504520759252</v>
      </c>
      <c r="X183" s="33">
        <f t="shared" ca="1" si="34"/>
        <v>5947.228336383605</v>
      </c>
      <c r="Y183" s="32">
        <f t="shared" ca="1" si="41"/>
        <v>0</v>
      </c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</row>
    <row r="184" spans="1:50">
      <c r="A184" s="5">
        <v>38624</v>
      </c>
      <c r="B184" s="4">
        <v>5932.79</v>
      </c>
      <c r="C184" s="4">
        <v>6009.99</v>
      </c>
      <c r="D184" s="4">
        <v>5931.02</v>
      </c>
      <c r="E184" s="4">
        <v>6009.99</v>
      </c>
      <c r="F184" s="4">
        <v>3147000</v>
      </c>
      <c r="G184" s="8">
        <f t="shared" si="29"/>
        <v>1.4099999999998545</v>
      </c>
      <c r="H184" s="8">
        <f t="shared" si="28"/>
        <v>77.199999999999818</v>
      </c>
      <c r="I184" s="20">
        <f t="shared" ca="1" si="35"/>
        <v>0</v>
      </c>
      <c r="J184" s="8">
        <f t="shared" ca="1" si="36"/>
        <v>0</v>
      </c>
      <c r="K184" s="8">
        <f t="shared" ca="1" si="37"/>
        <v>0</v>
      </c>
      <c r="L184" s="8">
        <f t="shared" ca="1" si="38"/>
        <v>-466.13000000000011</v>
      </c>
      <c r="M184" s="9">
        <f ca="1">AVERAGE(E184:OFFSET(E184,-M$5+1,0))</f>
        <v>5995.3739999999998</v>
      </c>
      <c r="N184" s="9">
        <f ca="1">AVERAGE(E184:OFFSET(E184,-N$5+1,0))</f>
        <v>6064.2055</v>
      </c>
      <c r="O184" s="9">
        <f t="shared" ca="1" si="39"/>
        <v>0</v>
      </c>
      <c r="P184" s="14">
        <f t="shared" si="30"/>
        <v>1.3166183708092571</v>
      </c>
      <c r="Q184" s="15">
        <f ca="1">STDEV(P184:OFFSET(P184,-$Q$5+1,0))</f>
        <v>0.89825857007137166</v>
      </c>
      <c r="R184" s="15">
        <f ca="1">STDEV(P184:OFFSET(P184,-$R$5+1,0))</f>
        <v>0.77520008554335551</v>
      </c>
      <c r="S184" s="18">
        <f t="shared" si="31"/>
        <v>78.969999999999345</v>
      </c>
      <c r="T184" s="18">
        <f t="shared" si="32"/>
        <v>78.969999999999345</v>
      </c>
      <c r="U184" s="18">
        <f t="shared" si="40"/>
        <v>66.942453264075851</v>
      </c>
      <c r="V184" s="33">
        <f ca="1">AVERAGE(E184:OFFSET(E184,-V$5+1,0))</f>
        <v>6037.0757142857155</v>
      </c>
      <c r="W184" s="33">
        <f t="shared" ca="1" si="33"/>
        <v>6137.4893941818291</v>
      </c>
      <c r="X184" s="33">
        <f t="shared" ca="1" si="34"/>
        <v>5936.662034389602</v>
      </c>
      <c r="Y184" s="32">
        <f t="shared" ca="1" si="41"/>
        <v>0</v>
      </c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</row>
    <row r="185" spans="1:50">
      <c r="A185" s="5">
        <v>38625</v>
      </c>
      <c r="B185" s="4">
        <v>6053.59</v>
      </c>
      <c r="C185" s="4">
        <v>6118.61</v>
      </c>
      <c r="D185" s="4">
        <v>6047.2</v>
      </c>
      <c r="E185" s="4">
        <v>6118.61</v>
      </c>
      <c r="F185" s="4">
        <v>3646800</v>
      </c>
      <c r="G185" s="8">
        <f t="shared" si="29"/>
        <v>43.600000000000364</v>
      </c>
      <c r="H185" s="8">
        <f t="shared" si="28"/>
        <v>65.019999999999527</v>
      </c>
      <c r="I185" s="20">
        <f t="shared" ca="1" si="35"/>
        <v>0</v>
      </c>
      <c r="J185" s="8">
        <f t="shared" ca="1" si="36"/>
        <v>0</v>
      </c>
      <c r="K185" s="8">
        <f t="shared" ca="1" si="37"/>
        <v>0</v>
      </c>
      <c r="L185" s="8">
        <f t="shared" ca="1" si="38"/>
        <v>-466.13000000000011</v>
      </c>
      <c r="M185" s="9">
        <f ca="1">AVERAGE(E185:OFFSET(E185,-M$5+1,0))</f>
        <v>6004.1109999999999</v>
      </c>
      <c r="N185" s="9">
        <f ca="1">AVERAGE(E185:OFFSET(E185,-N$5+1,0))</f>
        <v>6064.3334999999997</v>
      </c>
      <c r="O185" s="9">
        <f t="shared" ca="1" si="39"/>
        <v>0</v>
      </c>
      <c r="P185" s="14">
        <f t="shared" si="30"/>
        <v>1.7911861892403624</v>
      </c>
      <c r="Q185" s="15">
        <f ca="1">STDEV(P185:OFFSET(P185,-$Q$5+1,0))</f>
        <v>1.0375961601492429</v>
      </c>
      <c r="R185" s="15">
        <f ca="1">STDEV(P185:OFFSET(P185,-$R$5+1,0))</f>
        <v>0.77775163533075331</v>
      </c>
      <c r="S185" s="18">
        <f t="shared" si="31"/>
        <v>71.409999999999854</v>
      </c>
      <c r="T185" s="18">
        <f t="shared" si="32"/>
        <v>108.61999999999989</v>
      </c>
      <c r="U185" s="18">
        <f t="shared" si="40"/>
        <v>72.499459495532392</v>
      </c>
      <c r="V185" s="33">
        <f ca="1">AVERAGE(E185:OFFSET(E185,-V$5+1,0))</f>
        <v>6033.7635714285716</v>
      </c>
      <c r="W185" s="33">
        <f t="shared" ca="1" si="33"/>
        <v>6142.5127606718706</v>
      </c>
      <c r="X185" s="33">
        <f t="shared" ca="1" si="34"/>
        <v>5925.0143821852726</v>
      </c>
      <c r="Y185" s="32">
        <f t="shared" ca="1" si="41"/>
        <v>0</v>
      </c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</row>
    <row r="186" spans="1:50">
      <c r="A186" s="5">
        <v>38628</v>
      </c>
      <c r="B186" s="4">
        <v>6128.97</v>
      </c>
      <c r="C186" s="4">
        <v>6139.22</v>
      </c>
      <c r="D186" s="4">
        <v>6090.78</v>
      </c>
      <c r="E186" s="4">
        <v>6123.92</v>
      </c>
      <c r="F186" s="4">
        <v>2977400</v>
      </c>
      <c r="G186" s="8">
        <f t="shared" si="29"/>
        <v>10.360000000000582</v>
      </c>
      <c r="H186" s="8">
        <f t="shared" si="28"/>
        <v>-5.0500000000001819</v>
      </c>
      <c r="I186" s="20">
        <f t="shared" ca="1" si="35"/>
        <v>0</v>
      </c>
      <c r="J186" s="8">
        <f t="shared" ca="1" si="36"/>
        <v>0</v>
      </c>
      <c r="K186" s="8">
        <f t="shared" ca="1" si="37"/>
        <v>0</v>
      </c>
      <c r="L186" s="8">
        <f t="shared" ca="1" si="38"/>
        <v>-466.13000000000011</v>
      </c>
      <c r="M186" s="9">
        <f ca="1">AVERAGE(E186:OFFSET(E186,-M$5+1,0))</f>
        <v>6012.9439999999995</v>
      </c>
      <c r="N186" s="9">
        <f ca="1">AVERAGE(E186:OFFSET(E186,-N$5+1,0))</f>
        <v>6065.5905000000002</v>
      </c>
      <c r="O186" s="9">
        <f t="shared" ca="1" si="39"/>
        <v>0</v>
      </c>
      <c r="P186" s="14">
        <f t="shared" si="30"/>
        <v>8.674678082032547E-2</v>
      </c>
      <c r="Q186" s="15">
        <f ca="1">STDEV(P186:OFFSET(P186,-$Q$5+1,0))</f>
        <v>1.0374939865195605</v>
      </c>
      <c r="R186" s="15">
        <f ca="1">STDEV(P186:OFFSET(P186,-$R$5+1,0))</f>
        <v>0.77852859292168941</v>
      </c>
      <c r="S186" s="18">
        <f t="shared" si="31"/>
        <v>48.440000000000509</v>
      </c>
      <c r="T186" s="18">
        <f t="shared" si="32"/>
        <v>48.440000000000509</v>
      </c>
      <c r="U186" s="18">
        <f t="shared" si="40"/>
        <v>69.291531562794802</v>
      </c>
      <c r="V186" s="33">
        <f ca="1">AVERAGE(E186:OFFSET(E186,-V$5+1,0))</f>
        <v>6030.5378571428573</v>
      </c>
      <c r="W186" s="33">
        <f t="shared" ca="1" si="33"/>
        <v>6134.4751544870496</v>
      </c>
      <c r="X186" s="33">
        <f t="shared" ca="1" si="34"/>
        <v>5926.600559798665</v>
      </c>
      <c r="Y186" s="32">
        <f t="shared" ca="1" si="41"/>
        <v>0</v>
      </c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</row>
    <row r="187" spans="1:50">
      <c r="A187" s="5">
        <v>38629</v>
      </c>
      <c r="B187" s="4">
        <v>6141.74</v>
      </c>
      <c r="C187" s="4">
        <v>6158.68</v>
      </c>
      <c r="D187" s="4">
        <v>6114.02</v>
      </c>
      <c r="E187" s="4">
        <v>6142.12</v>
      </c>
      <c r="F187" s="4">
        <v>3233400</v>
      </c>
      <c r="G187" s="8">
        <f t="shared" si="29"/>
        <v>17.819999999999709</v>
      </c>
      <c r="H187" s="8">
        <f t="shared" si="28"/>
        <v>0.38000000000010914</v>
      </c>
      <c r="I187" s="20">
        <f t="shared" ca="1" si="35"/>
        <v>1</v>
      </c>
      <c r="J187" s="8">
        <f t="shared" ca="1" si="36"/>
        <v>0</v>
      </c>
      <c r="K187" s="8">
        <f t="shared" ca="1" si="37"/>
        <v>0</v>
      </c>
      <c r="L187" s="8">
        <f t="shared" ca="1" si="38"/>
        <v>-466.13000000000011</v>
      </c>
      <c r="M187" s="9">
        <f ca="1">AVERAGE(E187:OFFSET(E187,-M$5+1,0))</f>
        <v>6016.6210000000001</v>
      </c>
      <c r="N187" s="9">
        <f ca="1">AVERAGE(E187:OFFSET(E187,-N$5+1,0))</f>
        <v>6065.6894999999995</v>
      </c>
      <c r="O187" s="9">
        <f t="shared" ca="1" si="39"/>
        <v>0</v>
      </c>
      <c r="P187" s="14">
        <f t="shared" si="30"/>
        <v>0.29675450848448381</v>
      </c>
      <c r="Q187" s="15">
        <f ca="1">STDEV(P187:OFFSET(P187,-$Q$5+1,0))</f>
        <v>0.97922979735209159</v>
      </c>
      <c r="R187" s="15">
        <f ca="1">STDEV(P187:OFFSET(P187,-$R$5+1,0))</f>
        <v>0.76733810566977922</v>
      </c>
      <c r="S187" s="18">
        <f t="shared" si="31"/>
        <v>44.659999999999854</v>
      </c>
      <c r="T187" s="18">
        <f t="shared" si="32"/>
        <v>44.659999999999854</v>
      </c>
      <c r="U187" s="18">
        <f t="shared" si="40"/>
        <v>66.007327354422145</v>
      </c>
      <c r="V187" s="33">
        <f ca="1">AVERAGE(E187:OFFSET(E187,-V$5+1,0))</f>
        <v>6030.0678571428571</v>
      </c>
      <c r="W187" s="33">
        <f t="shared" ca="1" si="33"/>
        <v>6129.0788481744903</v>
      </c>
      <c r="X187" s="33">
        <f t="shared" ca="1" si="34"/>
        <v>5931.0568661112238</v>
      </c>
      <c r="Y187" s="32">
        <f t="shared" ca="1" si="41"/>
        <v>1</v>
      </c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</row>
    <row r="188" spans="1:50">
      <c r="A188" s="5">
        <v>38630</v>
      </c>
      <c r="B188" s="4">
        <v>6136.66</v>
      </c>
      <c r="C188" s="4">
        <v>6171.87</v>
      </c>
      <c r="D188" s="4">
        <v>6125.11</v>
      </c>
      <c r="E188" s="4">
        <v>6135.01</v>
      </c>
      <c r="F188" s="4">
        <v>3337200</v>
      </c>
      <c r="G188" s="8">
        <f t="shared" si="29"/>
        <v>-5.4600000000000364</v>
      </c>
      <c r="H188" s="8">
        <f t="shared" si="28"/>
        <v>-1.6499999999996362</v>
      </c>
      <c r="I188" s="20">
        <f t="shared" ca="1" si="35"/>
        <v>0</v>
      </c>
      <c r="J188" s="8">
        <f t="shared" ca="1" si="36"/>
        <v>1</v>
      </c>
      <c r="K188" s="8">
        <f t="shared" ca="1" si="37"/>
        <v>-1.6499999999996362</v>
      </c>
      <c r="L188" s="8">
        <f t="shared" ca="1" si="38"/>
        <v>-467.77999999999975</v>
      </c>
      <c r="M188" s="9">
        <f ca="1">AVERAGE(E188:OFFSET(E188,-M$5+1,0))</f>
        <v>6023.3880000000008</v>
      </c>
      <c r="N188" s="9">
        <f ca="1">AVERAGE(E188:OFFSET(E188,-N$5+1,0))</f>
        <v>6065.3829999999998</v>
      </c>
      <c r="O188" s="9">
        <f t="shared" ca="1" si="39"/>
        <v>0</v>
      </c>
      <c r="P188" s="14">
        <f t="shared" si="30"/>
        <v>-0.1158251284276651</v>
      </c>
      <c r="Q188" s="15">
        <f ca="1">STDEV(P188:OFFSET(P188,-$Q$5+1,0))</f>
        <v>0.95256673328694996</v>
      </c>
      <c r="R188" s="15">
        <f ca="1">STDEV(P188:OFFSET(P188,-$R$5+1,0))</f>
        <v>0.7671904531950795</v>
      </c>
      <c r="S188" s="18">
        <f t="shared" si="31"/>
        <v>46.760000000000218</v>
      </c>
      <c r="T188" s="18">
        <f t="shared" si="32"/>
        <v>46.760000000000218</v>
      </c>
      <c r="U188" s="18">
        <f t="shared" si="40"/>
        <v>63.441017040499226</v>
      </c>
      <c r="V188" s="33">
        <f ca="1">AVERAGE(E188:OFFSET(E188,-V$5+1,0))</f>
        <v>6033.8142857142839</v>
      </c>
      <c r="W188" s="33">
        <f t="shared" ca="1" si="33"/>
        <v>6128.9758112750324</v>
      </c>
      <c r="X188" s="33">
        <f t="shared" ca="1" si="34"/>
        <v>5938.6527601535354</v>
      </c>
      <c r="Y188" s="32">
        <f t="shared" ca="1" si="41"/>
        <v>0</v>
      </c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</row>
    <row r="189" spans="1:50">
      <c r="A189" s="5">
        <v>38631</v>
      </c>
      <c r="B189" s="4">
        <v>6094.18</v>
      </c>
      <c r="C189" s="4">
        <v>6105.05</v>
      </c>
      <c r="D189" s="4">
        <v>6075.67</v>
      </c>
      <c r="E189" s="4">
        <v>6095.81</v>
      </c>
      <c r="F189" s="4">
        <v>2866000</v>
      </c>
      <c r="G189" s="8">
        <f t="shared" si="29"/>
        <v>-40.829999999999927</v>
      </c>
      <c r="H189" s="8">
        <f t="shared" si="28"/>
        <v>1.6300000000001091</v>
      </c>
      <c r="I189" s="20">
        <f t="shared" ca="1" si="35"/>
        <v>0</v>
      </c>
      <c r="J189" s="8">
        <f t="shared" ca="1" si="36"/>
        <v>1</v>
      </c>
      <c r="K189" s="8">
        <f t="shared" ca="1" si="37"/>
        <v>-39.199999999999818</v>
      </c>
      <c r="L189" s="8">
        <f t="shared" ca="1" si="38"/>
        <v>-506.97999999999956</v>
      </c>
      <c r="M189" s="9">
        <f ca="1">AVERAGE(E189:OFFSET(E189,-M$5+1,0))</f>
        <v>6035.7630000000008</v>
      </c>
      <c r="N189" s="9">
        <f ca="1">AVERAGE(E189:OFFSET(E189,-N$5+1,0))</f>
        <v>6062.6795000000002</v>
      </c>
      <c r="O189" s="9">
        <f t="shared" ca="1" si="39"/>
        <v>0</v>
      </c>
      <c r="P189" s="14">
        <f t="shared" si="30"/>
        <v>-0.64100582337853373</v>
      </c>
      <c r="Q189" s="15">
        <f ca="1">STDEV(P189:OFFSET(P189,-$Q$5+1,0))</f>
        <v>0.80099517132008768</v>
      </c>
      <c r="R189" s="15">
        <f ca="1">STDEV(P189:OFFSET(P189,-$R$5+1,0))</f>
        <v>0.77089822566292221</v>
      </c>
      <c r="S189" s="18">
        <f t="shared" si="31"/>
        <v>29.380000000000109</v>
      </c>
      <c r="T189" s="18">
        <f t="shared" si="32"/>
        <v>59.340000000000146</v>
      </c>
      <c r="U189" s="18">
        <f t="shared" si="40"/>
        <v>62.894214768432683</v>
      </c>
      <c r="V189" s="33">
        <f ca="1">AVERAGE(E189:OFFSET(E189,-V$5+1,0))</f>
        <v>6038.426428571428</v>
      </c>
      <c r="W189" s="33">
        <f t="shared" ca="1" si="33"/>
        <v>6132.7677507240769</v>
      </c>
      <c r="X189" s="33">
        <f t="shared" ca="1" si="34"/>
        <v>5944.0851064187791</v>
      </c>
      <c r="Y189" s="32">
        <f t="shared" ca="1" si="41"/>
        <v>0</v>
      </c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</row>
    <row r="190" spans="1:50">
      <c r="A190" s="5">
        <v>38632</v>
      </c>
      <c r="B190" s="4">
        <v>6090.99</v>
      </c>
      <c r="C190" s="4">
        <v>6112.83</v>
      </c>
      <c r="D190" s="4">
        <v>6076.15</v>
      </c>
      <c r="E190" s="4">
        <v>6081.84</v>
      </c>
      <c r="F190" s="4">
        <v>2623000</v>
      </c>
      <c r="G190" s="8">
        <f t="shared" si="29"/>
        <v>-4.8200000000006185</v>
      </c>
      <c r="H190" s="8">
        <f t="shared" si="28"/>
        <v>-9.1499999999996362</v>
      </c>
      <c r="I190" s="20">
        <f t="shared" ca="1" si="35"/>
        <v>0</v>
      </c>
      <c r="J190" s="8">
        <f t="shared" ca="1" si="36"/>
        <v>1</v>
      </c>
      <c r="K190" s="8">
        <f t="shared" ca="1" si="37"/>
        <v>-13.970000000000255</v>
      </c>
      <c r="L190" s="8">
        <f t="shared" ca="1" si="38"/>
        <v>-520.94999999999982</v>
      </c>
      <c r="M190" s="9">
        <f ca="1">AVERAGE(E190:OFFSET(E190,-M$5+1,0))</f>
        <v>6051.3930000000009</v>
      </c>
      <c r="N190" s="9">
        <f ca="1">AVERAGE(E190:OFFSET(E190,-N$5+1,0))</f>
        <v>6060.8184999999994</v>
      </c>
      <c r="O190" s="9">
        <f t="shared" ca="1" si="39"/>
        <v>0</v>
      </c>
      <c r="P190" s="14">
        <f t="shared" si="30"/>
        <v>-0.22943681462874502</v>
      </c>
      <c r="Q190" s="15">
        <f ca="1">STDEV(P190:OFFSET(P190,-$Q$5+1,0))</f>
        <v>0.74223715121248801</v>
      </c>
      <c r="R190" s="15">
        <f ca="1">STDEV(P190:OFFSET(P190,-$R$5+1,0))</f>
        <v>0.7710915842070819</v>
      </c>
      <c r="S190" s="18">
        <f t="shared" si="31"/>
        <v>36.680000000000291</v>
      </c>
      <c r="T190" s="18">
        <f t="shared" si="32"/>
        <v>36.680000000000291</v>
      </c>
      <c r="U190" s="18">
        <f t="shared" si="40"/>
        <v>59.398986132641696</v>
      </c>
      <c r="V190" s="33">
        <f ca="1">AVERAGE(E190:OFFSET(E190,-V$5+1,0))</f>
        <v>6041.7299999999987</v>
      </c>
      <c r="W190" s="33">
        <f t="shared" ca="1" si="33"/>
        <v>6130.8284791989608</v>
      </c>
      <c r="X190" s="33">
        <f t="shared" ca="1" si="34"/>
        <v>5952.6315208010365</v>
      </c>
      <c r="Y190" s="32">
        <f t="shared" ca="1" si="41"/>
        <v>0</v>
      </c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</row>
    <row r="191" spans="1:50">
      <c r="A191" s="5">
        <v>38636</v>
      </c>
      <c r="B191" s="4">
        <v>6097.88</v>
      </c>
      <c r="C191" s="4">
        <v>6112.68</v>
      </c>
      <c r="D191" s="4">
        <v>6065.57</v>
      </c>
      <c r="E191" s="4">
        <v>6066.59</v>
      </c>
      <c r="F191" s="4">
        <v>2294000</v>
      </c>
      <c r="G191" s="8">
        <f t="shared" si="29"/>
        <v>16.039999999999964</v>
      </c>
      <c r="H191" s="8">
        <f t="shared" si="28"/>
        <v>-31.289999999999964</v>
      </c>
      <c r="I191" s="20">
        <f t="shared" ca="1" si="35"/>
        <v>0</v>
      </c>
      <c r="J191" s="8">
        <f t="shared" ca="1" si="36"/>
        <v>1</v>
      </c>
      <c r="K191" s="8">
        <f t="shared" ca="1" si="37"/>
        <v>-15.25</v>
      </c>
      <c r="L191" s="8">
        <f t="shared" ca="1" si="38"/>
        <v>-536.19999999999982</v>
      </c>
      <c r="M191" s="9">
        <f ca="1">AVERAGE(E191:OFFSET(E191,-M$5+1,0))</f>
        <v>6065.0319999999992</v>
      </c>
      <c r="N191" s="9">
        <f ca="1">AVERAGE(E191:OFFSET(E191,-N$5+1,0))</f>
        <v>6055.8989999999994</v>
      </c>
      <c r="O191" s="9">
        <f t="shared" ca="1" si="39"/>
        <v>1</v>
      </c>
      <c r="P191" s="14">
        <f t="shared" si="30"/>
        <v>-0.25106138011730306</v>
      </c>
      <c r="Q191" s="15">
        <f ca="1">STDEV(P191:OFFSET(P191,-$Q$5+1,0))</f>
        <v>0.75835284142708215</v>
      </c>
      <c r="R191" s="15">
        <f ca="1">STDEV(P191:OFFSET(P191,-$R$5+1,0))</f>
        <v>0.77133730928906052</v>
      </c>
      <c r="S191" s="18">
        <f t="shared" si="31"/>
        <v>47.110000000000582</v>
      </c>
      <c r="T191" s="18">
        <f t="shared" si="32"/>
        <v>47.110000000000582</v>
      </c>
      <c r="U191" s="18">
        <f t="shared" si="40"/>
        <v>57.760454648289553</v>
      </c>
      <c r="V191" s="33">
        <f ca="1">AVERAGE(E191:OFFSET(E191,-V$5+1,0))</f>
        <v>6038.9614285714279</v>
      </c>
      <c r="W191" s="33">
        <f t="shared" ca="1" si="33"/>
        <v>6125.6021105438622</v>
      </c>
      <c r="X191" s="33">
        <f t="shared" ca="1" si="34"/>
        <v>5952.3207465989935</v>
      </c>
      <c r="Y191" s="32">
        <f t="shared" ca="1" si="41"/>
        <v>0</v>
      </c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</row>
    <row r="192" spans="1:50">
      <c r="A192" s="5">
        <v>38637</v>
      </c>
      <c r="B192" s="4">
        <v>6042.15</v>
      </c>
      <c r="C192" s="4">
        <v>6045.73</v>
      </c>
      <c r="D192" s="4">
        <v>5987.4</v>
      </c>
      <c r="E192" s="4">
        <v>5987.4</v>
      </c>
      <c r="F192" s="4">
        <v>3132200</v>
      </c>
      <c r="G192" s="8">
        <f t="shared" si="29"/>
        <v>-24.440000000000509</v>
      </c>
      <c r="H192" s="8">
        <f t="shared" si="28"/>
        <v>-54.75</v>
      </c>
      <c r="I192" s="20">
        <f t="shared" ca="1" si="35"/>
        <v>0</v>
      </c>
      <c r="J192" s="8">
        <f t="shared" ca="1" si="36"/>
        <v>1</v>
      </c>
      <c r="K192" s="8">
        <f t="shared" ca="1" si="37"/>
        <v>-79.190000000000509</v>
      </c>
      <c r="L192" s="8">
        <f t="shared" ca="1" si="38"/>
        <v>-615.39000000000033</v>
      </c>
      <c r="M192" s="9">
        <f ca="1">AVERAGE(E192:OFFSET(E192,-M$5+1,0))</f>
        <v>6069.2669999999989</v>
      </c>
      <c r="N192" s="9">
        <f ca="1">AVERAGE(E192:OFFSET(E192,-N$5+1,0))</f>
        <v>6046.8149999999987</v>
      </c>
      <c r="O192" s="9">
        <f t="shared" ca="1" si="39"/>
        <v>0</v>
      </c>
      <c r="P192" s="14">
        <f t="shared" si="30"/>
        <v>-1.3139406835965757</v>
      </c>
      <c r="Q192" s="15">
        <f ca="1">STDEV(P192:OFFSET(P192,-$Q$5+1,0))</f>
        <v>0.90101454934310221</v>
      </c>
      <c r="R192" s="15">
        <f ca="1">STDEV(P192:OFFSET(P192,-$R$5+1,0))</f>
        <v>0.75429903225724892</v>
      </c>
      <c r="S192" s="18">
        <f t="shared" si="31"/>
        <v>58.329999999999927</v>
      </c>
      <c r="T192" s="18">
        <f t="shared" si="32"/>
        <v>79.190000000000509</v>
      </c>
      <c r="U192" s="18">
        <f t="shared" si="40"/>
        <v>60.61772736185101</v>
      </c>
      <c r="V192" s="33">
        <f ca="1">AVERAGE(E192:OFFSET(E192,-V$5+1,0))</f>
        <v>6033.2514285714278</v>
      </c>
      <c r="W192" s="33">
        <f t="shared" ca="1" si="33"/>
        <v>6124.1780196142045</v>
      </c>
      <c r="X192" s="33">
        <f t="shared" ca="1" si="34"/>
        <v>5942.3248375286512</v>
      </c>
      <c r="Y192" s="32">
        <f t="shared" ca="1" si="41"/>
        <v>0</v>
      </c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</row>
    <row r="193" spans="1:50">
      <c r="A193" s="5">
        <v>38638</v>
      </c>
      <c r="B193" s="4">
        <v>5970.1</v>
      </c>
      <c r="C193" s="4">
        <v>5974.03</v>
      </c>
      <c r="D193" s="4">
        <v>5928.86</v>
      </c>
      <c r="E193" s="4">
        <v>5960.11</v>
      </c>
      <c r="F193" s="4">
        <v>2780600</v>
      </c>
      <c r="G193" s="8">
        <f t="shared" si="29"/>
        <v>-17.299999999999272</v>
      </c>
      <c r="H193" s="8">
        <f t="shared" si="28"/>
        <v>-9.9900000000006912</v>
      </c>
      <c r="I193" s="20">
        <f t="shared" ca="1" si="35"/>
        <v>0</v>
      </c>
      <c r="J193" s="8">
        <f t="shared" ca="1" si="36"/>
        <v>1</v>
      </c>
      <c r="K193" s="8">
        <f t="shared" ca="1" si="37"/>
        <v>-27.289999999999964</v>
      </c>
      <c r="L193" s="8">
        <f t="shared" ca="1" si="38"/>
        <v>-642.68000000000029</v>
      </c>
      <c r="M193" s="9">
        <f ca="1">AVERAGE(E193:OFFSET(E193,-M$5+1,0))</f>
        <v>6072.1399999999985</v>
      </c>
      <c r="N193" s="9">
        <f ca="1">AVERAGE(E193:OFFSET(E193,-N$5+1,0))</f>
        <v>6037.3854999999985</v>
      </c>
      <c r="O193" s="9">
        <f t="shared" ca="1" si="39"/>
        <v>0</v>
      </c>
      <c r="P193" s="14">
        <f t="shared" si="30"/>
        <v>-0.45683238534043169</v>
      </c>
      <c r="Q193" s="15">
        <f ca="1">STDEV(P193:OFFSET(P193,-$Q$5+1,0))</f>
        <v>0.9122124818732551</v>
      </c>
      <c r="R193" s="15">
        <f ca="1">STDEV(P193:OFFSET(P193,-$R$5+1,0))</f>
        <v>0.7562590122687316</v>
      </c>
      <c r="S193" s="18">
        <f t="shared" si="31"/>
        <v>45.170000000000073</v>
      </c>
      <c r="T193" s="18">
        <f t="shared" si="32"/>
        <v>58.539999999999964</v>
      </c>
      <c r="U193" s="18">
        <f t="shared" si="40"/>
        <v>60.340697046937542</v>
      </c>
      <c r="V193" s="33">
        <f ca="1">AVERAGE(E193:OFFSET(E193,-V$5+1,0))</f>
        <v>6032.397857142857</v>
      </c>
      <c r="W193" s="33">
        <f t="shared" ca="1" si="33"/>
        <v>6122.9089027132632</v>
      </c>
      <c r="X193" s="33">
        <f t="shared" ca="1" si="34"/>
        <v>5941.8868115724508</v>
      </c>
      <c r="Y193" s="32">
        <f t="shared" ca="1" si="41"/>
        <v>0</v>
      </c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</row>
    <row r="194" spans="1:50">
      <c r="A194" s="5">
        <v>38639</v>
      </c>
      <c r="B194" s="4">
        <v>5987.05</v>
      </c>
      <c r="C194" s="4">
        <v>6006.96</v>
      </c>
      <c r="D194" s="4">
        <v>5967.71</v>
      </c>
      <c r="E194" s="4">
        <v>5969.07</v>
      </c>
      <c r="F194" s="4">
        <v>2777800</v>
      </c>
      <c r="G194" s="8">
        <f t="shared" si="29"/>
        <v>26.940000000000509</v>
      </c>
      <c r="H194" s="8">
        <f t="shared" si="28"/>
        <v>-17.980000000000473</v>
      </c>
      <c r="I194" s="20">
        <f t="shared" ca="1" si="35"/>
        <v>0</v>
      </c>
      <c r="J194" s="8">
        <f t="shared" ca="1" si="36"/>
        <v>1</v>
      </c>
      <c r="K194" s="8">
        <f t="shared" ca="1" si="37"/>
        <v>8.9600000000000364</v>
      </c>
      <c r="L194" s="8">
        <f t="shared" ca="1" si="38"/>
        <v>-633.72000000000025</v>
      </c>
      <c r="M194" s="9">
        <f ca="1">AVERAGE(E194:OFFSET(E194,-M$5+1,0))</f>
        <v>6068.0479999999998</v>
      </c>
      <c r="N194" s="9">
        <f ca="1">AVERAGE(E194:OFFSET(E194,-N$5+1,0))</f>
        <v>6031.7109999999984</v>
      </c>
      <c r="O194" s="9">
        <f t="shared" ca="1" si="39"/>
        <v>0</v>
      </c>
      <c r="P194" s="14">
        <f t="shared" si="30"/>
        <v>0.15021990924656684</v>
      </c>
      <c r="Q194" s="15">
        <f ca="1">STDEV(P194:OFFSET(P194,-$Q$5+1,0))</f>
        <v>0.79964850983059943</v>
      </c>
      <c r="R194" s="15">
        <f ca="1">STDEV(P194:OFFSET(P194,-$R$5+1,0))</f>
        <v>0.75724873976225471</v>
      </c>
      <c r="S194" s="18">
        <f t="shared" si="31"/>
        <v>39.25</v>
      </c>
      <c r="T194" s="18">
        <f t="shared" si="32"/>
        <v>46.850000000000364</v>
      </c>
      <c r="U194" s="18">
        <f t="shared" si="40"/>
        <v>58.541937440679249</v>
      </c>
      <c r="V194" s="33">
        <f ca="1">AVERAGE(E194:OFFSET(E194,-V$5+1,0))</f>
        <v>6035.5071428571437</v>
      </c>
      <c r="W194" s="33">
        <f t="shared" ca="1" si="33"/>
        <v>6123.3200490181625</v>
      </c>
      <c r="X194" s="33">
        <f t="shared" ca="1" si="34"/>
        <v>5947.6942366961248</v>
      </c>
      <c r="Y194" s="32">
        <f t="shared" ca="1" si="41"/>
        <v>0</v>
      </c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</row>
    <row r="195" spans="1:50">
      <c r="A195" s="5">
        <v>38642</v>
      </c>
      <c r="B195" s="4">
        <v>5990.23</v>
      </c>
      <c r="C195" s="4">
        <v>5991.35</v>
      </c>
      <c r="D195" s="4">
        <v>5826.27</v>
      </c>
      <c r="E195" s="4">
        <v>5826.27</v>
      </c>
      <c r="F195" s="4">
        <v>3029200</v>
      </c>
      <c r="G195" s="8">
        <f t="shared" si="29"/>
        <v>21.159999999999854</v>
      </c>
      <c r="H195" s="8">
        <f t="shared" si="28"/>
        <v>-163.95999999999913</v>
      </c>
      <c r="I195" s="20">
        <f t="shared" ca="1" si="35"/>
        <v>-1</v>
      </c>
      <c r="J195" s="8">
        <f t="shared" ca="1" si="36"/>
        <v>1</v>
      </c>
      <c r="K195" s="8">
        <f t="shared" ca="1" si="37"/>
        <v>-142.79999999999927</v>
      </c>
      <c r="L195" s="8">
        <f t="shared" ca="1" si="38"/>
        <v>-776.51999999999953</v>
      </c>
      <c r="M195" s="9">
        <f ca="1">AVERAGE(E195:OFFSET(E195,-M$5+1,0))</f>
        <v>6038.8140000000012</v>
      </c>
      <c r="N195" s="9">
        <f ca="1">AVERAGE(E195:OFFSET(E195,-N$5+1,0))</f>
        <v>6021.4624999999996</v>
      </c>
      <c r="O195" s="9">
        <f t="shared" ca="1" si="39"/>
        <v>0</v>
      </c>
      <c r="P195" s="14">
        <f t="shared" si="30"/>
        <v>-2.4214134936568783</v>
      </c>
      <c r="Q195" s="15">
        <f ca="1">STDEV(P195:OFFSET(P195,-$Q$5+1,0))</f>
        <v>0.82054386601334739</v>
      </c>
      <c r="R195" s="15">
        <f ca="1">STDEV(P195:OFFSET(P195,-$R$5+1,0))</f>
        <v>0.83794696287490056</v>
      </c>
      <c r="S195" s="18">
        <f t="shared" si="31"/>
        <v>165.07999999999993</v>
      </c>
      <c r="T195" s="18">
        <f t="shared" si="32"/>
        <v>165.07999999999993</v>
      </c>
      <c r="U195" s="18">
        <f t="shared" si="40"/>
        <v>72.747012448588677</v>
      </c>
      <c r="V195" s="33">
        <f ca="1">AVERAGE(E195:OFFSET(E195,-V$5+1,0))</f>
        <v>6028.0835714285713</v>
      </c>
      <c r="W195" s="33">
        <f t="shared" ca="1" si="33"/>
        <v>6137.2040901014543</v>
      </c>
      <c r="X195" s="33">
        <f t="shared" ca="1" si="34"/>
        <v>5918.9630527556883</v>
      </c>
      <c r="Y195" s="32">
        <f t="shared" ca="1" si="41"/>
        <v>-1</v>
      </c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</row>
    <row r="196" spans="1:50">
      <c r="A196" s="5">
        <v>38643</v>
      </c>
      <c r="B196" s="4">
        <v>5853.28</v>
      </c>
      <c r="C196" s="4">
        <v>5865.24</v>
      </c>
      <c r="D196" s="4">
        <v>5805.7</v>
      </c>
      <c r="E196" s="4">
        <v>5830.79</v>
      </c>
      <c r="F196" s="4">
        <v>2582000</v>
      </c>
      <c r="G196" s="8">
        <f t="shared" si="29"/>
        <v>27.009999999999309</v>
      </c>
      <c r="H196" s="8">
        <f t="shared" ref="H196:H259" si="42">E196-B196</f>
        <v>-22.489999999999782</v>
      </c>
      <c r="I196" s="20">
        <f t="shared" ca="1" si="35"/>
        <v>0</v>
      </c>
      <c r="J196" s="8">
        <f t="shared" ca="1" si="36"/>
        <v>0</v>
      </c>
      <c r="K196" s="8">
        <f t="shared" ca="1" si="37"/>
        <v>27.009999999999309</v>
      </c>
      <c r="L196" s="8">
        <f t="shared" ca="1" si="38"/>
        <v>-749.51000000000022</v>
      </c>
      <c r="M196" s="9">
        <f ca="1">AVERAGE(E196:OFFSET(E196,-M$5+1,0))</f>
        <v>6009.5010000000002</v>
      </c>
      <c r="N196" s="9">
        <f ca="1">AVERAGE(E196:OFFSET(E196,-N$5+1,0))</f>
        <v>6011.2224999999989</v>
      </c>
      <c r="O196" s="9">
        <f t="shared" ca="1" si="39"/>
        <v>-1</v>
      </c>
      <c r="P196" s="14">
        <f t="shared" si="30"/>
        <v>7.7549574704501592E-2</v>
      </c>
      <c r="Q196" s="15">
        <f ca="1">STDEV(P196:OFFSET(P196,-$Q$5+1,0))</f>
        <v>0.81983094950662205</v>
      </c>
      <c r="R196" s="15">
        <f ca="1">STDEV(P196:OFFSET(P196,-$R$5+1,0))</f>
        <v>0.83321038140080106</v>
      </c>
      <c r="S196" s="18">
        <f t="shared" si="31"/>
        <v>59.539999999999964</v>
      </c>
      <c r="T196" s="18">
        <f t="shared" si="32"/>
        <v>59.539999999999964</v>
      </c>
      <c r="U196" s="18">
        <f t="shared" si="40"/>
        <v>70.986077455443521</v>
      </c>
      <c r="V196" s="33">
        <f ca="1">AVERAGE(E196:OFFSET(E196,-V$5+1,0))</f>
        <v>6019.9221428571409</v>
      </c>
      <c r="W196" s="33">
        <f t="shared" ca="1" si="33"/>
        <v>6126.4012590403063</v>
      </c>
      <c r="X196" s="33">
        <f t="shared" ca="1" si="34"/>
        <v>5913.4430266739755</v>
      </c>
      <c r="Y196" s="32">
        <f t="shared" ca="1" si="41"/>
        <v>0</v>
      </c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</row>
    <row r="197" spans="1:50">
      <c r="A197" s="5">
        <v>38644</v>
      </c>
      <c r="B197" s="4">
        <v>5788.83</v>
      </c>
      <c r="C197" s="4">
        <v>5788.83</v>
      </c>
      <c r="D197" s="4">
        <v>5692.28</v>
      </c>
      <c r="E197" s="4">
        <v>5694.16</v>
      </c>
      <c r="F197" s="4">
        <v>3237600</v>
      </c>
      <c r="G197" s="8">
        <f t="shared" ref="G197:G260" si="43">B197-E196</f>
        <v>-41.960000000000036</v>
      </c>
      <c r="H197" s="8">
        <f t="shared" si="42"/>
        <v>-94.670000000000073</v>
      </c>
      <c r="I197" s="20">
        <f t="shared" ca="1" si="35"/>
        <v>0</v>
      </c>
      <c r="J197" s="8">
        <f t="shared" ca="1" si="36"/>
        <v>0</v>
      </c>
      <c r="K197" s="8">
        <f t="shared" ca="1" si="37"/>
        <v>0</v>
      </c>
      <c r="L197" s="8">
        <f t="shared" ca="1" si="38"/>
        <v>-749.51000000000022</v>
      </c>
      <c r="M197" s="9">
        <f ca="1">AVERAGE(E197:OFFSET(E197,-M$5+1,0))</f>
        <v>5964.7049999999999</v>
      </c>
      <c r="N197" s="9">
        <f ca="1">AVERAGE(E197:OFFSET(E197,-N$5+1,0))</f>
        <v>5990.6629999999986</v>
      </c>
      <c r="O197" s="9">
        <f t="shared" ca="1" si="39"/>
        <v>0</v>
      </c>
      <c r="P197" s="14">
        <f t="shared" ref="P197:P260" si="44">100*LN(E197/E196)</f>
        <v>-2.3711408970540147</v>
      </c>
      <c r="Q197" s="15">
        <f ca="1">STDEV(P197:OFFSET(P197,-$Q$5+1,0))</f>
        <v>0.95768142608210927</v>
      </c>
      <c r="R197" s="15">
        <f ca="1">STDEV(P197:OFFSET(P197,-$R$5+1,0))</f>
        <v>0.89148224891148797</v>
      </c>
      <c r="S197" s="18">
        <f t="shared" si="31"/>
        <v>96.550000000000182</v>
      </c>
      <c r="T197" s="18">
        <f t="shared" si="32"/>
        <v>138.51000000000022</v>
      </c>
      <c r="U197" s="18">
        <f t="shared" si="40"/>
        <v>79.989267128051083</v>
      </c>
      <c r="V197" s="33">
        <f ca="1">AVERAGE(E197:OFFSET(E197,-V$5+1,0))</f>
        <v>6002.977857142856</v>
      </c>
      <c r="W197" s="33">
        <f t="shared" ca="1" si="33"/>
        <v>6122.9617578349325</v>
      </c>
      <c r="X197" s="33">
        <f t="shared" ca="1" si="34"/>
        <v>5882.9939564507795</v>
      </c>
      <c r="Y197" s="32">
        <f t="shared" ca="1" si="41"/>
        <v>0</v>
      </c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</row>
    <row r="198" spans="1:50">
      <c r="A198" s="5">
        <v>38645</v>
      </c>
      <c r="B198" s="4">
        <v>5719.03</v>
      </c>
      <c r="C198" s="4">
        <v>5763.72</v>
      </c>
      <c r="D198" s="4">
        <v>5647.92</v>
      </c>
      <c r="E198" s="4">
        <v>5748</v>
      </c>
      <c r="F198" s="4">
        <v>3730600</v>
      </c>
      <c r="G198" s="8">
        <f t="shared" si="43"/>
        <v>24.869999999999891</v>
      </c>
      <c r="H198" s="8">
        <f t="shared" si="42"/>
        <v>28.970000000000255</v>
      </c>
      <c r="I198" s="20">
        <f t="shared" ca="1" si="35"/>
        <v>0</v>
      </c>
      <c r="J198" s="8">
        <f t="shared" ca="1" si="36"/>
        <v>0</v>
      </c>
      <c r="K198" s="8">
        <f t="shared" ca="1" si="37"/>
        <v>0</v>
      </c>
      <c r="L198" s="8">
        <f t="shared" ca="1" si="38"/>
        <v>-749.51000000000022</v>
      </c>
      <c r="M198" s="9">
        <f ca="1">AVERAGE(E198:OFFSET(E198,-M$5+1,0))</f>
        <v>5926.003999999999</v>
      </c>
      <c r="N198" s="9">
        <f ca="1">AVERAGE(E198:OFFSET(E198,-N$5+1,0))</f>
        <v>5974.695999999999</v>
      </c>
      <c r="O198" s="9">
        <f t="shared" ca="1" si="39"/>
        <v>0</v>
      </c>
      <c r="P198" s="14">
        <f t="shared" si="44"/>
        <v>0.9410880001596188</v>
      </c>
      <c r="Q198" s="15">
        <f ca="1">STDEV(P198:OFFSET(P198,-$Q$5+1,0))</f>
        <v>1.0860573351172587</v>
      </c>
      <c r="R198" s="15">
        <f ca="1">STDEV(P198:OFFSET(P198,-$R$5+1,0))</f>
        <v>0.91005544418492301</v>
      </c>
      <c r="S198" s="18">
        <f t="shared" si="31"/>
        <v>115.80000000000018</v>
      </c>
      <c r="T198" s="18">
        <f t="shared" si="32"/>
        <v>115.80000000000018</v>
      </c>
      <c r="U198" s="18">
        <f t="shared" si="40"/>
        <v>84.764031510977631</v>
      </c>
      <c r="V198" s="33">
        <f ca="1">AVERAGE(E198:OFFSET(E198,-V$5+1,0))</f>
        <v>5984.2642857142855</v>
      </c>
      <c r="W198" s="33">
        <f t="shared" ca="1" si="33"/>
        <v>6111.4103329807522</v>
      </c>
      <c r="X198" s="33">
        <f t="shared" ca="1" si="34"/>
        <v>5857.1182384478188</v>
      </c>
      <c r="Y198" s="32">
        <f t="shared" ca="1" si="41"/>
        <v>0</v>
      </c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</row>
    <row r="199" spans="1:50">
      <c r="A199" s="5">
        <v>38646</v>
      </c>
      <c r="B199" s="4">
        <v>5678.62</v>
      </c>
      <c r="C199" s="4">
        <v>5761.16</v>
      </c>
      <c r="D199" s="4">
        <v>5678.62</v>
      </c>
      <c r="E199" s="4">
        <v>5738.76</v>
      </c>
      <c r="F199" s="4">
        <v>2845400</v>
      </c>
      <c r="G199" s="8">
        <f t="shared" si="43"/>
        <v>-69.380000000000109</v>
      </c>
      <c r="H199" s="8">
        <f t="shared" si="42"/>
        <v>60.140000000000327</v>
      </c>
      <c r="I199" s="20">
        <f t="shared" ca="1" si="35"/>
        <v>0</v>
      </c>
      <c r="J199" s="8">
        <f t="shared" ca="1" si="36"/>
        <v>0</v>
      </c>
      <c r="K199" s="8">
        <f t="shared" ca="1" si="37"/>
        <v>0</v>
      </c>
      <c r="L199" s="8">
        <f t="shared" ca="1" si="38"/>
        <v>-749.51000000000022</v>
      </c>
      <c r="M199" s="9">
        <f ca="1">AVERAGE(E199:OFFSET(E199,-M$5+1,0))</f>
        <v>5890.299</v>
      </c>
      <c r="N199" s="9">
        <f ca="1">AVERAGE(E199:OFFSET(E199,-N$5+1,0))</f>
        <v>5963.030999999999</v>
      </c>
      <c r="O199" s="9">
        <f t="shared" ca="1" si="39"/>
        <v>0</v>
      </c>
      <c r="P199" s="14">
        <f t="shared" si="44"/>
        <v>-0.16088090972501951</v>
      </c>
      <c r="Q199" s="15">
        <f ca="1">STDEV(P199:OFFSET(P199,-$Q$5+1,0))</f>
        <v>1.0971338070379755</v>
      </c>
      <c r="R199" s="15">
        <f ca="1">STDEV(P199:OFFSET(P199,-$R$5+1,0))</f>
        <v>0.8978659547836686</v>
      </c>
      <c r="S199" s="18">
        <f t="shared" si="31"/>
        <v>82.539999999999964</v>
      </c>
      <c r="T199" s="18">
        <f t="shared" si="32"/>
        <v>82.539999999999964</v>
      </c>
      <c r="U199" s="18">
        <f t="shared" si="40"/>
        <v>84.467493976180606</v>
      </c>
      <c r="V199" s="33">
        <f ca="1">AVERAGE(E199:OFFSET(E199,-V$5+1,0))</f>
        <v>5957.1321428571437</v>
      </c>
      <c r="W199" s="33">
        <f t="shared" ca="1" si="33"/>
        <v>6083.8333838214148</v>
      </c>
      <c r="X199" s="33">
        <f t="shared" ca="1" si="34"/>
        <v>5830.4309018928725</v>
      </c>
      <c r="Y199" s="32">
        <f t="shared" ca="1" si="41"/>
        <v>0</v>
      </c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</row>
    <row r="200" spans="1:50">
      <c r="A200" s="5">
        <v>38649</v>
      </c>
      <c r="B200" s="4">
        <v>5761.33</v>
      </c>
      <c r="C200" s="4">
        <v>5766.35</v>
      </c>
      <c r="D200" s="4">
        <v>5713.63</v>
      </c>
      <c r="E200" s="4">
        <v>5717.28</v>
      </c>
      <c r="F200" s="4">
        <v>2615200</v>
      </c>
      <c r="G200" s="8">
        <f t="shared" si="43"/>
        <v>22.569999999999709</v>
      </c>
      <c r="H200" s="8">
        <f t="shared" si="42"/>
        <v>-44.050000000000182</v>
      </c>
      <c r="I200" s="20">
        <f t="shared" ca="1" si="35"/>
        <v>0</v>
      </c>
      <c r="J200" s="8">
        <f t="shared" ca="1" si="36"/>
        <v>0</v>
      </c>
      <c r="K200" s="8">
        <f t="shared" ca="1" si="37"/>
        <v>0</v>
      </c>
      <c r="L200" s="8">
        <f t="shared" ca="1" si="38"/>
        <v>-749.51000000000022</v>
      </c>
      <c r="M200" s="9">
        <f ca="1">AVERAGE(E200:OFFSET(E200,-M$5+1,0))</f>
        <v>5853.8429999999998</v>
      </c>
      <c r="N200" s="9">
        <f ca="1">AVERAGE(E200:OFFSET(E200,-N$5+1,0))</f>
        <v>5952.6180000000004</v>
      </c>
      <c r="O200" s="9">
        <f t="shared" ca="1" si="39"/>
        <v>0</v>
      </c>
      <c r="P200" s="14">
        <f t="shared" si="44"/>
        <v>-0.37499913009649166</v>
      </c>
      <c r="Q200" s="15">
        <f ca="1">STDEV(P200:OFFSET(P200,-$Q$5+1,0))</f>
        <v>1.0925743879189649</v>
      </c>
      <c r="R200" s="15">
        <f ca="1">STDEV(P200:OFFSET(P200,-$R$5+1,0))</f>
        <v>0.89828225877292833</v>
      </c>
      <c r="S200" s="18">
        <f t="shared" si="31"/>
        <v>52.720000000000255</v>
      </c>
      <c r="T200" s="18">
        <f t="shared" si="32"/>
        <v>52.720000000000255</v>
      </c>
      <c r="U200" s="18">
        <f t="shared" si="40"/>
        <v>80.234494779356567</v>
      </c>
      <c r="V200" s="33">
        <f ca="1">AVERAGE(E200:OFFSET(E200,-V$5+1,0))</f>
        <v>5928.0864285714279</v>
      </c>
      <c r="W200" s="33">
        <f t="shared" ca="1" si="33"/>
        <v>6048.4381707404627</v>
      </c>
      <c r="X200" s="33">
        <f t="shared" ca="1" si="34"/>
        <v>5807.734686402393</v>
      </c>
      <c r="Y200" s="32">
        <f t="shared" ca="1" si="41"/>
        <v>0</v>
      </c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</row>
    <row r="201" spans="1:50">
      <c r="A201" s="5">
        <v>38650</v>
      </c>
      <c r="B201" s="4">
        <v>5796.81</v>
      </c>
      <c r="C201" s="4">
        <v>5803.67</v>
      </c>
      <c r="D201" s="4">
        <v>5721.31</v>
      </c>
      <c r="E201" s="4">
        <v>5721.31</v>
      </c>
      <c r="F201" s="4">
        <v>2710600</v>
      </c>
      <c r="G201" s="8">
        <f t="shared" si="43"/>
        <v>79.530000000000655</v>
      </c>
      <c r="H201" s="8">
        <f t="shared" si="42"/>
        <v>-75.5</v>
      </c>
      <c r="I201" s="20">
        <f t="shared" ca="1" si="35"/>
        <v>0</v>
      </c>
      <c r="J201" s="8">
        <f t="shared" ca="1" si="36"/>
        <v>0</v>
      </c>
      <c r="K201" s="8">
        <f t="shared" ca="1" si="37"/>
        <v>0</v>
      </c>
      <c r="L201" s="8">
        <f t="shared" ca="1" si="38"/>
        <v>-749.51000000000022</v>
      </c>
      <c r="M201" s="9">
        <f ca="1">AVERAGE(E201:OFFSET(E201,-M$5+1,0))</f>
        <v>5819.3150000000005</v>
      </c>
      <c r="N201" s="9">
        <f ca="1">AVERAGE(E201:OFFSET(E201,-N$5+1,0))</f>
        <v>5942.173499999999</v>
      </c>
      <c r="O201" s="9">
        <f t="shared" ca="1" si="39"/>
        <v>0</v>
      </c>
      <c r="P201" s="14">
        <f t="shared" si="44"/>
        <v>7.0463233086313401E-2</v>
      </c>
      <c r="Q201" s="15">
        <f ca="1">STDEV(P201:OFFSET(P201,-$Q$5+1,0))</f>
        <v>1.1091818688047148</v>
      </c>
      <c r="R201" s="15">
        <f ca="1">STDEV(P201:OFFSET(P201,-$R$5+1,0))</f>
        <v>0.89379444353445625</v>
      </c>
      <c r="S201" s="18">
        <f t="shared" si="31"/>
        <v>82.359999999999673</v>
      </c>
      <c r="T201" s="18">
        <f t="shared" si="32"/>
        <v>86.390000000000327</v>
      </c>
      <c r="U201" s="18">
        <f t="shared" si="40"/>
        <v>81.055228808775752</v>
      </c>
      <c r="V201" s="33">
        <f ca="1">AVERAGE(E201:OFFSET(E201,-V$5+1,0))</f>
        <v>5898.028571428571</v>
      </c>
      <c r="W201" s="33">
        <f t="shared" ca="1" si="33"/>
        <v>6019.6114146417349</v>
      </c>
      <c r="X201" s="33">
        <f t="shared" ca="1" si="34"/>
        <v>5776.4457282154071</v>
      </c>
      <c r="Y201" s="32">
        <f t="shared" ca="1" si="41"/>
        <v>0</v>
      </c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</row>
    <row r="202" spans="1:50">
      <c r="A202" s="5">
        <v>38651</v>
      </c>
      <c r="B202" s="4">
        <v>5731.87</v>
      </c>
      <c r="C202" s="4">
        <v>5739.94</v>
      </c>
      <c r="D202" s="4">
        <v>5672.89</v>
      </c>
      <c r="E202" s="4">
        <v>5700.72</v>
      </c>
      <c r="F202" s="4">
        <v>2877600</v>
      </c>
      <c r="G202" s="8">
        <f t="shared" si="43"/>
        <v>10.559999999999491</v>
      </c>
      <c r="H202" s="8">
        <f t="shared" si="42"/>
        <v>-31.149999999999636</v>
      </c>
      <c r="I202" s="20">
        <f t="shared" ca="1" si="35"/>
        <v>0</v>
      </c>
      <c r="J202" s="8">
        <f t="shared" ca="1" si="36"/>
        <v>0</v>
      </c>
      <c r="K202" s="8">
        <f t="shared" ca="1" si="37"/>
        <v>0</v>
      </c>
      <c r="L202" s="8">
        <f t="shared" ca="1" si="38"/>
        <v>-749.51000000000022</v>
      </c>
      <c r="M202" s="9">
        <f ca="1">AVERAGE(E202:OFFSET(E202,-M$5+1,0))</f>
        <v>5790.6469999999999</v>
      </c>
      <c r="N202" s="9">
        <f ca="1">AVERAGE(E202:OFFSET(E202,-N$5+1,0))</f>
        <v>5929.9569999999985</v>
      </c>
      <c r="O202" s="9">
        <f t="shared" ca="1" si="39"/>
        <v>0</v>
      </c>
      <c r="P202" s="14">
        <f t="shared" si="44"/>
        <v>-0.36053174966159773</v>
      </c>
      <c r="Q202" s="15">
        <f ca="1">STDEV(P202:OFFSET(P202,-$Q$5+1,0))</f>
        <v>1.0802560194361537</v>
      </c>
      <c r="R202" s="15">
        <f ca="1">STDEV(P202:OFFSET(P202,-$R$5+1,0))</f>
        <v>0.87101169274869616</v>
      </c>
      <c r="S202" s="18">
        <f t="shared" si="31"/>
        <v>67.049999999999272</v>
      </c>
      <c r="T202" s="18">
        <f t="shared" si="32"/>
        <v>67.049999999999272</v>
      </c>
      <c r="U202" s="18">
        <f t="shared" si="40"/>
        <v>79.187864967605549</v>
      </c>
      <c r="V202" s="33">
        <f ca="1">AVERAGE(E202:OFFSET(E202,-V$5+1,0))</f>
        <v>5867.0078571428576</v>
      </c>
      <c r="W202" s="33">
        <f t="shared" ca="1" si="33"/>
        <v>5985.7896545942658</v>
      </c>
      <c r="X202" s="33">
        <f t="shared" ca="1" si="34"/>
        <v>5748.2260596914493</v>
      </c>
      <c r="Y202" s="32">
        <f t="shared" ca="1" si="41"/>
        <v>0</v>
      </c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</row>
    <row r="203" spans="1:50">
      <c r="A203" s="5">
        <v>38652</v>
      </c>
      <c r="B203" s="4">
        <v>5663.24</v>
      </c>
      <c r="C203" s="4">
        <v>5717.05</v>
      </c>
      <c r="D203" s="4">
        <v>5632.23</v>
      </c>
      <c r="E203" s="4">
        <v>5661.18</v>
      </c>
      <c r="F203" s="4">
        <v>2890800</v>
      </c>
      <c r="G203" s="8">
        <f t="shared" si="43"/>
        <v>-37.480000000000473</v>
      </c>
      <c r="H203" s="8">
        <f t="shared" si="42"/>
        <v>-2.0599999999994907</v>
      </c>
      <c r="I203" s="20">
        <f t="shared" ca="1" si="35"/>
        <v>0</v>
      </c>
      <c r="J203" s="8">
        <f t="shared" ca="1" si="36"/>
        <v>0</v>
      </c>
      <c r="K203" s="8">
        <f t="shared" ca="1" si="37"/>
        <v>0</v>
      </c>
      <c r="L203" s="8">
        <f t="shared" ca="1" si="38"/>
        <v>-749.51000000000022</v>
      </c>
      <c r="M203" s="9">
        <f ca="1">AVERAGE(E203:OFFSET(E203,-M$5+1,0))</f>
        <v>5760.7539999999999</v>
      </c>
      <c r="N203" s="9">
        <f ca="1">AVERAGE(E203:OFFSET(E203,-N$5+1,0))</f>
        <v>5916.4469999999983</v>
      </c>
      <c r="O203" s="9">
        <f t="shared" ca="1" si="39"/>
        <v>0</v>
      </c>
      <c r="P203" s="14">
        <f t="shared" si="44"/>
        <v>-0.69601316014010184</v>
      </c>
      <c r="Q203" s="15">
        <f ca="1">STDEV(P203:OFFSET(P203,-$Q$5+1,0))</f>
        <v>1.0820704597915178</v>
      </c>
      <c r="R203" s="15">
        <f ca="1">STDEV(P203:OFFSET(P203,-$R$5+1,0))</f>
        <v>0.87507254691613268</v>
      </c>
      <c r="S203" s="18">
        <f t="shared" si="31"/>
        <v>84.820000000000618</v>
      </c>
      <c r="T203" s="18">
        <f t="shared" si="32"/>
        <v>84.820000000000618</v>
      </c>
      <c r="U203" s="18">
        <f t="shared" si="40"/>
        <v>79.938816305258229</v>
      </c>
      <c r="V203" s="33">
        <f ca="1">AVERAGE(E203:OFFSET(E203,-V$5+1,0))</f>
        <v>5835.9628571428575</v>
      </c>
      <c r="W203" s="33">
        <f t="shared" ca="1" si="33"/>
        <v>5955.8710816007451</v>
      </c>
      <c r="X203" s="33">
        <f t="shared" ca="1" si="34"/>
        <v>5716.0546326849699</v>
      </c>
      <c r="Y203" s="32">
        <f t="shared" ca="1" si="41"/>
        <v>0</v>
      </c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</row>
    <row r="204" spans="1:50">
      <c r="A204" s="5">
        <v>38653</v>
      </c>
      <c r="B204" s="4">
        <v>5646.8</v>
      </c>
      <c r="C204" s="4">
        <v>5690.98</v>
      </c>
      <c r="D204" s="4">
        <v>5618.9</v>
      </c>
      <c r="E204" s="4">
        <v>5632.97</v>
      </c>
      <c r="F204" s="4">
        <v>2940800</v>
      </c>
      <c r="G204" s="8">
        <f t="shared" si="43"/>
        <v>-14.380000000000109</v>
      </c>
      <c r="H204" s="8">
        <f t="shared" si="42"/>
        <v>-13.829999999999927</v>
      </c>
      <c r="I204" s="20">
        <f t="shared" ca="1" si="35"/>
        <v>0</v>
      </c>
      <c r="J204" s="8">
        <f t="shared" ca="1" si="36"/>
        <v>0</v>
      </c>
      <c r="K204" s="8">
        <f t="shared" ca="1" si="37"/>
        <v>0</v>
      </c>
      <c r="L204" s="8">
        <f t="shared" ca="1" si="38"/>
        <v>-749.51000000000022</v>
      </c>
      <c r="M204" s="9">
        <f ca="1">AVERAGE(E204:OFFSET(E204,-M$5+1,0))</f>
        <v>5727.1440000000002</v>
      </c>
      <c r="N204" s="9">
        <f ca="1">AVERAGE(E204:OFFSET(E204,-N$5+1,0))</f>
        <v>5897.5959999999995</v>
      </c>
      <c r="O204" s="9">
        <f t="shared" ca="1" si="39"/>
        <v>0</v>
      </c>
      <c r="P204" s="14">
        <f t="shared" si="44"/>
        <v>-0.49955169119351778</v>
      </c>
      <c r="Q204" s="15">
        <f ca="1">STDEV(P204:OFFSET(P204,-$Q$5+1,0))</f>
        <v>1.056932317268152</v>
      </c>
      <c r="R204" s="15">
        <f ca="1">STDEV(P204:OFFSET(P204,-$R$5+1,0))</f>
        <v>0.87619432197459601</v>
      </c>
      <c r="S204" s="18">
        <f t="shared" si="31"/>
        <v>72.079999999999927</v>
      </c>
      <c r="T204" s="18">
        <f t="shared" si="32"/>
        <v>72.079999999999927</v>
      </c>
      <c r="U204" s="18">
        <f t="shared" si="40"/>
        <v>78.8909741312238</v>
      </c>
      <c r="V204" s="33">
        <f ca="1">AVERAGE(E204:OFFSET(E204,-V$5+1,0))</f>
        <v>5803.9007142857135</v>
      </c>
      <c r="W204" s="33">
        <f t="shared" ca="1" si="33"/>
        <v>5922.237175482549</v>
      </c>
      <c r="X204" s="33">
        <f t="shared" ca="1" si="34"/>
        <v>5685.5642530888781</v>
      </c>
      <c r="Y204" s="32">
        <f t="shared" ca="1" si="41"/>
        <v>0</v>
      </c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</row>
    <row r="205" spans="1:50">
      <c r="A205" s="5">
        <v>38656</v>
      </c>
      <c r="B205" s="4">
        <v>5692.82</v>
      </c>
      <c r="C205" s="4">
        <v>5774.61</v>
      </c>
      <c r="D205" s="4">
        <v>5681.2</v>
      </c>
      <c r="E205" s="4">
        <v>5764.3</v>
      </c>
      <c r="F205" s="4">
        <v>3130400</v>
      </c>
      <c r="G205" s="8">
        <f t="shared" si="43"/>
        <v>59.849999999999454</v>
      </c>
      <c r="H205" s="8">
        <f t="shared" si="42"/>
        <v>71.480000000000473</v>
      </c>
      <c r="I205" s="20">
        <f t="shared" ca="1" si="35"/>
        <v>0</v>
      </c>
      <c r="J205" s="8">
        <f t="shared" ca="1" si="36"/>
        <v>0</v>
      </c>
      <c r="K205" s="8">
        <f t="shared" ca="1" si="37"/>
        <v>0</v>
      </c>
      <c r="L205" s="8">
        <f t="shared" ca="1" si="38"/>
        <v>-749.51000000000022</v>
      </c>
      <c r="M205" s="9">
        <f ca="1">AVERAGE(E205:OFFSET(E205,-M$5+1,0))</f>
        <v>5720.9470000000001</v>
      </c>
      <c r="N205" s="9">
        <f ca="1">AVERAGE(E205:OFFSET(E205,-N$5+1,0))</f>
        <v>5879.8805000000002</v>
      </c>
      <c r="O205" s="9">
        <f t="shared" ca="1" si="39"/>
        <v>0</v>
      </c>
      <c r="P205" s="14">
        <f t="shared" si="44"/>
        <v>2.3046889832845068</v>
      </c>
      <c r="Q205" s="15">
        <f ca="1">STDEV(P205:OFFSET(P205,-$Q$5+1,0))</f>
        <v>1.1900819895492014</v>
      </c>
      <c r="R205" s="15">
        <f ca="1">STDEV(P205:OFFSET(P205,-$R$5+1,0))</f>
        <v>0.92966517267092263</v>
      </c>
      <c r="S205" s="18">
        <f t="shared" si="31"/>
        <v>93.409999999999854</v>
      </c>
      <c r="T205" s="18">
        <f t="shared" si="32"/>
        <v>141.63999999999942</v>
      </c>
      <c r="U205" s="18">
        <f t="shared" si="40"/>
        <v>87.257510913727231</v>
      </c>
      <c r="V205" s="33">
        <f ca="1">AVERAGE(E205:OFFSET(E205,-V$5+1,0))</f>
        <v>5782.3085714285717</v>
      </c>
      <c r="W205" s="33">
        <f t="shared" ca="1" si="33"/>
        <v>5913.1948377991621</v>
      </c>
      <c r="X205" s="33">
        <f t="shared" ca="1" si="34"/>
        <v>5651.4223050579812</v>
      </c>
      <c r="Y205" s="32">
        <f t="shared" ca="1" si="41"/>
        <v>0</v>
      </c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</row>
    <row r="206" spans="1:50">
      <c r="A206" s="5">
        <v>38657</v>
      </c>
      <c r="B206" s="4">
        <v>5803.25</v>
      </c>
      <c r="C206" s="4">
        <v>5829.82</v>
      </c>
      <c r="D206" s="4">
        <v>5786.64</v>
      </c>
      <c r="E206" s="4">
        <v>5798.41</v>
      </c>
      <c r="F206" s="4">
        <v>3006600</v>
      </c>
      <c r="G206" s="8">
        <f t="shared" si="43"/>
        <v>38.949999999999818</v>
      </c>
      <c r="H206" s="8">
        <f t="shared" si="42"/>
        <v>-4.8400000000001455</v>
      </c>
      <c r="I206" s="20">
        <f t="shared" ca="1" si="35"/>
        <v>0</v>
      </c>
      <c r="J206" s="8">
        <f t="shared" ca="1" si="36"/>
        <v>0</v>
      </c>
      <c r="K206" s="8">
        <f t="shared" ca="1" si="37"/>
        <v>0</v>
      </c>
      <c r="L206" s="8">
        <f t="shared" ca="1" si="38"/>
        <v>-749.51000000000022</v>
      </c>
      <c r="M206" s="9">
        <f ca="1">AVERAGE(E206:OFFSET(E206,-M$5+1,0))</f>
        <v>5717.7089999999998</v>
      </c>
      <c r="N206" s="9">
        <f ca="1">AVERAGE(E206:OFFSET(E206,-N$5+1,0))</f>
        <v>5863.6049999999996</v>
      </c>
      <c r="O206" s="9">
        <f t="shared" ca="1" si="39"/>
        <v>0</v>
      </c>
      <c r="P206" s="14">
        <f t="shared" si="44"/>
        <v>0.59000180663482649</v>
      </c>
      <c r="Q206" s="15">
        <f ca="1">STDEV(P206:OFFSET(P206,-$Q$5+1,0))</f>
        <v>1.2097786584065999</v>
      </c>
      <c r="R206" s="15">
        <f ca="1">STDEV(P206:OFFSET(P206,-$R$5+1,0))</f>
        <v>0.93663882068113158</v>
      </c>
      <c r="S206" s="18">
        <f t="shared" si="31"/>
        <v>43.179999999999382</v>
      </c>
      <c r="T206" s="18">
        <f t="shared" si="32"/>
        <v>65.519999999999527</v>
      </c>
      <c r="U206" s="18">
        <f t="shared" si="40"/>
        <v>84.359176125230206</v>
      </c>
      <c r="V206" s="33">
        <f ca="1">AVERAGE(E206:OFFSET(E206,-V$5+1,0))</f>
        <v>5768.8092857142856</v>
      </c>
      <c r="W206" s="33">
        <f t="shared" ca="1" si="33"/>
        <v>5895.3480499021307</v>
      </c>
      <c r="X206" s="33">
        <f t="shared" ca="1" si="34"/>
        <v>5642.2705215264405</v>
      </c>
      <c r="Y206" s="32">
        <f t="shared" ca="1" si="41"/>
        <v>0</v>
      </c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</row>
    <row r="207" spans="1:50">
      <c r="A207" s="5">
        <v>38658</v>
      </c>
      <c r="B207" s="4">
        <v>5832.34</v>
      </c>
      <c r="C207" s="4">
        <v>5870.37</v>
      </c>
      <c r="D207" s="4">
        <v>5816.9</v>
      </c>
      <c r="E207" s="4">
        <v>5870.37</v>
      </c>
      <c r="F207" s="4">
        <v>2813200</v>
      </c>
      <c r="G207" s="8">
        <f t="shared" si="43"/>
        <v>33.930000000000291</v>
      </c>
      <c r="H207" s="8">
        <f t="shared" si="42"/>
        <v>38.029999999999745</v>
      </c>
      <c r="I207" s="20">
        <f t="shared" ca="1" si="35"/>
        <v>0</v>
      </c>
      <c r="J207" s="8">
        <f t="shared" ca="1" si="36"/>
        <v>0</v>
      </c>
      <c r="K207" s="8">
        <f t="shared" ca="1" si="37"/>
        <v>0</v>
      </c>
      <c r="L207" s="8">
        <f t="shared" ca="1" si="38"/>
        <v>-749.51000000000022</v>
      </c>
      <c r="M207" s="9">
        <f ca="1">AVERAGE(E207:OFFSET(E207,-M$5+1,0))</f>
        <v>5735.3300000000008</v>
      </c>
      <c r="N207" s="9">
        <f ca="1">AVERAGE(E207:OFFSET(E207,-N$5+1,0))</f>
        <v>5850.0174999999999</v>
      </c>
      <c r="O207" s="9">
        <f t="shared" ca="1" si="39"/>
        <v>0</v>
      </c>
      <c r="P207" s="14">
        <f t="shared" si="44"/>
        <v>1.2333922182853667</v>
      </c>
      <c r="Q207" s="15">
        <f ca="1">STDEV(P207:OFFSET(P207,-$Q$5+1,0))</f>
        <v>0.9529612432533725</v>
      </c>
      <c r="R207" s="15">
        <f ca="1">STDEV(P207:OFFSET(P207,-$R$5+1,0))</f>
        <v>0.95288843058101669</v>
      </c>
      <c r="S207" s="18">
        <f t="shared" si="31"/>
        <v>53.470000000000255</v>
      </c>
      <c r="T207" s="18">
        <f t="shared" si="32"/>
        <v>71.960000000000036</v>
      </c>
      <c r="U207" s="18">
        <f t="shared" si="40"/>
        <v>82.70595264186619</v>
      </c>
      <c r="V207" s="33">
        <f ca="1">AVERAGE(E207:OFFSET(E207,-V$5+1,0))</f>
        <v>5762.3992857142857</v>
      </c>
      <c r="W207" s="33">
        <f t="shared" ca="1" si="33"/>
        <v>5886.4582146770854</v>
      </c>
      <c r="X207" s="33">
        <f t="shared" ca="1" si="34"/>
        <v>5638.3403567514861</v>
      </c>
      <c r="Y207" s="32">
        <f t="shared" ca="1" si="41"/>
        <v>0</v>
      </c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</row>
    <row r="208" spans="1:50">
      <c r="A208" s="5">
        <v>38659</v>
      </c>
      <c r="B208" s="4">
        <v>5907.22</v>
      </c>
      <c r="C208" s="4">
        <v>5908.69</v>
      </c>
      <c r="D208" s="4">
        <v>5855.13</v>
      </c>
      <c r="E208" s="4">
        <v>5858.01</v>
      </c>
      <c r="F208" s="4">
        <v>2776400</v>
      </c>
      <c r="G208" s="8">
        <f t="shared" si="43"/>
        <v>36.850000000000364</v>
      </c>
      <c r="H208" s="8">
        <f t="shared" si="42"/>
        <v>-49.210000000000036</v>
      </c>
      <c r="I208" s="20">
        <f t="shared" ca="1" si="35"/>
        <v>0</v>
      </c>
      <c r="J208" s="8">
        <f t="shared" ca="1" si="36"/>
        <v>0</v>
      </c>
      <c r="K208" s="8">
        <f t="shared" ca="1" si="37"/>
        <v>0</v>
      </c>
      <c r="L208" s="8">
        <f t="shared" ca="1" si="38"/>
        <v>-749.51000000000022</v>
      </c>
      <c r="M208" s="9">
        <f ca="1">AVERAGE(E208:OFFSET(E208,-M$5+1,0))</f>
        <v>5746.331000000001</v>
      </c>
      <c r="N208" s="9">
        <f ca="1">AVERAGE(E208:OFFSET(E208,-N$5+1,0))</f>
        <v>5836.1675000000005</v>
      </c>
      <c r="O208" s="9">
        <f t="shared" ca="1" si="39"/>
        <v>0</v>
      </c>
      <c r="P208" s="14">
        <f t="shared" si="44"/>
        <v>-0.2107708750178427</v>
      </c>
      <c r="Q208" s="15">
        <f ca="1">STDEV(P208:OFFSET(P208,-$Q$5+1,0))</f>
        <v>0.93698157946582261</v>
      </c>
      <c r="R208" s="15">
        <f ca="1">STDEV(P208:OFFSET(P208,-$R$5+1,0))</f>
        <v>0.95277893734794783</v>
      </c>
      <c r="S208" s="18">
        <f t="shared" si="31"/>
        <v>53.559999999999491</v>
      </c>
      <c r="T208" s="18">
        <f t="shared" si="32"/>
        <v>53.559999999999491</v>
      </c>
      <c r="U208" s="18">
        <f t="shared" si="40"/>
        <v>78.819825622950631</v>
      </c>
      <c r="V208" s="33">
        <f ca="1">AVERAGE(E208:OFFSET(E208,-V$5+1,0))</f>
        <v>5754.4664285714289</v>
      </c>
      <c r="W208" s="33">
        <f t="shared" ca="1" si="33"/>
        <v>5872.6961670058545</v>
      </c>
      <c r="X208" s="33">
        <f t="shared" ca="1" si="34"/>
        <v>5636.2366901370033</v>
      </c>
      <c r="Y208" s="32">
        <f t="shared" ca="1" si="41"/>
        <v>0</v>
      </c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</row>
    <row r="209" spans="1:50">
      <c r="A209" s="5">
        <v>38660</v>
      </c>
      <c r="B209" s="4">
        <v>5907.27</v>
      </c>
      <c r="C209" s="4">
        <v>5930.24</v>
      </c>
      <c r="D209" s="4">
        <v>5888.4</v>
      </c>
      <c r="E209" s="4">
        <v>5911.74</v>
      </c>
      <c r="F209" s="4">
        <v>3129600</v>
      </c>
      <c r="G209" s="8">
        <f t="shared" si="43"/>
        <v>49.260000000000218</v>
      </c>
      <c r="H209" s="8">
        <f t="shared" si="42"/>
        <v>4.4699999999993452</v>
      </c>
      <c r="I209" s="20">
        <f t="shared" ca="1" si="35"/>
        <v>1</v>
      </c>
      <c r="J209" s="8">
        <f t="shared" ca="1" si="36"/>
        <v>0</v>
      </c>
      <c r="K209" s="8">
        <f t="shared" ca="1" si="37"/>
        <v>0</v>
      </c>
      <c r="L209" s="8">
        <f t="shared" ca="1" si="38"/>
        <v>-749.51000000000022</v>
      </c>
      <c r="M209" s="9">
        <f ca="1">AVERAGE(E209:OFFSET(E209,-M$5+1,0))</f>
        <v>5763.6289999999999</v>
      </c>
      <c r="N209" s="9">
        <f ca="1">AVERAGE(E209:OFFSET(E209,-N$5+1,0))</f>
        <v>5826.9640000000009</v>
      </c>
      <c r="O209" s="9">
        <f t="shared" ca="1" si="39"/>
        <v>0</v>
      </c>
      <c r="P209" s="14">
        <f t="shared" si="44"/>
        <v>0.91302488583609853</v>
      </c>
      <c r="Q209" s="15">
        <f ca="1">STDEV(P209:OFFSET(P209,-$Q$5+1,0))</f>
        <v>0.95374308699376076</v>
      </c>
      <c r="R209" s="15">
        <f ca="1">STDEV(P209:OFFSET(P209,-$R$5+1,0))</f>
        <v>0.96588165652921154</v>
      </c>
      <c r="S209" s="18">
        <f t="shared" si="31"/>
        <v>41.840000000000146</v>
      </c>
      <c r="T209" s="18">
        <f t="shared" si="32"/>
        <v>72.229999999999563</v>
      </c>
      <c r="U209" s="18">
        <f t="shared" si="40"/>
        <v>77.941182206557158</v>
      </c>
      <c r="V209" s="33">
        <f ca="1">AVERAGE(E209:OFFSET(E209,-V$5+1,0))</f>
        <v>5760.5714285714284</v>
      </c>
      <c r="W209" s="33">
        <f t="shared" ca="1" si="33"/>
        <v>5877.483201881264</v>
      </c>
      <c r="X209" s="33">
        <f t="shared" ca="1" si="34"/>
        <v>5643.6596552615929</v>
      </c>
      <c r="Y209" s="32">
        <f t="shared" ca="1" si="41"/>
        <v>1</v>
      </c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</row>
    <row r="210" spans="1:50">
      <c r="A210" s="5">
        <v>38663</v>
      </c>
      <c r="B210" s="4">
        <v>5905.36</v>
      </c>
      <c r="C210" s="4">
        <v>5905.36</v>
      </c>
      <c r="D210" s="4">
        <v>5842.37</v>
      </c>
      <c r="E210" s="4">
        <v>5860.39</v>
      </c>
      <c r="F210" s="4">
        <v>2443600</v>
      </c>
      <c r="G210" s="8">
        <f t="shared" si="43"/>
        <v>-6.3800000000001091</v>
      </c>
      <c r="H210" s="8">
        <f t="shared" si="42"/>
        <v>-44.969999999999345</v>
      </c>
      <c r="I210" s="20">
        <f t="shared" ca="1" si="35"/>
        <v>0</v>
      </c>
      <c r="J210" s="8">
        <f t="shared" ca="1" si="36"/>
        <v>1</v>
      </c>
      <c r="K210" s="8">
        <f t="shared" ca="1" si="37"/>
        <v>-44.969999999999345</v>
      </c>
      <c r="L210" s="8">
        <f t="shared" ca="1" si="38"/>
        <v>-794.47999999999956</v>
      </c>
      <c r="M210" s="9">
        <f ca="1">AVERAGE(E210:OFFSET(E210,-M$5+1,0))</f>
        <v>5777.9400000000005</v>
      </c>
      <c r="N210" s="9">
        <f ca="1">AVERAGE(E210:OFFSET(E210,-N$5+1,0))</f>
        <v>5815.8914999999997</v>
      </c>
      <c r="O210" s="9">
        <f t="shared" ca="1" si="39"/>
        <v>0</v>
      </c>
      <c r="P210" s="14">
        <f t="shared" si="44"/>
        <v>-0.87240500543050803</v>
      </c>
      <c r="Q210" s="15">
        <f ca="1">STDEV(P210:OFFSET(P210,-$Q$5+1,0))</f>
        <v>1.0043122281604195</v>
      </c>
      <c r="R210" s="15">
        <f ca="1">STDEV(P210:OFFSET(P210,-$R$5+1,0))</f>
        <v>0.97160139566070058</v>
      </c>
      <c r="S210" s="18">
        <f t="shared" si="31"/>
        <v>62.989999999999782</v>
      </c>
      <c r="T210" s="18">
        <f t="shared" si="32"/>
        <v>69.369999999999891</v>
      </c>
      <c r="U210" s="18">
        <f t="shared" si="40"/>
        <v>76.79835791234953</v>
      </c>
      <c r="V210" s="33">
        <f ca="1">AVERAGE(E210:OFFSET(E210,-V$5+1,0))</f>
        <v>5762.6857142857143</v>
      </c>
      <c r="W210" s="33">
        <f t="shared" ca="1" si="33"/>
        <v>5877.8832511542387</v>
      </c>
      <c r="X210" s="33">
        <f t="shared" ca="1" si="34"/>
        <v>5647.4881774171899</v>
      </c>
      <c r="Y210" s="32">
        <f t="shared" ca="1" si="41"/>
        <v>0</v>
      </c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</row>
    <row r="211" spans="1:50">
      <c r="A211" s="5">
        <v>38664</v>
      </c>
      <c r="B211" s="4">
        <v>5865.91</v>
      </c>
      <c r="C211" s="4">
        <v>5867.07</v>
      </c>
      <c r="D211" s="4">
        <v>5836.24</v>
      </c>
      <c r="E211" s="4">
        <v>5849.63</v>
      </c>
      <c r="F211" s="4">
        <v>2513600</v>
      </c>
      <c r="G211" s="8">
        <f t="shared" si="43"/>
        <v>5.5199999999995271</v>
      </c>
      <c r="H211" s="8">
        <f t="shared" si="42"/>
        <v>-16.279999999999745</v>
      </c>
      <c r="I211" s="20">
        <f t="shared" ca="1" si="35"/>
        <v>0</v>
      </c>
      <c r="J211" s="8">
        <f t="shared" ca="1" si="36"/>
        <v>1</v>
      </c>
      <c r="K211" s="8">
        <f t="shared" ca="1" si="37"/>
        <v>-10.760000000000218</v>
      </c>
      <c r="L211" s="8">
        <f t="shared" ca="1" si="38"/>
        <v>-805.23999999999978</v>
      </c>
      <c r="M211" s="9">
        <f ca="1">AVERAGE(E211:OFFSET(E211,-M$5+1,0))</f>
        <v>5790.7719999999999</v>
      </c>
      <c r="N211" s="9">
        <f ca="1">AVERAGE(E211:OFFSET(E211,-N$5+1,0))</f>
        <v>5805.0435000000007</v>
      </c>
      <c r="O211" s="9">
        <f t="shared" ca="1" si="39"/>
        <v>0</v>
      </c>
      <c r="P211" s="14">
        <f t="shared" si="44"/>
        <v>-0.18377428951123398</v>
      </c>
      <c r="Q211" s="15">
        <f ca="1">STDEV(P211:OFFSET(P211,-$Q$5+1,0))</f>
        <v>1.0124690355611772</v>
      </c>
      <c r="R211" s="15">
        <f ca="1">STDEV(P211:OFFSET(P211,-$R$5+1,0))</f>
        <v>0.96168029332904503</v>
      </c>
      <c r="S211" s="18">
        <f t="shared" si="31"/>
        <v>30.829999999999927</v>
      </c>
      <c r="T211" s="18">
        <f t="shared" si="32"/>
        <v>30.829999999999927</v>
      </c>
      <c r="U211" s="18">
        <f t="shared" si="40"/>
        <v>70.669243524036261</v>
      </c>
      <c r="V211" s="33">
        <f ca="1">AVERAGE(E211:OFFSET(E211,-V$5+1,0))</f>
        <v>5773.7907142857157</v>
      </c>
      <c r="W211" s="33">
        <f t="shared" ca="1" si="33"/>
        <v>5879.7945795717696</v>
      </c>
      <c r="X211" s="33">
        <f t="shared" ca="1" si="34"/>
        <v>5667.7868489996617</v>
      </c>
      <c r="Y211" s="32">
        <f t="shared" ca="1" si="41"/>
        <v>0</v>
      </c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</row>
    <row r="212" spans="1:50">
      <c r="A212" s="5">
        <v>38665</v>
      </c>
      <c r="B212" s="4">
        <v>5843.97</v>
      </c>
      <c r="C212" s="4">
        <v>5971.06</v>
      </c>
      <c r="D212" s="4">
        <v>5843.39</v>
      </c>
      <c r="E212" s="4">
        <v>5971.06</v>
      </c>
      <c r="F212" s="4">
        <v>3401200</v>
      </c>
      <c r="G212" s="8">
        <f t="shared" si="43"/>
        <v>-5.6599999999998545</v>
      </c>
      <c r="H212" s="8">
        <f t="shared" si="42"/>
        <v>127.09000000000015</v>
      </c>
      <c r="I212" s="20">
        <f t="shared" ca="1" si="35"/>
        <v>1</v>
      </c>
      <c r="J212" s="8">
        <f t="shared" ca="1" si="36"/>
        <v>1</v>
      </c>
      <c r="K212" s="8">
        <f t="shared" ca="1" si="37"/>
        <v>121.43000000000029</v>
      </c>
      <c r="L212" s="8">
        <f t="shared" ca="1" si="38"/>
        <v>-683.80999999999949</v>
      </c>
      <c r="M212" s="9">
        <f ca="1">AVERAGE(E212:OFFSET(E212,-M$5+1,0))</f>
        <v>5817.8059999999987</v>
      </c>
      <c r="N212" s="9">
        <f ca="1">AVERAGE(E212:OFFSET(E212,-N$5+1,0))</f>
        <v>5804.2264999999998</v>
      </c>
      <c r="O212" s="9">
        <f t="shared" ca="1" si="39"/>
        <v>1</v>
      </c>
      <c r="P212" s="14">
        <f t="shared" si="44"/>
        <v>2.0546054702161198</v>
      </c>
      <c r="Q212" s="15">
        <f ca="1">STDEV(P212:OFFSET(P212,-$Q$5+1,0))</f>
        <v>1.138351110330198</v>
      </c>
      <c r="R212" s="15">
        <f ca="1">STDEV(P212:OFFSET(P212,-$R$5+1,0))</f>
        <v>1.021668382308806</v>
      </c>
      <c r="S212" s="18">
        <f t="shared" si="31"/>
        <v>127.67000000000007</v>
      </c>
      <c r="T212" s="18">
        <f t="shared" si="32"/>
        <v>127.67000000000007</v>
      </c>
      <c r="U212" s="18">
        <f t="shared" si="40"/>
        <v>78.269344387498109</v>
      </c>
      <c r="V212" s="33">
        <f ca="1">AVERAGE(E212:OFFSET(E212,-V$5+1,0))</f>
        <v>5789.7235714285725</v>
      </c>
      <c r="W212" s="33">
        <f t="shared" ca="1" si="33"/>
        <v>5907.1275880098201</v>
      </c>
      <c r="X212" s="33">
        <f t="shared" ca="1" si="34"/>
        <v>5672.319554847325</v>
      </c>
      <c r="Y212" s="32">
        <f t="shared" ca="1" si="41"/>
        <v>1</v>
      </c>
    </row>
    <row r="213" spans="1:50">
      <c r="A213" s="5">
        <v>38666</v>
      </c>
      <c r="B213" s="4">
        <v>5987.28</v>
      </c>
      <c r="C213" s="4">
        <v>6021.38</v>
      </c>
      <c r="D213" s="4">
        <v>5971.89</v>
      </c>
      <c r="E213" s="4">
        <v>5988.37</v>
      </c>
      <c r="F213" s="4">
        <v>3637000</v>
      </c>
      <c r="G213" s="8">
        <f t="shared" si="43"/>
        <v>16.219999999999345</v>
      </c>
      <c r="H213" s="8">
        <f t="shared" si="42"/>
        <v>1.0900000000001455</v>
      </c>
      <c r="I213" s="20">
        <f t="shared" ca="1" si="35"/>
        <v>0</v>
      </c>
      <c r="J213" s="8">
        <f t="shared" ca="1" si="36"/>
        <v>2</v>
      </c>
      <c r="K213" s="8">
        <f t="shared" ca="1" si="37"/>
        <v>18.399999999999636</v>
      </c>
      <c r="L213" s="8">
        <f t="shared" ca="1" si="38"/>
        <v>-665.40999999999985</v>
      </c>
      <c r="M213" s="9">
        <f ca="1">AVERAGE(E213:OFFSET(E213,-M$5+1,0))</f>
        <v>5850.5249999999996</v>
      </c>
      <c r="N213" s="9">
        <f ca="1">AVERAGE(E213:OFFSET(E213,-N$5+1,0))</f>
        <v>5805.6394999999993</v>
      </c>
      <c r="O213" s="9">
        <f t="shared" ca="1" si="39"/>
        <v>0</v>
      </c>
      <c r="P213" s="14">
        <f t="shared" si="44"/>
        <v>0.28947888131561406</v>
      </c>
      <c r="Q213" s="15">
        <f ca="1">STDEV(P213:OFFSET(P213,-$Q$5+1,0))</f>
        <v>1.0672726134132176</v>
      </c>
      <c r="R213" s="15">
        <f ca="1">STDEV(P213:OFFSET(P213,-$R$5+1,0))</f>
        <v>1.0224947425117197</v>
      </c>
      <c r="S213" s="18">
        <f t="shared" si="31"/>
        <v>49.489999999999782</v>
      </c>
      <c r="T213" s="18">
        <f t="shared" si="32"/>
        <v>50.319999999999709</v>
      </c>
      <c r="U213" s="18">
        <f t="shared" si="40"/>
        <v>74.542765135831658</v>
      </c>
      <c r="V213" s="33">
        <f ca="1">AVERAGE(E213:OFFSET(E213,-V$5+1,0))</f>
        <v>5807.5528571428567</v>
      </c>
      <c r="W213" s="33">
        <f t="shared" ca="1" si="33"/>
        <v>5919.3670048466047</v>
      </c>
      <c r="X213" s="33">
        <f t="shared" ca="1" si="34"/>
        <v>5695.7387094391088</v>
      </c>
      <c r="Y213" s="32">
        <f t="shared" ca="1" si="41"/>
        <v>0</v>
      </c>
    </row>
    <row r="214" spans="1:50">
      <c r="A214" s="5">
        <v>38667</v>
      </c>
      <c r="B214" s="4">
        <v>6050.87</v>
      </c>
      <c r="C214" s="4">
        <v>6075.26</v>
      </c>
      <c r="D214" s="4">
        <v>6019.06</v>
      </c>
      <c r="E214" s="4">
        <v>6075.26</v>
      </c>
      <c r="F214" s="4">
        <v>3559800</v>
      </c>
      <c r="G214" s="8">
        <f t="shared" si="43"/>
        <v>62.5</v>
      </c>
      <c r="H214" s="8">
        <f t="shared" si="42"/>
        <v>24.390000000000327</v>
      </c>
      <c r="I214" s="20">
        <f t="shared" ca="1" si="35"/>
        <v>0</v>
      </c>
      <c r="J214" s="8">
        <f t="shared" ca="1" si="36"/>
        <v>2</v>
      </c>
      <c r="K214" s="8">
        <f t="shared" ca="1" si="37"/>
        <v>173.78000000000065</v>
      </c>
      <c r="L214" s="8">
        <f t="shared" ca="1" si="38"/>
        <v>-491.6299999999992</v>
      </c>
      <c r="M214" s="9">
        <f ca="1">AVERAGE(E214:OFFSET(E214,-M$5+1,0))</f>
        <v>5894.753999999999</v>
      </c>
      <c r="N214" s="9">
        <f ca="1">AVERAGE(E214:OFFSET(E214,-N$5+1,0))</f>
        <v>5810.9489999999996</v>
      </c>
      <c r="O214" s="9">
        <f t="shared" ca="1" si="39"/>
        <v>0</v>
      </c>
      <c r="P214" s="14">
        <f t="shared" si="44"/>
        <v>1.44055317690941</v>
      </c>
      <c r="Q214" s="15">
        <f ca="1">STDEV(P214:OFFSET(P214,-$Q$5+1,0))</f>
        <v>1.0285215193582855</v>
      </c>
      <c r="R214" s="15">
        <f ca="1">STDEV(P214:OFFSET(P214,-$R$5+1,0))</f>
        <v>1.0359441903576592</v>
      </c>
      <c r="S214" s="18">
        <f t="shared" si="31"/>
        <v>56.199999999999818</v>
      </c>
      <c r="T214" s="18">
        <f t="shared" si="32"/>
        <v>86.890000000000327</v>
      </c>
      <c r="U214" s="18">
        <f t="shared" si="40"/>
        <v>76.189063117720821</v>
      </c>
      <c r="V214" s="33">
        <f ca="1">AVERAGE(E214:OFFSET(E214,-V$5+1,0))</f>
        <v>5833.1228571428564</v>
      </c>
      <c r="W214" s="33">
        <f t="shared" ca="1" si="33"/>
        <v>5947.4064518194373</v>
      </c>
      <c r="X214" s="33">
        <f t="shared" ca="1" si="34"/>
        <v>5718.8392624662756</v>
      </c>
      <c r="Y214" s="32">
        <f t="shared" ca="1" si="41"/>
        <v>0</v>
      </c>
    </row>
    <row r="215" spans="1:50">
      <c r="A215" s="5">
        <v>38670</v>
      </c>
      <c r="B215" s="4">
        <v>6066.24</v>
      </c>
      <c r="C215" s="4">
        <v>6090.87</v>
      </c>
      <c r="D215" s="4">
        <v>6061.22</v>
      </c>
      <c r="E215" s="4">
        <v>6083.62</v>
      </c>
      <c r="F215" s="4">
        <v>2689400</v>
      </c>
      <c r="G215" s="8">
        <f t="shared" si="43"/>
        <v>-9.0200000000004366</v>
      </c>
      <c r="H215" s="8">
        <f t="shared" si="42"/>
        <v>17.380000000000109</v>
      </c>
      <c r="I215" s="20">
        <f t="shared" ca="1" si="35"/>
        <v>0</v>
      </c>
      <c r="J215" s="8">
        <f t="shared" ca="1" si="36"/>
        <v>2</v>
      </c>
      <c r="K215" s="8">
        <f t="shared" ca="1" si="37"/>
        <v>16.719999999999345</v>
      </c>
      <c r="L215" s="8">
        <f t="shared" ca="1" si="38"/>
        <v>-474.90999999999985</v>
      </c>
      <c r="M215" s="9">
        <f ca="1">AVERAGE(E215:OFFSET(E215,-M$5+1,0))</f>
        <v>5926.6859999999997</v>
      </c>
      <c r="N215" s="9">
        <f ca="1">AVERAGE(E215:OFFSET(E215,-N$5+1,0))</f>
        <v>5823.816499999999</v>
      </c>
      <c r="O215" s="9">
        <f t="shared" ca="1" si="39"/>
        <v>0</v>
      </c>
      <c r="P215" s="14">
        <f t="shared" si="44"/>
        <v>0.1375126873096546</v>
      </c>
      <c r="Q215" s="15">
        <f ca="1">STDEV(P215:OFFSET(P215,-$Q$5+1,0))</f>
        <v>0.8840946493598878</v>
      </c>
      <c r="R215" s="15">
        <f ca="1">STDEV(P215:OFFSET(P215,-$R$5+1,0))</f>
        <v>1.0270281739543186</v>
      </c>
      <c r="S215" s="18">
        <f t="shared" si="31"/>
        <v>29.649999999999636</v>
      </c>
      <c r="T215" s="18">
        <f t="shared" si="32"/>
        <v>29.649999999999636</v>
      </c>
      <c r="U215" s="18">
        <f t="shared" si="40"/>
        <v>69.983854702024672</v>
      </c>
      <c r="V215" s="33">
        <f ca="1">AVERAGE(E215:OFFSET(E215,-V$5+1,0))</f>
        <v>5859.0021428571417</v>
      </c>
      <c r="W215" s="33">
        <f t="shared" ca="1" si="33"/>
        <v>5963.9779249101784</v>
      </c>
      <c r="X215" s="33">
        <f t="shared" ca="1" si="34"/>
        <v>5754.026360804105</v>
      </c>
      <c r="Y215" s="32">
        <f t="shared" ca="1" si="41"/>
        <v>0</v>
      </c>
    </row>
    <row r="216" spans="1:50">
      <c r="A216" s="5">
        <v>38671</v>
      </c>
      <c r="B216" s="4">
        <v>6072.48</v>
      </c>
      <c r="C216" s="4">
        <v>6073.44</v>
      </c>
      <c r="D216" s="4">
        <v>6003.48</v>
      </c>
      <c r="E216" s="4">
        <v>6030.74</v>
      </c>
      <c r="F216" s="4">
        <v>2717400</v>
      </c>
      <c r="G216" s="8">
        <f t="shared" si="43"/>
        <v>-11.140000000000327</v>
      </c>
      <c r="H216" s="8">
        <f t="shared" si="42"/>
        <v>-41.739999999999782</v>
      </c>
      <c r="I216" s="20">
        <f t="shared" ca="1" si="35"/>
        <v>0</v>
      </c>
      <c r="J216" s="8">
        <f t="shared" ca="1" si="36"/>
        <v>2</v>
      </c>
      <c r="K216" s="8">
        <f t="shared" ca="1" si="37"/>
        <v>-105.76000000000022</v>
      </c>
      <c r="L216" s="8">
        <f t="shared" ca="1" si="38"/>
        <v>-580.67000000000007</v>
      </c>
      <c r="M216" s="9">
        <f ca="1">AVERAGE(E216:OFFSET(E216,-M$5+1,0))</f>
        <v>5949.9190000000008</v>
      </c>
      <c r="N216" s="9">
        <f ca="1">AVERAGE(E216:OFFSET(E216,-N$5+1,0))</f>
        <v>5833.8140000000003</v>
      </c>
      <c r="O216" s="9">
        <f t="shared" ca="1" si="39"/>
        <v>0</v>
      </c>
      <c r="P216" s="14">
        <f t="shared" si="44"/>
        <v>-0.87301905934913693</v>
      </c>
      <c r="Q216" s="15">
        <f ca="1">STDEV(P216:OFFSET(P216,-$Q$5+1,0))</f>
        <v>0.98951376886371312</v>
      </c>
      <c r="R216" s="15">
        <f ca="1">STDEV(P216:OFFSET(P216,-$R$5+1,0))</f>
        <v>1.0366635874521535</v>
      </c>
      <c r="S216" s="18">
        <f t="shared" si="31"/>
        <v>69.960000000000036</v>
      </c>
      <c r="T216" s="18">
        <f t="shared" si="32"/>
        <v>80.140000000000327</v>
      </c>
      <c r="U216" s="18">
        <f t="shared" si="40"/>
        <v>71.338007408421433</v>
      </c>
      <c r="V216" s="33">
        <f ca="1">AVERAGE(E216:OFFSET(E216,-V$5+1,0))</f>
        <v>5882.5749999999989</v>
      </c>
      <c r="W216" s="33">
        <f t="shared" ca="1" si="33"/>
        <v>5989.5820111126313</v>
      </c>
      <c r="X216" s="33">
        <f t="shared" ca="1" si="34"/>
        <v>5775.5679888873665</v>
      </c>
      <c r="Y216" s="32">
        <f t="shared" ca="1" si="41"/>
        <v>0</v>
      </c>
    </row>
    <row r="217" spans="1:50">
      <c r="A217" s="5">
        <v>38672</v>
      </c>
      <c r="B217" s="4">
        <v>6021.61</v>
      </c>
      <c r="C217" s="4">
        <v>6079.3</v>
      </c>
      <c r="D217" s="4">
        <v>6002.18</v>
      </c>
      <c r="E217" s="4">
        <v>6046.2</v>
      </c>
      <c r="F217" s="4">
        <v>2978600</v>
      </c>
      <c r="G217" s="8">
        <f t="shared" si="43"/>
        <v>-9.1300000000001091</v>
      </c>
      <c r="H217" s="8">
        <f t="shared" si="42"/>
        <v>24.590000000000146</v>
      </c>
      <c r="I217" s="20">
        <f t="shared" ca="1" si="35"/>
        <v>0</v>
      </c>
      <c r="J217" s="8">
        <f t="shared" ca="1" si="36"/>
        <v>2</v>
      </c>
      <c r="K217" s="8">
        <f t="shared" ca="1" si="37"/>
        <v>30.920000000000073</v>
      </c>
      <c r="L217" s="8">
        <f t="shared" ca="1" si="38"/>
        <v>-549.75</v>
      </c>
      <c r="M217" s="9">
        <f ca="1">AVERAGE(E217:OFFSET(E217,-M$5+1,0))</f>
        <v>5967.5020000000004</v>
      </c>
      <c r="N217" s="9">
        <f ca="1">AVERAGE(E217:OFFSET(E217,-N$5+1,0))</f>
        <v>5851.4160000000002</v>
      </c>
      <c r="O217" s="9">
        <f t="shared" ca="1" si="39"/>
        <v>0</v>
      </c>
      <c r="P217" s="14">
        <f t="shared" si="44"/>
        <v>0.25602525879711713</v>
      </c>
      <c r="Q217" s="15">
        <f ca="1">STDEV(P217:OFFSET(P217,-$Q$5+1,0))</f>
        <v>0.9445129159029958</v>
      </c>
      <c r="R217" s="15">
        <f ca="1">STDEV(P217:OFFSET(P217,-$R$5+1,0))</f>
        <v>1.020728498635016</v>
      </c>
      <c r="S217" s="18">
        <f t="shared" si="31"/>
        <v>77.119999999999891</v>
      </c>
      <c r="T217" s="18">
        <f t="shared" si="32"/>
        <v>77.119999999999891</v>
      </c>
      <c r="U217" s="18">
        <f t="shared" si="40"/>
        <v>72.108939753965231</v>
      </c>
      <c r="V217" s="33">
        <f ca="1">AVERAGE(E217:OFFSET(E217,-V$5+1,0))</f>
        <v>5910.0764285714276</v>
      </c>
      <c r="W217" s="33">
        <f t="shared" ca="1" si="33"/>
        <v>6018.2398382023757</v>
      </c>
      <c r="X217" s="33">
        <f t="shared" ca="1" si="34"/>
        <v>5801.9130189404796</v>
      </c>
      <c r="Y217" s="32">
        <f t="shared" ca="1" si="41"/>
        <v>0</v>
      </c>
    </row>
    <row r="218" spans="1:50">
      <c r="A218" s="5">
        <v>38673</v>
      </c>
      <c r="B218" s="4">
        <v>6063.09</v>
      </c>
      <c r="C218" s="4">
        <v>6063.09</v>
      </c>
      <c r="D218" s="4">
        <v>5994.91</v>
      </c>
      <c r="E218" s="4">
        <v>6020.94</v>
      </c>
      <c r="F218" s="4">
        <v>2750800</v>
      </c>
      <c r="G218" s="8">
        <f t="shared" si="43"/>
        <v>16.890000000000327</v>
      </c>
      <c r="H218" s="8">
        <f t="shared" si="42"/>
        <v>-42.150000000000546</v>
      </c>
      <c r="I218" s="20">
        <f t="shared" ca="1" si="35"/>
        <v>0</v>
      </c>
      <c r="J218" s="8">
        <f t="shared" ca="1" si="36"/>
        <v>2</v>
      </c>
      <c r="K218" s="8">
        <f t="shared" ca="1" si="37"/>
        <v>-50.520000000000437</v>
      </c>
      <c r="L218" s="8">
        <f t="shared" ca="1" si="38"/>
        <v>-600.27000000000044</v>
      </c>
      <c r="M218" s="9">
        <f ca="1">AVERAGE(E218:OFFSET(E218,-M$5+1,0))</f>
        <v>5983.7950000000001</v>
      </c>
      <c r="N218" s="9">
        <f ca="1">AVERAGE(E218:OFFSET(E218,-N$5+1,0))</f>
        <v>5865.0630000000001</v>
      </c>
      <c r="O218" s="9">
        <f t="shared" ca="1" si="39"/>
        <v>0</v>
      </c>
      <c r="P218" s="14">
        <f t="shared" si="44"/>
        <v>-0.41865822216888732</v>
      </c>
      <c r="Q218" s="15">
        <f ca="1">STDEV(P218:OFFSET(P218,-$Q$5+1,0))</f>
        <v>0.95906060445887809</v>
      </c>
      <c r="R218" s="15">
        <f ca="1">STDEV(P218:OFFSET(P218,-$R$5+1,0))</f>
        <v>1.0181405521754665</v>
      </c>
      <c r="S218" s="18">
        <f t="shared" si="31"/>
        <v>68.180000000000291</v>
      </c>
      <c r="T218" s="18">
        <f t="shared" si="32"/>
        <v>68.180000000000291</v>
      </c>
      <c r="U218" s="18">
        <f t="shared" si="40"/>
        <v>71.58508112010324</v>
      </c>
      <c r="V218" s="33">
        <f ca="1">AVERAGE(E218:OFFSET(E218,-V$5+1,0))</f>
        <v>5937.7885714285712</v>
      </c>
      <c r="W218" s="33">
        <f t="shared" ca="1" si="33"/>
        <v>6045.1661931087265</v>
      </c>
      <c r="X218" s="33">
        <f t="shared" ca="1" si="34"/>
        <v>5830.410949748416</v>
      </c>
      <c r="Y218" s="32">
        <f t="shared" ca="1" si="41"/>
        <v>0</v>
      </c>
    </row>
    <row r="219" spans="1:50">
      <c r="A219" s="5">
        <v>38674</v>
      </c>
      <c r="B219" s="4">
        <v>6084.07</v>
      </c>
      <c r="C219" s="4">
        <v>6121.6</v>
      </c>
      <c r="D219" s="4">
        <v>6077.98</v>
      </c>
      <c r="E219" s="4">
        <v>6106.74</v>
      </c>
      <c r="F219" s="4">
        <v>3979000</v>
      </c>
      <c r="G219" s="8">
        <f t="shared" si="43"/>
        <v>63.130000000000109</v>
      </c>
      <c r="H219" s="8">
        <f t="shared" si="42"/>
        <v>22.670000000000073</v>
      </c>
      <c r="I219" s="20">
        <f t="shared" ca="1" si="35"/>
        <v>1</v>
      </c>
      <c r="J219" s="8">
        <f t="shared" ca="1" si="36"/>
        <v>2</v>
      </c>
      <c r="K219" s="8">
        <f t="shared" ca="1" si="37"/>
        <v>171.60000000000036</v>
      </c>
      <c r="L219" s="8">
        <f t="shared" ca="1" si="38"/>
        <v>-428.67000000000007</v>
      </c>
      <c r="M219" s="9">
        <f ca="1">AVERAGE(E219:OFFSET(E219,-M$5+1,0))</f>
        <v>6003.2950000000001</v>
      </c>
      <c r="N219" s="9">
        <f ca="1">AVERAGE(E219:OFFSET(E219,-N$5+1,0))</f>
        <v>5883.4619999999995</v>
      </c>
      <c r="O219" s="9">
        <f t="shared" ca="1" si="39"/>
        <v>0</v>
      </c>
      <c r="P219" s="14">
        <f t="shared" si="44"/>
        <v>1.4149685928808753</v>
      </c>
      <c r="Q219" s="15">
        <f ca="1">STDEV(P219:OFFSET(P219,-$Q$5+1,0))</f>
        <v>1.0080840620638354</v>
      </c>
      <c r="R219" s="15">
        <f ca="1">STDEV(P219:OFFSET(P219,-$R$5+1,0))</f>
        <v>1.0103942015891239</v>
      </c>
      <c r="S219" s="18">
        <f t="shared" si="31"/>
        <v>43.6200000000008</v>
      </c>
      <c r="T219" s="18">
        <f t="shared" si="32"/>
        <v>100.66000000000076</v>
      </c>
      <c r="U219" s="18">
        <f t="shared" si="40"/>
        <v>75.461736970756249</v>
      </c>
      <c r="V219" s="33">
        <f ca="1">AVERAGE(E219:OFFSET(E219,-V$5+1,0))</f>
        <v>5962.2485714285722</v>
      </c>
      <c r="W219" s="33">
        <f t="shared" ca="1" si="33"/>
        <v>6075.4411768847067</v>
      </c>
      <c r="X219" s="33">
        <f t="shared" ca="1" si="34"/>
        <v>5849.0559659724377</v>
      </c>
      <c r="Y219" s="32">
        <f t="shared" ca="1" si="41"/>
        <v>1</v>
      </c>
    </row>
    <row r="220" spans="1:50">
      <c r="A220" s="5">
        <v>38677</v>
      </c>
      <c r="B220" s="4">
        <v>6130.8</v>
      </c>
      <c r="C220" s="4">
        <v>6138.4</v>
      </c>
      <c r="D220" s="4">
        <v>6093.44</v>
      </c>
      <c r="E220" s="4">
        <v>6103.42</v>
      </c>
      <c r="F220" s="4">
        <v>2959800</v>
      </c>
      <c r="G220" s="8">
        <f t="shared" si="43"/>
        <v>24.0600000000004</v>
      </c>
      <c r="H220" s="8">
        <f t="shared" si="42"/>
        <v>-27.380000000000109</v>
      </c>
      <c r="I220" s="20">
        <f t="shared" ca="1" si="35"/>
        <v>0</v>
      </c>
      <c r="J220" s="8">
        <f t="shared" ca="1" si="36"/>
        <v>3</v>
      </c>
      <c r="K220" s="8">
        <f t="shared" ca="1" si="37"/>
        <v>-34.019999999999527</v>
      </c>
      <c r="L220" s="8">
        <f t="shared" ca="1" si="38"/>
        <v>-462.6899999999996</v>
      </c>
      <c r="M220" s="9">
        <f ca="1">AVERAGE(E220:OFFSET(E220,-M$5+1,0))</f>
        <v>6027.598</v>
      </c>
      <c r="N220" s="9">
        <f ca="1">AVERAGE(E220:OFFSET(E220,-N$5+1,0))</f>
        <v>5902.7689999999993</v>
      </c>
      <c r="O220" s="9">
        <f t="shared" ca="1" si="39"/>
        <v>0</v>
      </c>
      <c r="P220" s="14">
        <f t="shared" si="44"/>
        <v>-5.4380943113242874E-2</v>
      </c>
      <c r="Q220" s="15">
        <f ca="1">STDEV(P220:OFFSET(P220,-$Q$5+1,0))</f>
        <v>0.93035877733955696</v>
      </c>
      <c r="R220" s="15">
        <f ca="1">STDEV(P220:OFFSET(P220,-$R$5+1,0))</f>
        <v>1.0014349604435049</v>
      </c>
      <c r="S220" s="18">
        <f t="shared" si="31"/>
        <v>44.960000000000036</v>
      </c>
      <c r="T220" s="18">
        <f t="shared" si="32"/>
        <v>44.960000000000036</v>
      </c>
      <c r="U220" s="18">
        <f t="shared" si="40"/>
        <v>71.394838707988754</v>
      </c>
      <c r="V220" s="33">
        <f ca="1">AVERAGE(E220:OFFSET(E220,-V$5+1,0))</f>
        <v>5984.0350000000017</v>
      </c>
      <c r="W220" s="33">
        <f t="shared" ca="1" si="33"/>
        <v>6091.1272580619852</v>
      </c>
      <c r="X220" s="33">
        <f t="shared" ca="1" si="34"/>
        <v>5876.9427419380181</v>
      </c>
      <c r="Y220" s="32">
        <f t="shared" ca="1" si="41"/>
        <v>0</v>
      </c>
    </row>
    <row r="221" spans="1:50">
      <c r="A221" s="5">
        <v>38678</v>
      </c>
      <c r="B221" s="4">
        <v>6091.77</v>
      </c>
      <c r="C221" s="4">
        <v>6094.68</v>
      </c>
      <c r="D221" s="4">
        <v>6050.24</v>
      </c>
      <c r="E221" s="4">
        <v>6059.19</v>
      </c>
      <c r="F221" s="4">
        <v>2584800</v>
      </c>
      <c r="G221" s="8">
        <f t="shared" si="43"/>
        <v>-11.649999999999636</v>
      </c>
      <c r="H221" s="8">
        <f t="shared" si="42"/>
        <v>-32.580000000000837</v>
      </c>
      <c r="I221" s="20">
        <f t="shared" ca="1" si="35"/>
        <v>0</v>
      </c>
      <c r="J221" s="8">
        <f t="shared" ca="1" si="36"/>
        <v>3</v>
      </c>
      <c r="K221" s="8">
        <f t="shared" ca="1" si="37"/>
        <v>-132.69000000000142</v>
      </c>
      <c r="L221" s="8">
        <f t="shared" ca="1" si="38"/>
        <v>-595.38000000000102</v>
      </c>
      <c r="M221" s="9">
        <f ca="1">AVERAGE(E221:OFFSET(E221,-M$5+1,0))</f>
        <v>6048.5540000000001</v>
      </c>
      <c r="N221" s="9">
        <f ca="1">AVERAGE(E221:OFFSET(E221,-N$5+1,0))</f>
        <v>5919.6629999999996</v>
      </c>
      <c r="O221" s="9">
        <f t="shared" ca="1" si="39"/>
        <v>0</v>
      </c>
      <c r="P221" s="14">
        <f t="shared" si="44"/>
        <v>-0.72731420271196678</v>
      </c>
      <c r="Q221" s="15">
        <f ca="1">STDEV(P221:OFFSET(P221,-$Q$5+1,0))</f>
        <v>0.9830502919884907</v>
      </c>
      <c r="R221" s="15">
        <f ca="1">STDEV(P221:OFFSET(P221,-$R$5+1,0))</f>
        <v>1.0094141689103284</v>
      </c>
      <c r="S221" s="18">
        <f t="shared" si="31"/>
        <v>44.440000000000509</v>
      </c>
      <c r="T221" s="18">
        <f t="shared" si="32"/>
        <v>53.180000000000291</v>
      </c>
      <c r="U221" s="18">
        <f t="shared" si="40"/>
        <v>68.96619354692362</v>
      </c>
      <c r="V221" s="33">
        <f ca="1">AVERAGE(E221:OFFSET(E221,-V$5+1,0))</f>
        <v>5997.522142857144</v>
      </c>
      <c r="W221" s="33">
        <f t="shared" ca="1" si="33"/>
        <v>6100.9714331775294</v>
      </c>
      <c r="X221" s="33">
        <f t="shared" ca="1" si="34"/>
        <v>5894.0728525367585</v>
      </c>
      <c r="Y221" s="32">
        <f t="shared" ca="1" si="41"/>
        <v>0</v>
      </c>
    </row>
    <row r="222" spans="1:50">
      <c r="A222" s="5">
        <v>38679</v>
      </c>
      <c r="B222" s="4">
        <v>6095.18</v>
      </c>
      <c r="C222" s="4">
        <v>6123.52</v>
      </c>
      <c r="D222" s="4">
        <v>6074.33</v>
      </c>
      <c r="E222" s="4">
        <v>6123.52</v>
      </c>
      <c r="F222" s="4">
        <v>2941000</v>
      </c>
      <c r="G222" s="8">
        <f t="shared" si="43"/>
        <v>35.990000000000691</v>
      </c>
      <c r="H222" s="8">
        <f t="shared" si="42"/>
        <v>28.340000000000146</v>
      </c>
      <c r="I222" s="20">
        <f t="shared" ca="1" si="35"/>
        <v>1</v>
      </c>
      <c r="J222" s="8">
        <f t="shared" ca="1" si="36"/>
        <v>3</v>
      </c>
      <c r="K222" s="8">
        <f t="shared" ca="1" si="37"/>
        <v>192.99000000000251</v>
      </c>
      <c r="L222" s="8">
        <f t="shared" ca="1" si="38"/>
        <v>-402.38999999999851</v>
      </c>
      <c r="M222" s="9">
        <f ca="1">AVERAGE(E222:OFFSET(E222,-M$5+1,0))</f>
        <v>6063.8</v>
      </c>
      <c r="N222" s="9">
        <f ca="1">AVERAGE(E222:OFFSET(E222,-N$5+1,0))</f>
        <v>5940.8029999999999</v>
      </c>
      <c r="O222" s="9">
        <f t="shared" ca="1" si="39"/>
        <v>0</v>
      </c>
      <c r="P222" s="14">
        <f t="shared" si="44"/>
        <v>1.0560966798713851</v>
      </c>
      <c r="Q222" s="15">
        <f ca="1">STDEV(P222:OFFSET(P222,-$Q$5+1,0))</f>
        <v>0.82963379152009042</v>
      </c>
      <c r="R222" s="15">
        <f ca="1">STDEV(P222:OFFSET(P222,-$R$5+1,0))</f>
        <v>1.0214066851811832</v>
      </c>
      <c r="S222" s="18">
        <f t="shared" si="31"/>
        <v>49.190000000000509</v>
      </c>
      <c r="T222" s="18">
        <f t="shared" si="32"/>
        <v>64.330000000000837</v>
      </c>
      <c r="U222" s="18">
        <f t="shared" si="40"/>
        <v>68.348034407333913</v>
      </c>
      <c r="V222" s="33">
        <f ca="1">AVERAGE(E222:OFFSET(E222,-V$5+1,0))</f>
        <v>6016.4871428571432</v>
      </c>
      <c r="W222" s="33">
        <f t="shared" ca="1" si="33"/>
        <v>6119.0091944681444</v>
      </c>
      <c r="X222" s="33">
        <f t="shared" ca="1" si="34"/>
        <v>5913.965091246142</v>
      </c>
      <c r="Y222" s="32">
        <f t="shared" ca="1" si="41"/>
        <v>1</v>
      </c>
    </row>
    <row r="223" spans="1:50">
      <c r="A223" s="5">
        <v>38680</v>
      </c>
      <c r="B223" s="4">
        <v>6122.97</v>
      </c>
      <c r="C223" s="4">
        <v>6143.87</v>
      </c>
      <c r="D223" s="4">
        <v>6104.11</v>
      </c>
      <c r="E223" s="4">
        <v>6111.89</v>
      </c>
      <c r="F223" s="4">
        <v>3196200</v>
      </c>
      <c r="G223" s="8">
        <f t="shared" si="43"/>
        <v>-0.5500000000001819</v>
      </c>
      <c r="H223" s="8">
        <f t="shared" si="42"/>
        <v>-11.079999999999927</v>
      </c>
      <c r="I223" s="20">
        <f t="shared" ca="1" si="35"/>
        <v>0</v>
      </c>
      <c r="J223" s="8">
        <f t="shared" ca="1" si="36"/>
        <v>3</v>
      </c>
      <c r="K223" s="8">
        <f t="shared" ca="1" si="37"/>
        <v>-34.890000000000327</v>
      </c>
      <c r="L223" s="8">
        <f t="shared" ca="1" si="38"/>
        <v>-437.27999999999884</v>
      </c>
      <c r="M223" s="9">
        <f ca="1">AVERAGE(E223:OFFSET(E223,-M$5+1,0))</f>
        <v>6076.152</v>
      </c>
      <c r="N223" s="9">
        <f ca="1">AVERAGE(E223:OFFSET(E223,-N$5+1,0))</f>
        <v>5963.3384999999998</v>
      </c>
      <c r="O223" s="9">
        <f t="shared" ca="1" si="39"/>
        <v>0</v>
      </c>
      <c r="P223" s="14">
        <f t="shared" si="44"/>
        <v>-0.19010402597908865</v>
      </c>
      <c r="Q223" s="15">
        <f ca="1">STDEV(P223:OFFSET(P223,-$Q$5+1,0))</f>
        <v>0.84101806740160467</v>
      </c>
      <c r="R223" s="15">
        <f ca="1">STDEV(P223:OFFSET(P223,-$R$5+1,0))</f>
        <v>1.0211201505499243</v>
      </c>
      <c r="S223" s="18">
        <f t="shared" si="31"/>
        <v>39.760000000000218</v>
      </c>
      <c r="T223" s="18">
        <f t="shared" si="32"/>
        <v>39.760000000000218</v>
      </c>
      <c r="U223" s="18">
        <f t="shared" si="40"/>
        <v>64.536296486356093</v>
      </c>
      <c r="V223" s="33">
        <f ca="1">AVERAGE(E223:OFFSET(E223,-V$5+1,0))</f>
        <v>6030.7835714285711</v>
      </c>
      <c r="W223" s="33">
        <f t="shared" ca="1" si="33"/>
        <v>6127.5880161581053</v>
      </c>
      <c r="X223" s="33">
        <f t="shared" ca="1" si="34"/>
        <v>5933.9791266990369</v>
      </c>
      <c r="Y223" s="32">
        <f t="shared" ca="1" si="41"/>
        <v>0</v>
      </c>
    </row>
    <row r="224" spans="1:50">
      <c r="A224" s="5">
        <v>38681</v>
      </c>
      <c r="B224" s="4">
        <v>6133.7</v>
      </c>
      <c r="C224" s="4">
        <v>6145.01</v>
      </c>
      <c r="D224" s="4">
        <v>6122.17</v>
      </c>
      <c r="E224" s="4">
        <v>6128.2</v>
      </c>
      <c r="F224" s="4">
        <v>3074400</v>
      </c>
      <c r="G224" s="8">
        <f t="shared" si="43"/>
        <v>21.809999999999491</v>
      </c>
      <c r="H224" s="8">
        <f t="shared" si="42"/>
        <v>-5.5</v>
      </c>
      <c r="I224" s="20">
        <f t="shared" ca="1" si="35"/>
        <v>0</v>
      </c>
      <c r="J224" s="8">
        <f t="shared" ca="1" si="36"/>
        <v>3</v>
      </c>
      <c r="K224" s="8">
        <f t="shared" ca="1" si="37"/>
        <v>48.929999999998472</v>
      </c>
      <c r="L224" s="8">
        <f t="shared" ca="1" si="38"/>
        <v>-388.35000000000036</v>
      </c>
      <c r="M224" s="9">
        <f ca="1">AVERAGE(E224:OFFSET(E224,-M$5+1,0))</f>
        <v>6081.445999999999</v>
      </c>
      <c r="N224" s="9">
        <f ca="1">AVERAGE(E224:OFFSET(E224,-N$5+1,0))</f>
        <v>5988.1</v>
      </c>
      <c r="O224" s="9">
        <f t="shared" ca="1" si="39"/>
        <v>0</v>
      </c>
      <c r="P224" s="14">
        <f t="shared" si="44"/>
        <v>0.26650146613647291</v>
      </c>
      <c r="Q224" s="15">
        <f ca="1">STDEV(P224:OFFSET(P224,-$Q$5+1,0))</f>
        <v>0.72289540561331178</v>
      </c>
      <c r="R224" s="15">
        <f ca="1">STDEV(P224:OFFSET(P224,-$R$5+1,0))</f>
        <v>1.0016927551170778</v>
      </c>
      <c r="S224" s="18">
        <f t="shared" si="31"/>
        <v>22.840000000000146</v>
      </c>
      <c r="T224" s="18">
        <f t="shared" si="32"/>
        <v>33.119999999999891</v>
      </c>
      <c r="U224" s="18">
        <f t="shared" si="40"/>
        <v>60.347456954841931</v>
      </c>
      <c r="V224" s="33">
        <f ca="1">AVERAGE(E224:OFFSET(E224,-V$5+1,0))</f>
        <v>6049.9128571428573</v>
      </c>
      <c r="W224" s="33">
        <f t="shared" ca="1" si="33"/>
        <v>6140.4340425751207</v>
      </c>
      <c r="X224" s="33">
        <f t="shared" ca="1" si="34"/>
        <v>5959.391671710594</v>
      </c>
      <c r="Y224" s="32">
        <f t="shared" ca="1" si="41"/>
        <v>0</v>
      </c>
    </row>
    <row r="225" spans="1:25">
      <c r="A225" s="5">
        <v>38684</v>
      </c>
      <c r="B225" s="4">
        <v>6167.08</v>
      </c>
      <c r="C225" s="4">
        <v>6212.35</v>
      </c>
      <c r="D225" s="4">
        <v>6156.29</v>
      </c>
      <c r="E225" s="4">
        <v>6203.84</v>
      </c>
      <c r="F225" s="4">
        <v>3805400</v>
      </c>
      <c r="G225" s="8">
        <f t="shared" si="43"/>
        <v>38.880000000000109</v>
      </c>
      <c r="H225" s="8">
        <f t="shared" si="42"/>
        <v>36.760000000000218</v>
      </c>
      <c r="I225" s="20">
        <f t="shared" ca="1" si="35"/>
        <v>1</v>
      </c>
      <c r="J225" s="8">
        <f t="shared" ca="1" si="36"/>
        <v>3</v>
      </c>
      <c r="K225" s="8">
        <f t="shared" ca="1" si="37"/>
        <v>226.92000000000098</v>
      </c>
      <c r="L225" s="8">
        <f t="shared" ca="1" si="38"/>
        <v>-161.42999999999938</v>
      </c>
      <c r="M225" s="9">
        <f ca="1">AVERAGE(E225:OFFSET(E225,-M$5+1,0))</f>
        <v>6093.4679999999989</v>
      </c>
      <c r="N225" s="9">
        <f ca="1">AVERAGE(E225:OFFSET(E225,-N$5+1,0))</f>
        <v>6010.0770000000002</v>
      </c>
      <c r="O225" s="9">
        <f t="shared" ca="1" si="39"/>
        <v>0</v>
      </c>
      <c r="P225" s="14">
        <f t="shared" si="44"/>
        <v>1.2267386187275198</v>
      </c>
      <c r="Q225" s="15">
        <f ca="1">STDEV(P225:OFFSET(P225,-$Q$5+1,0))</f>
        <v>0.80839538317836412</v>
      </c>
      <c r="R225" s="15">
        <f ca="1">STDEV(P225:OFFSET(P225,-$R$5+1,0))</f>
        <v>0.98026282193732794</v>
      </c>
      <c r="S225" s="18">
        <f t="shared" si="31"/>
        <v>56.0600000000004</v>
      </c>
      <c r="T225" s="18">
        <f t="shared" si="32"/>
        <v>84.150000000000546</v>
      </c>
      <c r="U225" s="18">
        <f t="shared" si="40"/>
        <v>63.521129360863085</v>
      </c>
      <c r="V225" s="33">
        <f ca="1">AVERAGE(E225:OFFSET(E225,-V$5+1,0))</f>
        <v>6075.2135714285705</v>
      </c>
      <c r="W225" s="33">
        <f t="shared" ca="1" si="33"/>
        <v>6170.4952654698654</v>
      </c>
      <c r="X225" s="33">
        <f t="shared" ca="1" si="34"/>
        <v>5979.9318773872756</v>
      </c>
      <c r="Y225" s="32">
        <f t="shared" ca="1" si="41"/>
        <v>1</v>
      </c>
    </row>
    <row r="226" spans="1:25">
      <c r="A226" s="5">
        <v>38685</v>
      </c>
      <c r="B226" s="4">
        <v>6192.94</v>
      </c>
      <c r="C226" s="4">
        <v>6207.05</v>
      </c>
      <c r="D226" s="4">
        <v>6139.51</v>
      </c>
      <c r="E226" s="4">
        <v>6139.51</v>
      </c>
      <c r="F226" s="4">
        <v>3593000</v>
      </c>
      <c r="G226" s="8">
        <f t="shared" si="43"/>
        <v>-10.900000000000546</v>
      </c>
      <c r="H226" s="8">
        <f t="shared" si="42"/>
        <v>-53.429999999999382</v>
      </c>
      <c r="I226" s="20">
        <f t="shared" ca="1" si="35"/>
        <v>0</v>
      </c>
      <c r="J226" s="8">
        <f t="shared" ca="1" si="36"/>
        <v>3</v>
      </c>
      <c r="K226" s="8">
        <f t="shared" ca="1" si="37"/>
        <v>-192.98999999999978</v>
      </c>
      <c r="L226" s="8">
        <f t="shared" ca="1" si="38"/>
        <v>-354.41999999999916</v>
      </c>
      <c r="M226" s="9">
        <f ca="1">AVERAGE(E226:OFFSET(E226,-M$5+1,0))</f>
        <v>6104.3449999999993</v>
      </c>
      <c r="N226" s="9">
        <f ca="1">AVERAGE(E226:OFFSET(E226,-N$5+1,0))</f>
        <v>6027.1320000000005</v>
      </c>
      <c r="O226" s="9">
        <f t="shared" ca="1" si="39"/>
        <v>0</v>
      </c>
      <c r="P226" s="14">
        <f t="shared" si="44"/>
        <v>-1.0423520754468401</v>
      </c>
      <c r="Q226" s="15">
        <f ca="1">STDEV(P226:OFFSET(P226,-$Q$5+1,0))</f>
        <v>0.83461688267160217</v>
      </c>
      <c r="R226" s="15">
        <f ca="1">STDEV(P226:OFFSET(P226,-$R$5+1,0))</f>
        <v>0.99487006027178104</v>
      </c>
      <c r="S226" s="18">
        <f t="shared" si="31"/>
        <v>67.539999999999964</v>
      </c>
      <c r="T226" s="18">
        <f t="shared" si="32"/>
        <v>67.539999999999964</v>
      </c>
      <c r="U226" s="18">
        <f t="shared" si="40"/>
        <v>64.056978779414678</v>
      </c>
      <c r="V226" s="33">
        <f ca="1">AVERAGE(E226:OFFSET(E226,-V$5+1,0))</f>
        <v>6087.2457142857138</v>
      </c>
      <c r="W226" s="33">
        <f t="shared" ca="1" si="33"/>
        <v>6183.3311824548355</v>
      </c>
      <c r="X226" s="33">
        <f t="shared" ca="1" si="34"/>
        <v>5991.1602461165921</v>
      </c>
      <c r="Y226" s="32">
        <f t="shared" ca="1" si="41"/>
        <v>0</v>
      </c>
    </row>
    <row r="227" spans="1:25">
      <c r="A227" s="5">
        <v>38686</v>
      </c>
      <c r="B227" s="4">
        <v>6172.96</v>
      </c>
      <c r="C227" s="4">
        <v>6206.45</v>
      </c>
      <c r="D227" s="4">
        <v>6171.38</v>
      </c>
      <c r="E227" s="4">
        <v>6203.47</v>
      </c>
      <c r="F227" s="4">
        <v>3752200</v>
      </c>
      <c r="G227" s="8">
        <f t="shared" si="43"/>
        <v>33.449999999999818</v>
      </c>
      <c r="H227" s="8">
        <f t="shared" si="42"/>
        <v>30.510000000000218</v>
      </c>
      <c r="I227" s="20">
        <f t="shared" ca="1" si="35"/>
        <v>1</v>
      </c>
      <c r="J227" s="8">
        <f t="shared" ca="1" si="36"/>
        <v>3</v>
      </c>
      <c r="K227" s="8">
        <f t="shared" ca="1" si="37"/>
        <v>191.88000000000011</v>
      </c>
      <c r="L227" s="8">
        <f t="shared" ca="1" si="38"/>
        <v>-162.53999999999905</v>
      </c>
      <c r="M227" s="9">
        <f ca="1">AVERAGE(E227:OFFSET(E227,-M$5+1,0))</f>
        <v>6120.0719999999992</v>
      </c>
      <c r="N227" s="9">
        <f ca="1">AVERAGE(E227:OFFSET(E227,-N$5+1,0))</f>
        <v>6043.7870000000003</v>
      </c>
      <c r="O227" s="9">
        <f t="shared" ca="1" si="39"/>
        <v>0</v>
      </c>
      <c r="P227" s="14">
        <f t="shared" si="44"/>
        <v>1.0363878495169825</v>
      </c>
      <c r="Q227" s="15">
        <f ca="1">STDEV(P227:OFFSET(P227,-$Q$5+1,0))</f>
        <v>0.87799894995521333</v>
      </c>
      <c r="R227" s="15">
        <f ca="1">STDEV(P227:OFFSET(P227,-$R$5+1,0))</f>
        <v>1.0072028857884796</v>
      </c>
      <c r="S227" s="18">
        <f t="shared" si="31"/>
        <v>35.069999999999709</v>
      </c>
      <c r="T227" s="18">
        <f t="shared" si="32"/>
        <v>66.9399999999996</v>
      </c>
      <c r="U227" s="18">
        <f t="shared" si="40"/>
        <v>64.441381608826006</v>
      </c>
      <c r="V227" s="33">
        <f ca="1">AVERAGE(E227:OFFSET(E227,-V$5+1,0))</f>
        <v>6102.61</v>
      </c>
      <c r="W227" s="33">
        <f t="shared" ca="1" si="33"/>
        <v>6199.2720724132387</v>
      </c>
      <c r="X227" s="33">
        <f t="shared" ca="1" si="34"/>
        <v>6005.9479275867607</v>
      </c>
      <c r="Y227" s="32">
        <f t="shared" ca="1" si="41"/>
        <v>1</v>
      </c>
    </row>
    <row r="228" spans="1:25">
      <c r="A228" s="5">
        <v>38687</v>
      </c>
      <c r="B228" s="4">
        <v>6196.36</v>
      </c>
      <c r="C228" s="4">
        <v>6202.91</v>
      </c>
      <c r="D228" s="4">
        <v>6162.86</v>
      </c>
      <c r="E228" s="4">
        <v>6179.82</v>
      </c>
      <c r="F228" s="4">
        <v>3207600</v>
      </c>
      <c r="G228" s="8">
        <f t="shared" si="43"/>
        <v>-7.1100000000005821</v>
      </c>
      <c r="H228" s="8">
        <f t="shared" si="42"/>
        <v>-16.539999999999964</v>
      </c>
      <c r="I228" s="20">
        <f t="shared" ca="1" si="35"/>
        <v>0</v>
      </c>
      <c r="J228" s="8">
        <f t="shared" ca="1" si="36"/>
        <v>3</v>
      </c>
      <c r="K228" s="8">
        <f t="shared" ca="1" si="37"/>
        <v>-70.950000000001637</v>
      </c>
      <c r="L228" s="8">
        <f t="shared" ca="1" si="38"/>
        <v>-233.49000000000069</v>
      </c>
      <c r="M228" s="9">
        <f ca="1">AVERAGE(E228:OFFSET(E228,-M$5+1,0))</f>
        <v>6135.9600000000009</v>
      </c>
      <c r="N228" s="9">
        <f ca="1">AVERAGE(E228:OFFSET(E228,-N$5+1,0))</f>
        <v>6059.8774999999996</v>
      </c>
      <c r="O228" s="9">
        <f t="shared" ca="1" si="39"/>
        <v>0</v>
      </c>
      <c r="P228" s="14">
        <f t="shared" si="44"/>
        <v>-0.38196680775761888</v>
      </c>
      <c r="Q228" s="15">
        <f ca="1">STDEV(P228:OFFSET(P228,-$Q$5+1,0))</f>
        <v>0.87493395668700613</v>
      </c>
      <c r="R228" s="15">
        <f ca="1">STDEV(P228:OFFSET(P228,-$R$5+1,0))</f>
        <v>1.0090333859596832</v>
      </c>
      <c r="S228" s="18">
        <f t="shared" si="31"/>
        <v>40.050000000000182</v>
      </c>
      <c r="T228" s="18">
        <f t="shared" si="32"/>
        <v>40.610000000000582</v>
      </c>
      <c r="U228" s="18">
        <f t="shared" si="40"/>
        <v>61.26386406098262</v>
      </c>
      <c r="V228" s="33">
        <f ca="1">AVERAGE(E228:OFFSET(E228,-V$5+1,0))</f>
        <v>6110.0785714285694</v>
      </c>
      <c r="W228" s="33">
        <f t="shared" ca="1" si="33"/>
        <v>6201.9743675200434</v>
      </c>
      <c r="X228" s="33">
        <f t="shared" ca="1" si="34"/>
        <v>6018.1827753370953</v>
      </c>
      <c r="Y228" s="32">
        <f t="shared" ca="1" si="41"/>
        <v>0</v>
      </c>
    </row>
    <row r="229" spans="1:25">
      <c r="A229" s="5">
        <v>38688</v>
      </c>
      <c r="B229" s="4">
        <v>6254.35</v>
      </c>
      <c r="C229" s="4">
        <v>6258.34</v>
      </c>
      <c r="D229" s="4">
        <v>6209.77</v>
      </c>
      <c r="E229" s="4">
        <v>6228.95</v>
      </c>
      <c r="F229" s="4">
        <v>4178400</v>
      </c>
      <c r="G229" s="8">
        <f t="shared" si="43"/>
        <v>74.530000000000655</v>
      </c>
      <c r="H229" s="8">
        <f t="shared" si="42"/>
        <v>-25.400000000000546</v>
      </c>
      <c r="I229" s="20">
        <f t="shared" ca="1" si="35"/>
        <v>1</v>
      </c>
      <c r="J229" s="8">
        <f t="shared" ca="1" si="36"/>
        <v>3</v>
      </c>
      <c r="K229" s="8">
        <f t="shared" ca="1" si="37"/>
        <v>147.39000000000033</v>
      </c>
      <c r="L229" s="8">
        <f t="shared" ca="1" si="38"/>
        <v>-86.100000000000364</v>
      </c>
      <c r="M229" s="9">
        <f ca="1">AVERAGE(E229:OFFSET(E229,-M$5+1,0))</f>
        <v>6148.1809999999996</v>
      </c>
      <c r="N229" s="9">
        <f ca="1">AVERAGE(E229:OFFSET(E229,-N$5+1,0))</f>
        <v>6075.7379999999994</v>
      </c>
      <c r="O229" s="9">
        <f t="shared" ca="1" si="39"/>
        <v>0</v>
      </c>
      <c r="P229" s="14">
        <f t="shared" si="44"/>
        <v>0.79186344373400486</v>
      </c>
      <c r="Q229" s="15">
        <f ca="1">STDEV(P229:OFFSET(P229,-$Q$5+1,0))</f>
        <v>0.80279063873709589</v>
      </c>
      <c r="R229" s="15">
        <f ca="1">STDEV(P229:OFFSET(P229,-$R$5+1,0))</f>
        <v>1.0104642230686949</v>
      </c>
      <c r="S229" s="18">
        <f t="shared" si="31"/>
        <v>48.569999999999709</v>
      </c>
      <c r="T229" s="18">
        <f t="shared" si="32"/>
        <v>78.520000000000437</v>
      </c>
      <c r="U229" s="18">
        <f t="shared" si="40"/>
        <v>63.564682186184996</v>
      </c>
      <c r="V229" s="33">
        <f ca="1">AVERAGE(E229:OFFSET(E229,-V$5+1,0))</f>
        <v>6120.4592857142843</v>
      </c>
      <c r="W229" s="33">
        <f t="shared" ca="1" si="33"/>
        <v>6215.8063089935622</v>
      </c>
      <c r="X229" s="33">
        <f t="shared" ca="1" si="34"/>
        <v>6025.1122624350064</v>
      </c>
      <c r="Y229" s="32">
        <f t="shared" ca="1" si="41"/>
        <v>1</v>
      </c>
    </row>
    <row r="230" spans="1:25">
      <c r="A230" s="5">
        <v>38691</v>
      </c>
      <c r="B230" s="4">
        <v>6280.81</v>
      </c>
      <c r="C230" s="4">
        <v>6348.31</v>
      </c>
      <c r="D230" s="4">
        <v>6244.49</v>
      </c>
      <c r="E230" s="4">
        <v>6348.31</v>
      </c>
      <c r="F230" s="4">
        <v>4458800</v>
      </c>
      <c r="G230" s="8">
        <f t="shared" si="43"/>
        <v>51.860000000000582</v>
      </c>
      <c r="H230" s="8">
        <f t="shared" si="42"/>
        <v>67.5</v>
      </c>
      <c r="I230" s="20">
        <f t="shared" ca="1" si="35"/>
        <v>0</v>
      </c>
      <c r="J230" s="8">
        <f t="shared" ca="1" si="36"/>
        <v>3</v>
      </c>
      <c r="K230" s="8">
        <f t="shared" ca="1" si="37"/>
        <v>358.08000000000175</v>
      </c>
      <c r="L230" s="8">
        <f t="shared" ca="1" si="38"/>
        <v>271.98000000000138</v>
      </c>
      <c r="M230" s="9">
        <f ca="1">AVERAGE(E230:OFFSET(E230,-M$5+1,0))</f>
        <v>6172.67</v>
      </c>
      <c r="N230" s="9">
        <f ca="1">AVERAGE(E230:OFFSET(E230,-N$5+1,0))</f>
        <v>6100.1339999999991</v>
      </c>
      <c r="O230" s="9">
        <f t="shared" ca="1" si="39"/>
        <v>0</v>
      </c>
      <c r="P230" s="14">
        <f t="shared" si="44"/>
        <v>1.8980856481150266</v>
      </c>
      <c r="Q230" s="15">
        <f ca="1">STDEV(P230:OFFSET(P230,-$Q$5+1,0))</f>
        <v>0.95714063473500643</v>
      </c>
      <c r="R230" s="15">
        <f ca="1">STDEV(P230:OFFSET(P230,-$R$5+1,0))</f>
        <v>1.0503671073790153</v>
      </c>
      <c r="S230" s="18">
        <f t="shared" si="31"/>
        <v>103.82000000000062</v>
      </c>
      <c r="T230" s="18">
        <f t="shared" si="32"/>
        <v>119.36000000000058</v>
      </c>
      <c r="U230" s="18">
        <f t="shared" si="40"/>
        <v>71.004057894693744</v>
      </c>
      <c r="V230" s="33">
        <f ca="1">AVERAGE(E230:OFFSET(E230,-V$5+1,0))</f>
        <v>6143.142857142856</v>
      </c>
      <c r="W230" s="33">
        <f t="shared" ca="1" si="33"/>
        <v>6249.6489439848965</v>
      </c>
      <c r="X230" s="33">
        <f t="shared" ca="1" si="34"/>
        <v>6036.6367703008154</v>
      </c>
      <c r="Y230" s="32">
        <f t="shared" ca="1" si="41"/>
        <v>0</v>
      </c>
    </row>
    <row r="231" spans="1:25">
      <c r="A231" s="5">
        <v>38692</v>
      </c>
      <c r="B231" s="4">
        <v>6319.13</v>
      </c>
      <c r="C231" s="4">
        <v>6364.17</v>
      </c>
      <c r="D231" s="4">
        <v>6318.95</v>
      </c>
      <c r="E231" s="4">
        <v>6350.52</v>
      </c>
      <c r="F231" s="4">
        <v>4540200</v>
      </c>
      <c r="G231" s="8">
        <f t="shared" si="43"/>
        <v>-29.180000000000291</v>
      </c>
      <c r="H231" s="8">
        <f t="shared" si="42"/>
        <v>31.390000000000327</v>
      </c>
      <c r="I231" s="20">
        <f t="shared" ca="1" si="35"/>
        <v>0</v>
      </c>
      <c r="J231" s="8">
        <f t="shared" ca="1" si="36"/>
        <v>3</v>
      </c>
      <c r="K231" s="8">
        <f t="shared" ca="1" si="37"/>
        <v>6.6300000000001091</v>
      </c>
      <c r="L231" s="8">
        <f t="shared" ca="1" si="38"/>
        <v>278.61000000000149</v>
      </c>
      <c r="M231" s="9">
        <f ca="1">AVERAGE(E231:OFFSET(E231,-M$5+1,0))</f>
        <v>6201.8029999999999</v>
      </c>
      <c r="N231" s="9">
        <f ca="1">AVERAGE(E231:OFFSET(E231,-N$5+1,0))</f>
        <v>6125.1784999999991</v>
      </c>
      <c r="O231" s="9">
        <f t="shared" ca="1" si="39"/>
        <v>0</v>
      </c>
      <c r="P231" s="14">
        <f t="shared" si="44"/>
        <v>3.4806356527525791E-2</v>
      </c>
      <c r="Q231" s="15">
        <f ca="1">STDEV(P231:OFFSET(P231,-$Q$5+1,0))</f>
        <v>0.8856623208284562</v>
      </c>
      <c r="R231" s="15">
        <f ca="1">STDEV(P231:OFFSET(P231,-$R$5+1,0))</f>
        <v>1.0488383810020276</v>
      </c>
      <c r="S231" s="18">
        <f t="shared" si="31"/>
        <v>45.220000000000255</v>
      </c>
      <c r="T231" s="18">
        <f t="shared" si="32"/>
        <v>45.220000000000255</v>
      </c>
      <c r="U231" s="18">
        <f t="shared" si="40"/>
        <v>67.566183508734611</v>
      </c>
      <c r="V231" s="33">
        <f ca="1">AVERAGE(E231:OFFSET(E231,-V$5+1,0))</f>
        <v>6164.8799999999992</v>
      </c>
      <c r="W231" s="33">
        <f t="shared" ca="1" si="33"/>
        <v>6266.229275263101</v>
      </c>
      <c r="X231" s="33">
        <f t="shared" ca="1" si="34"/>
        <v>6063.5307247368974</v>
      </c>
      <c r="Y231" s="32">
        <f t="shared" ca="1" si="41"/>
        <v>0</v>
      </c>
    </row>
    <row r="232" spans="1:25">
      <c r="A232" s="5">
        <v>38693</v>
      </c>
      <c r="B232" s="4">
        <v>6362.51</v>
      </c>
      <c r="C232" s="4">
        <v>6370.82</v>
      </c>
      <c r="D232" s="4">
        <v>6290.6</v>
      </c>
      <c r="E232" s="4">
        <v>6329.52</v>
      </c>
      <c r="F232" s="4">
        <v>4084600</v>
      </c>
      <c r="G232" s="8">
        <f t="shared" si="43"/>
        <v>11.989999999999782</v>
      </c>
      <c r="H232" s="8">
        <f t="shared" si="42"/>
        <v>-32.989999999999782</v>
      </c>
      <c r="I232" s="20">
        <f t="shared" ca="1" si="35"/>
        <v>0</v>
      </c>
      <c r="J232" s="8">
        <f t="shared" ca="1" si="36"/>
        <v>3</v>
      </c>
      <c r="K232" s="8">
        <f t="shared" ca="1" si="37"/>
        <v>-63</v>
      </c>
      <c r="L232" s="8">
        <f t="shared" ca="1" si="38"/>
        <v>215.61000000000149</v>
      </c>
      <c r="M232" s="9">
        <f ca="1">AVERAGE(E232:OFFSET(E232,-M$5+1,0))</f>
        <v>6222.4030000000002</v>
      </c>
      <c r="N232" s="9">
        <f ca="1">AVERAGE(E232:OFFSET(E232,-N$5+1,0))</f>
        <v>6143.1014999999989</v>
      </c>
      <c r="O232" s="9">
        <f t="shared" ca="1" si="39"/>
        <v>0</v>
      </c>
      <c r="P232" s="14">
        <f t="shared" si="44"/>
        <v>-0.33122954185906262</v>
      </c>
      <c r="Q232" s="15">
        <f ca="1">STDEV(P232:OFFSET(P232,-$Q$5+1,0))</f>
        <v>0.89221807075125747</v>
      </c>
      <c r="R232" s="15">
        <f ca="1">STDEV(P232:OFFSET(P232,-$R$5+1,0))</f>
        <v>1.0257804995449356</v>
      </c>
      <c r="S232" s="18">
        <f t="shared" si="31"/>
        <v>80.219999999999345</v>
      </c>
      <c r="T232" s="18">
        <f t="shared" si="32"/>
        <v>80.219999999999345</v>
      </c>
      <c r="U232" s="18">
        <f t="shared" si="40"/>
        <v>69.253359040903234</v>
      </c>
      <c r="V232" s="33">
        <f ca="1">AVERAGE(E232:OFFSET(E232,-V$5+1,0))</f>
        <v>6186.9214285714288</v>
      </c>
      <c r="W232" s="33">
        <f t="shared" ca="1" si="33"/>
        <v>6290.8014671327837</v>
      </c>
      <c r="X232" s="33">
        <f t="shared" ca="1" si="34"/>
        <v>6083.0413900100739</v>
      </c>
      <c r="Y232" s="32">
        <f t="shared" ca="1" si="41"/>
        <v>0</v>
      </c>
    </row>
    <row r="233" spans="1:25">
      <c r="A233" s="5">
        <v>38694</v>
      </c>
      <c r="B233" s="4">
        <v>6302.08</v>
      </c>
      <c r="C233" s="4">
        <v>6316.58</v>
      </c>
      <c r="D233" s="4">
        <v>6223.35</v>
      </c>
      <c r="E233" s="4">
        <v>6249.19</v>
      </c>
      <c r="F233" s="4">
        <v>3718400</v>
      </c>
      <c r="G233" s="8">
        <f t="shared" si="43"/>
        <v>-27.440000000000509</v>
      </c>
      <c r="H233" s="8">
        <f t="shared" si="42"/>
        <v>-52.890000000000327</v>
      </c>
      <c r="I233" s="20">
        <f t="shared" ca="1" si="35"/>
        <v>0</v>
      </c>
      <c r="J233" s="8">
        <f t="shared" ca="1" si="36"/>
        <v>3</v>
      </c>
      <c r="K233" s="8">
        <f t="shared" ca="1" si="37"/>
        <v>-240.99000000000251</v>
      </c>
      <c r="L233" s="8">
        <f t="shared" ca="1" si="38"/>
        <v>-25.380000000001019</v>
      </c>
      <c r="M233" s="9">
        <f ca="1">AVERAGE(E233:OFFSET(E233,-M$5+1,0))</f>
        <v>6236.1329999999998</v>
      </c>
      <c r="N233" s="9">
        <f ca="1">AVERAGE(E233:OFFSET(E233,-N$5+1,0))</f>
        <v>6156.1424999999999</v>
      </c>
      <c r="O233" s="9">
        <f t="shared" ca="1" si="39"/>
        <v>0</v>
      </c>
      <c r="P233" s="14">
        <f t="shared" si="44"/>
        <v>-1.2772548547501186</v>
      </c>
      <c r="Q233" s="15">
        <f ca="1">STDEV(P233:OFFSET(P233,-$Q$5+1,0))</f>
        <v>1.0198554591342965</v>
      </c>
      <c r="R233" s="15">
        <f ca="1">STDEV(P233:OFFSET(P233,-$R$5+1,0))</f>
        <v>1.0460009213239081</v>
      </c>
      <c r="S233" s="18">
        <f t="shared" si="31"/>
        <v>93.229999999999563</v>
      </c>
      <c r="T233" s="18">
        <f t="shared" si="32"/>
        <v>106.17000000000007</v>
      </c>
      <c r="U233" s="18">
        <f t="shared" si="40"/>
        <v>74.175577835449488</v>
      </c>
      <c r="V233" s="33">
        <f ca="1">AVERAGE(E233:OFFSET(E233,-V$5+1,0))</f>
        <v>6197.096428571429</v>
      </c>
      <c r="W233" s="33">
        <f t="shared" ca="1" si="33"/>
        <v>6308.3597953246035</v>
      </c>
      <c r="X233" s="33">
        <f t="shared" ca="1" si="34"/>
        <v>6085.8330618182545</v>
      </c>
      <c r="Y233" s="32">
        <f t="shared" ca="1" si="41"/>
        <v>0</v>
      </c>
    </row>
    <row r="234" spans="1:25">
      <c r="A234" s="5">
        <v>38695</v>
      </c>
      <c r="B234" s="4">
        <v>6269.94</v>
      </c>
      <c r="C234" s="4">
        <v>6274.04</v>
      </c>
      <c r="D234" s="4">
        <v>6233.23</v>
      </c>
      <c r="E234" s="4">
        <v>6264.36</v>
      </c>
      <c r="F234" s="4">
        <v>3259400</v>
      </c>
      <c r="G234" s="8">
        <f t="shared" si="43"/>
        <v>20.75</v>
      </c>
      <c r="H234" s="8">
        <f t="shared" si="42"/>
        <v>-5.5799999999999272</v>
      </c>
      <c r="I234" s="20">
        <f t="shared" ca="1" si="35"/>
        <v>0</v>
      </c>
      <c r="J234" s="8">
        <f t="shared" ca="1" si="36"/>
        <v>3</v>
      </c>
      <c r="K234" s="8">
        <f t="shared" ca="1" si="37"/>
        <v>45.510000000000218</v>
      </c>
      <c r="L234" s="8">
        <f t="shared" ca="1" si="38"/>
        <v>20.1299999999992</v>
      </c>
      <c r="M234" s="9">
        <f ca="1">AVERAGE(E234:OFFSET(E234,-M$5+1,0))</f>
        <v>6249.7490000000007</v>
      </c>
      <c r="N234" s="9">
        <f ca="1">AVERAGE(E234:OFFSET(E234,-N$5+1,0))</f>
        <v>6165.5974999999989</v>
      </c>
      <c r="O234" s="9">
        <f t="shared" ca="1" si="39"/>
        <v>0</v>
      </c>
      <c r="P234" s="14">
        <f t="shared" si="44"/>
        <v>0.24245729519555287</v>
      </c>
      <c r="Q234" s="15">
        <f ca="1">STDEV(P234:OFFSET(P234,-$Q$5+1,0))</f>
        <v>1.019767638261563</v>
      </c>
      <c r="R234" s="15">
        <f ca="1">STDEV(P234:OFFSET(P234,-$R$5+1,0))</f>
        <v>1.0461745066439465</v>
      </c>
      <c r="S234" s="18">
        <f t="shared" si="31"/>
        <v>40.8100000000004</v>
      </c>
      <c r="T234" s="18">
        <f t="shared" si="32"/>
        <v>40.8100000000004</v>
      </c>
      <c r="U234" s="18">
        <f t="shared" si="40"/>
        <v>69.726834124056282</v>
      </c>
      <c r="V234" s="33">
        <f ca="1">AVERAGE(E234:OFFSET(E234,-V$5+1,0))</f>
        <v>6208.5921428571437</v>
      </c>
      <c r="W234" s="33">
        <f t="shared" ca="1" si="33"/>
        <v>6313.1823940432278</v>
      </c>
      <c r="X234" s="33">
        <f t="shared" ca="1" si="34"/>
        <v>6104.0018916710596</v>
      </c>
      <c r="Y234" s="32">
        <f t="shared" ca="1" si="41"/>
        <v>0</v>
      </c>
    </row>
    <row r="235" spans="1:25">
      <c r="A235" s="5">
        <v>38698</v>
      </c>
      <c r="B235" s="4">
        <v>6272.61</v>
      </c>
      <c r="C235" s="4">
        <v>6272.61</v>
      </c>
      <c r="D235" s="4">
        <v>6206.83</v>
      </c>
      <c r="E235" s="4">
        <v>6266.29</v>
      </c>
      <c r="F235" s="4">
        <v>3135200</v>
      </c>
      <c r="G235" s="8">
        <f t="shared" si="43"/>
        <v>8.25</v>
      </c>
      <c r="H235" s="8">
        <f t="shared" si="42"/>
        <v>-6.319999999999709</v>
      </c>
      <c r="I235" s="20">
        <f t="shared" ca="1" si="35"/>
        <v>0</v>
      </c>
      <c r="J235" s="8">
        <f t="shared" ca="1" si="36"/>
        <v>3</v>
      </c>
      <c r="K235" s="8">
        <f t="shared" ca="1" si="37"/>
        <v>5.7900000000008731</v>
      </c>
      <c r="L235" s="8">
        <f t="shared" ca="1" si="38"/>
        <v>25.920000000000073</v>
      </c>
      <c r="M235" s="9">
        <f ca="1">AVERAGE(E235:OFFSET(E235,-M$5+1,0))</f>
        <v>6255.9940000000006</v>
      </c>
      <c r="N235" s="9">
        <f ca="1">AVERAGE(E235:OFFSET(E235,-N$5+1,0))</f>
        <v>6174.7309999999989</v>
      </c>
      <c r="O235" s="9">
        <f t="shared" ca="1" si="39"/>
        <v>0</v>
      </c>
      <c r="P235" s="14">
        <f t="shared" si="44"/>
        <v>3.0804467689414229E-2</v>
      </c>
      <c r="Q235" s="15">
        <f ca="1">STDEV(P235:OFFSET(P235,-$Q$5+1,0))</f>
        <v>0.95673004467436062</v>
      </c>
      <c r="R235" s="15">
        <f ca="1">STDEV(P235:OFFSET(P235,-$R$5+1,0))</f>
        <v>0.96183723528147091</v>
      </c>
      <c r="S235" s="18">
        <f t="shared" si="31"/>
        <v>65.779999999999745</v>
      </c>
      <c r="T235" s="18">
        <f t="shared" si="32"/>
        <v>65.779999999999745</v>
      </c>
      <c r="U235" s="18">
        <f t="shared" si="40"/>
        <v>69.200589574182075</v>
      </c>
      <c r="V235" s="33">
        <f ca="1">AVERAGE(E235:OFFSET(E235,-V$5+1,0))</f>
        <v>6223.3850000000002</v>
      </c>
      <c r="W235" s="33">
        <f t="shared" ca="1" si="33"/>
        <v>6327.1858843612736</v>
      </c>
      <c r="X235" s="33">
        <f t="shared" ca="1" si="34"/>
        <v>6119.5841156387269</v>
      </c>
      <c r="Y235" s="32">
        <f t="shared" ca="1" si="41"/>
        <v>0</v>
      </c>
    </row>
    <row r="236" spans="1:25">
      <c r="A236" s="5">
        <v>38699</v>
      </c>
      <c r="B236" s="4">
        <v>6270.24</v>
      </c>
      <c r="C236" s="4">
        <v>6282.23</v>
      </c>
      <c r="D236" s="4">
        <v>6242.41</v>
      </c>
      <c r="E236" s="4">
        <v>6261.18</v>
      </c>
      <c r="F236" s="4">
        <v>3442400</v>
      </c>
      <c r="G236" s="8">
        <f t="shared" si="43"/>
        <v>3.9499999999998181</v>
      </c>
      <c r="H236" s="8">
        <f t="shared" si="42"/>
        <v>-9.0599999999994907</v>
      </c>
      <c r="I236" s="20">
        <f t="shared" ca="1" si="35"/>
        <v>0</v>
      </c>
      <c r="J236" s="8">
        <f t="shared" ca="1" si="36"/>
        <v>3</v>
      </c>
      <c r="K236" s="8">
        <f t="shared" ca="1" si="37"/>
        <v>-15.329999999999018</v>
      </c>
      <c r="L236" s="8">
        <f t="shared" ca="1" si="38"/>
        <v>10.590000000001055</v>
      </c>
      <c r="M236" s="9">
        <f ca="1">AVERAGE(E236:OFFSET(E236,-M$5+1,0))</f>
        <v>6268.161000000001</v>
      </c>
      <c r="N236" s="9">
        <f ca="1">AVERAGE(E236:OFFSET(E236,-N$5+1,0))</f>
        <v>6186.2529999999997</v>
      </c>
      <c r="O236" s="9">
        <f t="shared" ca="1" si="39"/>
        <v>0</v>
      </c>
      <c r="P236" s="14">
        <f t="shared" si="44"/>
        <v>-8.1580722738258643E-2</v>
      </c>
      <c r="Q236" s="15">
        <f ca="1">STDEV(P236:OFFSET(P236,-$Q$5+1,0))</f>
        <v>0.87390431409625824</v>
      </c>
      <c r="R236" s="15">
        <f ca="1">STDEV(P236:OFFSET(P236,-$R$5+1,0))</f>
        <v>0.96260918940151741</v>
      </c>
      <c r="S236" s="18">
        <f t="shared" si="31"/>
        <v>39.819999999999709</v>
      </c>
      <c r="T236" s="18">
        <f t="shared" si="32"/>
        <v>39.819999999999709</v>
      </c>
      <c r="U236" s="18">
        <f t="shared" si="40"/>
        <v>65.283177630957766</v>
      </c>
      <c r="V236" s="33">
        <f ca="1">AVERAGE(E236:OFFSET(E236,-V$5+1,0))</f>
        <v>6233.2178571428567</v>
      </c>
      <c r="W236" s="33">
        <f t="shared" ca="1" si="33"/>
        <v>6331.1426235892932</v>
      </c>
      <c r="X236" s="33">
        <f t="shared" ca="1" si="34"/>
        <v>6135.2930906964202</v>
      </c>
      <c r="Y236" s="32">
        <f t="shared" ca="1" si="41"/>
        <v>0</v>
      </c>
    </row>
    <row r="237" spans="1:25">
      <c r="A237" s="5">
        <v>38700</v>
      </c>
      <c r="B237" s="4">
        <v>6272.48</v>
      </c>
      <c r="C237" s="4">
        <v>6280.52</v>
      </c>
      <c r="D237" s="4">
        <v>6227.35</v>
      </c>
      <c r="E237" s="4">
        <v>6235.35</v>
      </c>
      <c r="F237" s="4">
        <v>3412600</v>
      </c>
      <c r="G237" s="8">
        <f t="shared" si="43"/>
        <v>11.299999999999272</v>
      </c>
      <c r="H237" s="8">
        <f t="shared" si="42"/>
        <v>-37.1299999999992</v>
      </c>
      <c r="I237" s="20">
        <f t="shared" ca="1" si="35"/>
        <v>0</v>
      </c>
      <c r="J237" s="8">
        <f t="shared" ca="1" si="36"/>
        <v>3</v>
      </c>
      <c r="K237" s="8">
        <f t="shared" ca="1" si="37"/>
        <v>-77.489999999999782</v>
      </c>
      <c r="L237" s="8">
        <f t="shared" ca="1" si="38"/>
        <v>-66.899999999998727</v>
      </c>
      <c r="M237" s="9">
        <f ca="1">AVERAGE(E237:OFFSET(E237,-M$5+1,0))</f>
        <v>6271.3490000000002</v>
      </c>
      <c r="N237" s="9">
        <f ca="1">AVERAGE(E237:OFFSET(E237,-N$5+1,0))</f>
        <v>6195.7104999999992</v>
      </c>
      <c r="O237" s="9">
        <f t="shared" ca="1" si="39"/>
        <v>0</v>
      </c>
      <c r="P237" s="14">
        <f t="shared" si="44"/>
        <v>-0.4133953471130235</v>
      </c>
      <c r="Q237" s="15">
        <f ca="1">STDEV(P237:OFFSET(P237,-$Q$5+1,0))</f>
        <v>0.83858284407374117</v>
      </c>
      <c r="R237" s="15">
        <f ca="1">STDEV(P237:OFFSET(P237,-$R$5+1,0))</f>
        <v>0.87550268772306372</v>
      </c>
      <c r="S237" s="18">
        <f t="shared" si="31"/>
        <v>53.170000000000073</v>
      </c>
      <c r="T237" s="18">
        <f t="shared" si="32"/>
        <v>53.170000000000073</v>
      </c>
      <c r="U237" s="18">
        <f t="shared" si="40"/>
        <v>63.668087280163412</v>
      </c>
      <c r="V237" s="33">
        <f ca="1">AVERAGE(E237:OFFSET(E237,-V$5+1,0))</f>
        <v>6242.0364285714295</v>
      </c>
      <c r="W237" s="33">
        <f t="shared" ca="1" si="33"/>
        <v>6337.5385594916743</v>
      </c>
      <c r="X237" s="33">
        <f t="shared" ca="1" si="34"/>
        <v>6146.5342976511847</v>
      </c>
      <c r="Y237" s="32">
        <f t="shared" ca="1" si="41"/>
        <v>0</v>
      </c>
    </row>
    <row r="238" spans="1:25">
      <c r="A238" s="5">
        <v>38701</v>
      </c>
      <c r="B238" s="4">
        <v>6240.37</v>
      </c>
      <c r="C238" s="4">
        <v>6259.21</v>
      </c>
      <c r="D238" s="4">
        <v>6227.25</v>
      </c>
      <c r="E238" s="4">
        <v>6258.47</v>
      </c>
      <c r="F238" s="4">
        <v>2920800</v>
      </c>
      <c r="G238" s="8">
        <f t="shared" si="43"/>
        <v>5.0199999999995271</v>
      </c>
      <c r="H238" s="8">
        <f t="shared" si="42"/>
        <v>18.100000000000364</v>
      </c>
      <c r="I238" s="20">
        <f t="shared" ca="1" si="35"/>
        <v>0</v>
      </c>
      <c r="J238" s="8">
        <f t="shared" ca="1" si="36"/>
        <v>3</v>
      </c>
      <c r="K238" s="8">
        <f t="shared" ca="1" si="37"/>
        <v>69.359999999999673</v>
      </c>
      <c r="L238" s="8">
        <f t="shared" ca="1" si="38"/>
        <v>2.4600000000009459</v>
      </c>
      <c r="M238" s="9">
        <f ca="1">AVERAGE(E238:OFFSET(E238,-M$5+1,0))</f>
        <v>6279.2139999999999</v>
      </c>
      <c r="N238" s="9">
        <f ca="1">AVERAGE(E238:OFFSET(E238,-N$5+1,0))</f>
        <v>6207.5870000000014</v>
      </c>
      <c r="O238" s="9">
        <f t="shared" ca="1" si="39"/>
        <v>0</v>
      </c>
      <c r="P238" s="14">
        <f t="shared" si="44"/>
        <v>0.37010340137451703</v>
      </c>
      <c r="Q238" s="15">
        <f ca="1">STDEV(P238:OFFSET(P238,-$Q$5+1,0))</f>
        <v>0.82908295246930763</v>
      </c>
      <c r="R238" s="15">
        <f ca="1">STDEV(P238:OFFSET(P238,-$R$5+1,0))</f>
        <v>0.86818527822309743</v>
      </c>
      <c r="S238" s="18">
        <f t="shared" si="31"/>
        <v>31.960000000000036</v>
      </c>
      <c r="T238" s="18">
        <f t="shared" si="32"/>
        <v>31.960000000000036</v>
      </c>
      <c r="U238" s="18">
        <f t="shared" si="40"/>
        <v>59.440342309474964</v>
      </c>
      <c r="V238" s="33">
        <f ca="1">AVERAGE(E238:OFFSET(E238,-V$5+1,0))</f>
        <v>6251.3414285714289</v>
      </c>
      <c r="W238" s="33">
        <f t="shared" ca="1" si="33"/>
        <v>6340.5019420356412</v>
      </c>
      <c r="X238" s="33">
        <f t="shared" ca="1" si="34"/>
        <v>6162.1809151072166</v>
      </c>
      <c r="Y238" s="32">
        <f t="shared" ca="1" si="41"/>
        <v>0</v>
      </c>
    </row>
    <row r="239" spans="1:25">
      <c r="A239" s="5">
        <v>38702</v>
      </c>
      <c r="B239" s="4">
        <v>6293.41</v>
      </c>
      <c r="C239" s="4">
        <v>6375.33</v>
      </c>
      <c r="D239" s="4">
        <v>6293.41</v>
      </c>
      <c r="E239" s="4">
        <v>6350.69</v>
      </c>
      <c r="F239" s="4">
        <v>4467200</v>
      </c>
      <c r="G239" s="8">
        <f t="shared" si="43"/>
        <v>34.9399999999996</v>
      </c>
      <c r="H239" s="8">
        <f t="shared" si="42"/>
        <v>57.279999999999745</v>
      </c>
      <c r="I239" s="20">
        <f t="shared" ca="1" si="35"/>
        <v>0</v>
      </c>
      <c r="J239" s="8">
        <f t="shared" ca="1" si="36"/>
        <v>3</v>
      </c>
      <c r="K239" s="8">
        <f t="shared" ca="1" si="37"/>
        <v>276.65999999999804</v>
      </c>
      <c r="L239" s="8">
        <f t="shared" ca="1" si="38"/>
        <v>279.11999999999898</v>
      </c>
      <c r="M239" s="9">
        <f ca="1">AVERAGE(E239:OFFSET(E239,-M$5+1,0))</f>
        <v>6291.3880000000008</v>
      </c>
      <c r="N239" s="9">
        <f ca="1">AVERAGE(E239:OFFSET(E239,-N$5+1,0))</f>
        <v>6219.7844999999998</v>
      </c>
      <c r="O239" s="9">
        <f t="shared" ca="1" si="39"/>
        <v>0</v>
      </c>
      <c r="P239" s="14">
        <f t="shared" si="44"/>
        <v>1.4627722125112466</v>
      </c>
      <c r="Q239" s="15">
        <f ca="1">STDEV(P239:OFFSET(P239,-$Q$5+1,0))</f>
        <v>0.91191834045532261</v>
      </c>
      <c r="R239" s="15">
        <f ca="1">STDEV(P239:OFFSET(P239,-$R$5+1,0))</f>
        <v>0.88800066915004883</v>
      </c>
      <c r="S239" s="18">
        <f t="shared" si="31"/>
        <v>81.920000000000073</v>
      </c>
      <c r="T239" s="18">
        <f t="shared" si="32"/>
        <v>116.85999999999967</v>
      </c>
      <c r="U239" s="18">
        <f t="shared" si="40"/>
        <v>67.096296668211593</v>
      </c>
      <c r="V239" s="33">
        <f ca="1">AVERAGE(E239:OFFSET(E239,-V$5+1,0))</f>
        <v>6261.8307142857157</v>
      </c>
      <c r="W239" s="33">
        <f t="shared" ca="1" si="33"/>
        <v>6362.475159288033</v>
      </c>
      <c r="X239" s="33">
        <f t="shared" ca="1" si="34"/>
        <v>6161.1862692833984</v>
      </c>
      <c r="Y239" s="32">
        <f t="shared" ca="1" si="41"/>
        <v>0</v>
      </c>
    </row>
    <row r="240" spans="1:25">
      <c r="A240" s="5">
        <v>38705</v>
      </c>
      <c r="B240" s="4">
        <v>6386.36</v>
      </c>
      <c r="C240" s="4">
        <v>6439.2</v>
      </c>
      <c r="D240" s="4">
        <v>6374.49</v>
      </c>
      <c r="E240" s="4">
        <v>6431.42</v>
      </c>
      <c r="F240" s="4">
        <v>4477000</v>
      </c>
      <c r="G240" s="8">
        <f t="shared" si="43"/>
        <v>35.670000000000073</v>
      </c>
      <c r="H240" s="8">
        <f t="shared" si="42"/>
        <v>45.0600000000004</v>
      </c>
      <c r="I240" s="20">
        <f t="shared" ca="1" si="35"/>
        <v>1</v>
      </c>
      <c r="J240" s="8">
        <f t="shared" ca="1" si="36"/>
        <v>3</v>
      </c>
      <c r="K240" s="8">
        <f t="shared" ca="1" si="37"/>
        <v>242.19000000000142</v>
      </c>
      <c r="L240" s="8">
        <f t="shared" ca="1" si="38"/>
        <v>521.3100000000004</v>
      </c>
      <c r="M240" s="9">
        <f ca="1">AVERAGE(E240:OFFSET(E240,-M$5+1,0))</f>
        <v>6299.6989999999996</v>
      </c>
      <c r="N240" s="9">
        <f ca="1">AVERAGE(E240:OFFSET(E240,-N$5+1,0))</f>
        <v>6236.1845000000012</v>
      </c>
      <c r="O240" s="9">
        <f t="shared" ca="1" si="39"/>
        <v>0</v>
      </c>
      <c r="P240" s="14">
        <f t="shared" si="44"/>
        <v>1.2631885262681823</v>
      </c>
      <c r="Q240" s="15">
        <f ca="1">STDEV(P240:OFFSET(P240,-$Q$5+1,0))</f>
        <v>0.79461658492630294</v>
      </c>
      <c r="R240" s="15">
        <f ca="1">STDEV(P240:OFFSET(P240,-$R$5+1,0))</f>
        <v>0.89602088149957149</v>
      </c>
      <c r="S240" s="18">
        <f t="shared" si="31"/>
        <v>64.710000000000036</v>
      </c>
      <c r="T240" s="18">
        <f t="shared" si="32"/>
        <v>88.510000000000218</v>
      </c>
      <c r="U240" s="18">
        <f t="shared" si="40"/>
        <v>69.951457112450086</v>
      </c>
      <c r="V240" s="33">
        <f ca="1">AVERAGE(E240:OFFSET(E240,-V$5+1,0))</f>
        <v>6282.681428571429</v>
      </c>
      <c r="W240" s="33">
        <f t="shared" ca="1" si="33"/>
        <v>6387.6086142401045</v>
      </c>
      <c r="X240" s="33">
        <f t="shared" ca="1" si="34"/>
        <v>6177.7542429027535</v>
      </c>
      <c r="Y240" s="32">
        <f t="shared" ca="1" si="41"/>
        <v>1</v>
      </c>
    </row>
    <row r="241" spans="1:25">
      <c r="A241" s="5">
        <v>38706</v>
      </c>
      <c r="B241" s="4">
        <v>6428.25</v>
      </c>
      <c r="C241" s="4">
        <v>6443.89</v>
      </c>
      <c r="D241" s="4">
        <v>6413.46</v>
      </c>
      <c r="E241" s="4">
        <v>6427.84</v>
      </c>
      <c r="F241" s="4">
        <v>3875800</v>
      </c>
      <c r="G241" s="8">
        <f t="shared" si="43"/>
        <v>-3.1700000000000728</v>
      </c>
      <c r="H241" s="8">
        <f t="shared" si="42"/>
        <v>-0.40999999999985448</v>
      </c>
      <c r="I241" s="20">
        <f t="shared" ca="1" si="35"/>
        <v>0</v>
      </c>
      <c r="J241" s="8">
        <f t="shared" ca="1" si="36"/>
        <v>3</v>
      </c>
      <c r="K241" s="8">
        <f t="shared" ca="1" si="37"/>
        <v>-10.739999999999782</v>
      </c>
      <c r="L241" s="8">
        <f t="shared" ca="1" si="38"/>
        <v>510.57000000000062</v>
      </c>
      <c r="M241" s="9">
        <f ca="1">AVERAGE(E241:OFFSET(E241,-M$5+1,0))</f>
        <v>6307.4309999999996</v>
      </c>
      <c r="N241" s="9">
        <f ca="1">AVERAGE(E241:OFFSET(E241,-N$5+1,0))</f>
        <v>6254.6170000000002</v>
      </c>
      <c r="O241" s="9">
        <f t="shared" ca="1" si="39"/>
        <v>0</v>
      </c>
      <c r="P241" s="14">
        <f t="shared" si="44"/>
        <v>-5.5679721733450788E-2</v>
      </c>
      <c r="Q241" s="15">
        <f ca="1">STDEV(P241:OFFSET(P241,-$Q$5+1,0))</f>
        <v>0.79633522862992812</v>
      </c>
      <c r="R241" s="15">
        <f ca="1">STDEV(P241:OFFSET(P241,-$R$5+1,0))</f>
        <v>0.89705011228233111</v>
      </c>
      <c r="S241" s="18">
        <f t="shared" si="31"/>
        <v>30.430000000000291</v>
      </c>
      <c r="T241" s="18">
        <f t="shared" si="32"/>
        <v>30.430000000000291</v>
      </c>
      <c r="U241" s="18">
        <f t="shared" si="40"/>
        <v>64.681929497456778</v>
      </c>
      <c r="V241" s="33">
        <f ca="1">AVERAGE(E241:OFFSET(E241,-V$5+1,0))</f>
        <v>6298.7078571428574</v>
      </c>
      <c r="W241" s="33">
        <f t="shared" ca="1" si="33"/>
        <v>6395.7307513890428</v>
      </c>
      <c r="X241" s="33">
        <f t="shared" ca="1" si="34"/>
        <v>6201.684962896672</v>
      </c>
      <c r="Y241" s="32">
        <f t="shared" ca="1" si="41"/>
        <v>0</v>
      </c>
    </row>
    <row r="242" spans="1:25">
      <c r="A242" s="5">
        <v>38707</v>
      </c>
      <c r="B242" s="4">
        <v>6442.32</v>
      </c>
      <c r="C242" s="4">
        <v>6481.56</v>
      </c>
      <c r="D242" s="4">
        <v>6427.86</v>
      </c>
      <c r="E242" s="4">
        <v>6471.89</v>
      </c>
      <c r="F242" s="4">
        <v>4378800</v>
      </c>
      <c r="G242" s="8">
        <f t="shared" si="43"/>
        <v>14.479999999999563</v>
      </c>
      <c r="H242" s="8">
        <f t="shared" si="42"/>
        <v>29.570000000000618</v>
      </c>
      <c r="I242" s="20">
        <f t="shared" ca="1" si="35"/>
        <v>0</v>
      </c>
      <c r="J242" s="8">
        <f t="shared" ca="1" si="36"/>
        <v>3</v>
      </c>
      <c r="K242" s="8">
        <f t="shared" ca="1" si="37"/>
        <v>132.15000000000055</v>
      </c>
      <c r="L242" s="8">
        <f t="shared" ca="1" si="38"/>
        <v>642.72000000000116</v>
      </c>
      <c r="M242" s="9">
        <f ca="1">AVERAGE(E242:OFFSET(E242,-M$5+1,0))</f>
        <v>6321.6680000000006</v>
      </c>
      <c r="N242" s="9">
        <f ca="1">AVERAGE(E242:OFFSET(E242,-N$5+1,0))</f>
        <v>6272.0355</v>
      </c>
      <c r="O242" s="9">
        <f t="shared" ca="1" si="39"/>
        <v>0</v>
      </c>
      <c r="P242" s="14">
        <f t="shared" si="44"/>
        <v>0.68296268559874929</v>
      </c>
      <c r="Q242" s="15">
        <f ca="1">STDEV(P242:OFFSET(P242,-$Q$5+1,0))</f>
        <v>0.79692062975451328</v>
      </c>
      <c r="R242" s="15">
        <f ca="1">STDEV(P242:OFFSET(P242,-$R$5+1,0))</f>
        <v>0.89277676480311918</v>
      </c>
      <c r="S242" s="18">
        <f t="shared" si="31"/>
        <v>53.700000000000728</v>
      </c>
      <c r="T242" s="18">
        <f t="shared" si="32"/>
        <v>53.720000000000255</v>
      </c>
      <c r="U242" s="18">
        <f t="shared" si="40"/>
        <v>63.220338897795912</v>
      </c>
      <c r="V242" s="33">
        <f ca="1">AVERAGE(E242:OFFSET(E242,-V$5+1,0))</f>
        <v>6319.57</v>
      </c>
      <c r="W242" s="33">
        <f t="shared" ca="1" si="33"/>
        <v>6414.4005083466936</v>
      </c>
      <c r="X242" s="33">
        <f t="shared" ca="1" si="34"/>
        <v>6224.7394916533058</v>
      </c>
      <c r="Y242" s="32">
        <f t="shared" ca="1" si="41"/>
        <v>0</v>
      </c>
    </row>
    <row r="243" spans="1:25">
      <c r="A243" s="5">
        <v>38708</v>
      </c>
      <c r="B243" s="4">
        <v>6501.37</v>
      </c>
      <c r="C243" s="4">
        <v>6504.09</v>
      </c>
      <c r="D243" s="4">
        <v>6417.2</v>
      </c>
      <c r="E243" s="4">
        <v>6417.2</v>
      </c>
      <c r="F243" s="4">
        <v>3791200</v>
      </c>
      <c r="G243" s="8">
        <f t="shared" si="43"/>
        <v>29.479999999999563</v>
      </c>
      <c r="H243" s="8">
        <f t="shared" si="42"/>
        <v>-84.170000000000073</v>
      </c>
      <c r="I243" s="20">
        <f t="shared" ca="1" si="35"/>
        <v>0</v>
      </c>
      <c r="J243" s="8">
        <f t="shared" ca="1" si="36"/>
        <v>3</v>
      </c>
      <c r="K243" s="8">
        <f t="shared" ca="1" si="37"/>
        <v>-164.07000000000153</v>
      </c>
      <c r="L243" s="8">
        <f t="shared" ca="1" si="38"/>
        <v>478.64999999999964</v>
      </c>
      <c r="M243" s="9">
        <f ca="1">AVERAGE(E243:OFFSET(E243,-M$5+1,0))</f>
        <v>6338.4690000000001</v>
      </c>
      <c r="N243" s="9">
        <f ca="1">AVERAGE(E243:OFFSET(E243,-N$5+1,0))</f>
        <v>6287.3010000000004</v>
      </c>
      <c r="O243" s="9">
        <f t="shared" ca="1" si="39"/>
        <v>0</v>
      </c>
      <c r="P243" s="14">
        <f t="shared" si="44"/>
        <v>-0.84862978252501642</v>
      </c>
      <c r="Q243" s="15">
        <f ca="1">STDEV(P243:OFFSET(P243,-$Q$5+1,0))</f>
        <v>0.71456888156205289</v>
      </c>
      <c r="R243" s="15">
        <f ca="1">STDEV(P243:OFFSET(P243,-$R$5+1,0))</f>
        <v>0.89753131959463139</v>
      </c>
      <c r="S243" s="18">
        <f t="shared" si="31"/>
        <v>86.890000000000327</v>
      </c>
      <c r="T243" s="18">
        <f t="shared" si="32"/>
        <v>86.890000000000327</v>
      </c>
      <c r="U243" s="18">
        <f t="shared" si="40"/>
        <v>66.376293711423173</v>
      </c>
      <c r="V243" s="33">
        <f ca="1">AVERAGE(E243:OFFSET(E243,-V$5+1,0))</f>
        <v>6333.0164285714282</v>
      </c>
      <c r="W243" s="33">
        <f t="shared" ca="1" si="33"/>
        <v>6432.5808691385628</v>
      </c>
      <c r="X243" s="33">
        <f t="shared" ca="1" si="34"/>
        <v>6233.4519880042935</v>
      </c>
      <c r="Y243" s="32">
        <f t="shared" ca="1" si="41"/>
        <v>0</v>
      </c>
    </row>
    <row r="244" spans="1:25">
      <c r="A244" s="5">
        <v>38709</v>
      </c>
      <c r="B244" s="4">
        <v>6450.65</v>
      </c>
      <c r="C244" s="4">
        <v>6516.11</v>
      </c>
      <c r="D244" s="4">
        <v>6426.23</v>
      </c>
      <c r="E244" s="4">
        <v>6512.63</v>
      </c>
      <c r="F244" s="4">
        <v>4237800</v>
      </c>
      <c r="G244" s="8">
        <f t="shared" si="43"/>
        <v>33.449999999999818</v>
      </c>
      <c r="H244" s="8">
        <f t="shared" si="42"/>
        <v>61.980000000000473</v>
      </c>
      <c r="I244" s="20">
        <f t="shared" ca="1" si="35"/>
        <v>1</v>
      </c>
      <c r="J244" s="8">
        <f t="shared" ca="1" si="36"/>
        <v>3</v>
      </c>
      <c r="K244" s="8">
        <f t="shared" ca="1" si="37"/>
        <v>286.29000000000087</v>
      </c>
      <c r="L244" s="8">
        <f t="shared" ca="1" si="38"/>
        <v>764.94000000000051</v>
      </c>
      <c r="M244" s="9">
        <f ca="1">AVERAGE(E244:OFFSET(E244,-M$5+1,0))</f>
        <v>6363.2960000000003</v>
      </c>
      <c r="N244" s="9">
        <f ca="1">AVERAGE(E244:OFFSET(E244,-N$5+1,0))</f>
        <v>6306.5225</v>
      </c>
      <c r="O244" s="9">
        <f t="shared" ca="1" si="39"/>
        <v>0</v>
      </c>
      <c r="P244" s="14">
        <f t="shared" si="44"/>
        <v>1.4761482997755382</v>
      </c>
      <c r="Q244" s="15">
        <f ca="1">STDEV(P244:OFFSET(P244,-$Q$5+1,0))</f>
        <v>0.81027498083474836</v>
      </c>
      <c r="R244" s="15">
        <f ca="1">STDEV(P244:OFFSET(P244,-$R$5+1,0))</f>
        <v>0.90597090709412653</v>
      </c>
      <c r="S244" s="18">
        <f t="shared" si="31"/>
        <v>89.880000000000109</v>
      </c>
      <c r="T244" s="18">
        <f t="shared" si="32"/>
        <v>98.909999999999854</v>
      </c>
      <c r="U244" s="18">
        <f t="shared" si="40"/>
        <v>70.714121216566724</v>
      </c>
      <c r="V244" s="33">
        <f ca="1">AVERAGE(E244:OFFSET(E244,-V$5+1,0))</f>
        <v>6344.7535714285714</v>
      </c>
      <c r="W244" s="33">
        <f t="shared" ca="1" si="33"/>
        <v>6450.8247532534215</v>
      </c>
      <c r="X244" s="33">
        <f t="shared" ca="1" si="34"/>
        <v>6238.6823896037213</v>
      </c>
      <c r="Y244" s="32">
        <f t="shared" ca="1" si="41"/>
        <v>1</v>
      </c>
    </row>
    <row r="245" spans="1:25">
      <c r="A245" s="5">
        <v>38712</v>
      </c>
      <c r="B245" s="4">
        <v>6565.67</v>
      </c>
      <c r="C245" s="4">
        <v>6573.97</v>
      </c>
      <c r="D245" s="4">
        <v>6530.76</v>
      </c>
      <c r="E245" s="4">
        <v>6534.77</v>
      </c>
      <c r="F245" s="4">
        <v>4487800</v>
      </c>
      <c r="G245" s="8">
        <f t="shared" si="43"/>
        <v>53.039999999999964</v>
      </c>
      <c r="H245" s="8">
        <f t="shared" si="42"/>
        <v>-30.899999999999636</v>
      </c>
      <c r="I245" s="20">
        <f t="shared" ca="1" si="35"/>
        <v>0</v>
      </c>
      <c r="J245" s="8">
        <f t="shared" ca="1" si="36"/>
        <v>3</v>
      </c>
      <c r="K245" s="8">
        <f t="shared" ca="1" si="37"/>
        <v>66.420000000000982</v>
      </c>
      <c r="L245" s="8">
        <f t="shared" ca="1" si="38"/>
        <v>831.36000000000149</v>
      </c>
      <c r="M245" s="9">
        <f ca="1">AVERAGE(E245:OFFSET(E245,-M$5+1,0))</f>
        <v>6390.1439999999984</v>
      </c>
      <c r="N245" s="9">
        <f ca="1">AVERAGE(E245:OFFSET(E245,-N$5+1,0))</f>
        <v>6323.0690000000013</v>
      </c>
      <c r="O245" s="9">
        <f t="shared" ca="1" si="39"/>
        <v>0</v>
      </c>
      <c r="P245" s="14">
        <f t="shared" si="44"/>
        <v>0.33937828609940501</v>
      </c>
      <c r="Q245" s="15">
        <f ca="1">STDEV(P245:OFFSET(P245,-$Q$5+1,0))</f>
        <v>0.80095432134372035</v>
      </c>
      <c r="R245" s="15">
        <f ca="1">STDEV(P245:OFFSET(P245,-$R$5+1,0))</f>
        <v>0.84948657758681057</v>
      </c>
      <c r="S245" s="18">
        <f t="shared" ref="S245:S308" si="45">C245-D245</f>
        <v>43.210000000000036</v>
      </c>
      <c r="T245" s="18">
        <f t="shared" ref="T245:T308" si="46">MAX(C245,E244)-MIN(D245,E244)</f>
        <v>61.340000000000146</v>
      </c>
      <c r="U245" s="18">
        <f t="shared" si="40"/>
        <v>69.464238387691182</v>
      </c>
      <c r="V245" s="33">
        <f ca="1">AVERAGE(E245:OFFSET(E245,-V$5+1,0))</f>
        <v>6357.9142857142861</v>
      </c>
      <c r="W245" s="33">
        <f t="shared" ref="W245:W308" ca="1" si="47">V245+W$5*U245</f>
        <v>6462.1106432958231</v>
      </c>
      <c r="X245" s="33">
        <f t="shared" ref="X245:X308" ca="1" si="48">V245-W$5*U245</f>
        <v>6253.717928132749</v>
      </c>
      <c r="Y245" s="32">
        <f t="shared" ca="1" si="41"/>
        <v>0</v>
      </c>
    </row>
    <row r="246" spans="1:25">
      <c r="A246" s="5">
        <v>38713</v>
      </c>
      <c r="B246" s="4">
        <v>6539.29</v>
      </c>
      <c r="C246" s="4">
        <v>6570.42</v>
      </c>
      <c r="D246" s="4">
        <v>6505.46</v>
      </c>
      <c r="E246" s="4">
        <v>6531.59</v>
      </c>
      <c r="F246" s="4">
        <v>4753400</v>
      </c>
      <c r="G246" s="8">
        <f t="shared" si="43"/>
        <v>4.5199999999995271</v>
      </c>
      <c r="H246" s="8">
        <f t="shared" si="42"/>
        <v>-7.6999999999998181</v>
      </c>
      <c r="I246" s="20">
        <f t="shared" ref="I246:I309" ca="1" si="49">Y246</f>
        <v>0</v>
      </c>
      <c r="J246" s="8">
        <f t="shared" ref="J246:J309" ca="1" si="50">IF((J245+I245)&gt;=J$5,J$5,IF((J245+I245)&lt;=J$7,J$7,J245+I245))</f>
        <v>3</v>
      </c>
      <c r="K246" s="8">
        <f t="shared" ref="K246:K309" ca="1" si="51">J245*G246+J246*H246</f>
        <v>-9.5400000000008731</v>
      </c>
      <c r="L246" s="8">
        <f t="shared" ref="L246:L309" ca="1" si="52">L245+K246</f>
        <v>821.82000000000062</v>
      </c>
      <c r="M246" s="9">
        <f ca="1">AVERAGE(E246:OFFSET(E246,-M$5+1,0))</f>
        <v>6417.1849999999995</v>
      </c>
      <c r="N246" s="9">
        <f ca="1">AVERAGE(E246:OFFSET(E246,-N$5+1,0))</f>
        <v>6342.6730000000007</v>
      </c>
      <c r="O246" s="9">
        <f t="shared" ref="O246:O309" ca="1" si="53">IF(AND(M245&lt;=N245,M246&gt;N246),1,IF(AND(M245&gt;=N245,M246&lt;N246),-1,0))</f>
        <v>0</v>
      </c>
      <c r="P246" s="14">
        <f t="shared" si="44"/>
        <v>-4.8674612712106463E-2</v>
      </c>
      <c r="Q246" s="15">
        <f ca="1">STDEV(P246:OFFSET(P246,-$Q$5+1,0))</f>
        <v>0.79873135222850455</v>
      </c>
      <c r="R246" s="15">
        <f ca="1">STDEV(P246:OFFSET(P246,-$R$5+1,0))</f>
        <v>0.85016077665516587</v>
      </c>
      <c r="S246" s="18">
        <f t="shared" si="45"/>
        <v>64.960000000000036</v>
      </c>
      <c r="T246" s="18">
        <f t="shared" si="46"/>
        <v>64.960000000000036</v>
      </c>
      <c r="U246" s="18">
        <f t="shared" ref="U246:U309" si="54">$U$5*T246+(1-$U$5)*U245</f>
        <v>68.863673269332367</v>
      </c>
      <c r="V246" s="33">
        <f ca="1">AVERAGE(E246:OFFSET(E246,-V$5+1,0))</f>
        <v>6372.3478571428577</v>
      </c>
      <c r="W246" s="33">
        <f t="shared" ca="1" si="47"/>
        <v>6475.6433670468559</v>
      </c>
      <c r="X246" s="33">
        <f t="shared" ca="1" si="48"/>
        <v>6269.0523472388595</v>
      </c>
      <c r="Y246" s="32">
        <f t="shared" ref="Y246:Y309" ca="1" si="55">IF(AND(E245&gt;X245,E246&lt;X246),-1,IF(AND(E245&lt;W245,E246&gt;W246),1,0))</f>
        <v>0</v>
      </c>
    </row>
    <row r="247" spans="1:25">
      <c r="A247" s="5">
        <v>38714</v>
      </c>
      <c r="B247" s="4">
        <v>6492.8</v>
      </c>
      <c r="C247" s="4">
        <v>6530.02</v>
      </c>
      <c r="D247" s="4">
        <v>6479.34</v>
      </c>
      <c r="E247" s="4">
        <v>6524.4</v>
      </c>
      <c r="F247" s="4">
        <v>3882000</v>
      </c>
      <c r="G247" s="8">
        <f t="shared" si="43"/>
        <v>-38.789999999999964</v>
      </c>
      <c r="H247" s="8">
        <f t="shared" si="42"/>
        <v>31.599999999999454</v>
      </c>
      <c r="I247" s="20">
        <f t="shared" ca="1" si="49"/>
        <v>0</v>
      </c>
      <c r="J247" s="8">
        <f t="shared" ca="1" si="50"/>
        <v>3</v>
      </c>
      <c r="K247" s="8">
        <f t="shared" ca="1" si="51"/>
        <v>-21.570000000001528</v>
      </c>
      <c r="L247" s="8">
        <f t="shared" ca="1" si="52"/>
        <v>800.24999999999909</v>
      </c>
      <c r="M247" s="9">
        <f ca="1">AVERAGE(E247:OFFSET(E247,-M$5+1,0))</f>
        <v>6446.09</v>
      </c>
      <c r="N247" s="9">
        <f ca="1">AVERAGE(E247:OFFSET(E247,-N$5+1,0))</f>
        <v>6358.7195000000002</v>
      </c>
      <c r="O247" s="9">
        <f t="shared" ca="1" si="53"/>
        <v>0</v>
      </c>
      <c r="P247" s="14">
        <f t="shared" si="44"/>
        <v>-0.11014102686739871</v>
      </c>
      <c r="Q247" s="15">
        <f ca="1">STDEV(P247:OFFSET(P247,-$Q$5+1,0))</f>
        <v>0.76864545854931488</v>
      </c>
      <c r="R247" s="15">
        <f ca="1">STDEV(P247:OFFSET(P247,-$R$5+1,0))</f>
        <v>0.83870715901008752</v>
      </c>
      <c r="S247" s="18">
        <f t="shared" si="45"/>
        <v>50.680000000000291</v>
      </c>
      <c r="T247" s="18">
        <f t="shared" si="46"/>
        <v>52.25</v>
      </c>
      <c r="U247" s="18">
        <f t="shared" si="54"/>
        <v>66.648516833421382</v>
      </c>
      <c r="V247" s="33">
        <f ca="1">AVERAGE(E247:OFFSET(E247,-V$5+1,0))</f>
        <v>6392.005714285714</v>
      </c>
      <c r="W247" s="33">
        <f t="shared" ca="1" si="47"/>
        <v>6491.9784895358462</v>
      </c>
      <c r="X247" s="33">
        <f t="shared" ca="1" si="48"/>
        <v>6292.0329390355819</v>
      </c>
      <c r="Y247" s="32">
        <f t="shared" ca="1" si="55"/>
        <v>0</v>
      </c>
    </row>
    <row r="248" spans="1:25">
      <c r="A248" s="5">
        <v>38715</v>
      </c>
      <c r="B248" s="4">
        <v>6549.72</v>
      </c>
      <c r="C248" s="4">
        <v>6600.12</v>
      </c>
      <c r="D248" s="4">
        <v>6546.75</v>
      </c>
      <c r="E248" s="4">
        <v>6575.53</v>
      </c>
      <c r="F248" s="4">
        <v>5351000</v>
      </c>
      <c r="G248" s="8">
        <f t="shared" si="43"/>
        <v>25.320000000000618</v>
      </c>
      <c r="H248" s="8">
        <f t="shared" si="42"/>
        <v>25.809999999999491</v>
      </c>
      <c r="I248" s="20">
        <f t="shared" ca="1" si="49"/>
        <v>0</v>
      </c>
      <c r="J248" s="8">
        <f t="shared" ca="1" si="50"/>
        <v>3</v>
      </c>
      <c r="K248" s="8">
        <f t="shared" ca="1" si="51"/>
        <v>153.39000000000033</v>
      </c>
      <c r="L248" s="8">
        <f t="shared" ca="1" si="52"/>
        <v>953.63999999999942</v>
      </c>
      <c r="M248" s="9">
        <f ca="1">AVERAGE(E248:OFFSET(E248,-M$5+1,0))</f>
        <v>6477.7960000000003</v>
      </c>
      <c r="N248" s="9">
        <f ca="1">AVERAGE(E248:OFFSET(E248,-N$5+1,0))</f>
        <v>6378.5049999999992</v>
      </c>
      <c r="O248" s="9">
        <f t="shared" ca="1" si="53"/>
        <v>0</v>
      </c>
      <c r="P248" s="14">
        <f t="shared" si="44"/>
        <v>0.780618822242933</v>
      </c>
      <c r="Q248" s="15">
        <f ca="1">STDEV(P248:OFFSET(P248,-$Q$5+1,0))</f>
        <v>0.77465657329145365</v>
      </c>
      <c r="R248" s="15">
        <f ca="1">STDEV(P248:OFFSET(P248,-$R$5+1,0))</f>
        <v>0.8389633289410372</v>
      </c>
      <c r="S248" s="18">
        <f t="shared" si="45"/>
        <v>53.369999999999891</v>
      </c>
      <c r="T248" s="18">
        <f t="shared" si="46"/>
        <v>75.720000000000255</v>
      </c>
      <c r="U248" s="18">
        <f t="shared" si="54"/>
        <v>67.858047922298567</v>
      </c>
      <c r="V248" s="33">
        <f ca="1">AVERAGE(E248:OFFSET(E248,-V$5+1,0))</f>
        <v>6414.2321428571422</v>
      </c>
      <c r="W248" s="33">
        <f t="shared" ca="1" si="47"/>
        <v>6516.0192147405896</v>
      </c>
      <c r="X248" s="33">
        <f t="shared" ca="1" si="48"/>
        <v>6312.4450709736948</v>
      </c>
      <c r="Y248" s="32">
        <f t="shared" ca="1" si="55"/>
        <v>0</v>
      </c>
    </row>
    <row r="249" spans="1:25">
      <c r="A249" s="5">
        <v>38716</v>
      </c>
      <c r="B249" s="4">
        <v>6589.84</v>
      </c>
      <c r="C249" s="4">
        <v>6600.17</v>
      </c>
      <c r="D249" s="4">
        <v>6548.34</v>
      </c>
      <c r="E249" s="4">
        <v>6548.34</v>
      </c>
      <c r="F249" s="4">
        <v>5074600</v>
      </c>
      <c r="G249" s="8">
        <f t="shared" si="43"/>
        <v>14.3100000000004</v>
      </c>
      <c r="H249" s="8">
        <f t="shared" si="42"/>
        <v>-41.5</v>
      </c>
      <c r="I249" s="20">
        <f t="shared" ca="1" si="49"/>
        <v>0</v>
      </c>
      <c r="J249" s="8">
        <f t="shared" ca="1" si="50"/>
        <v>3</v>
      </c>
      <c r="K249" s="8">
        <f t="shared" ca="1" si="51"/>
        <v>-81.569999999998799</v>
      </c>
      <c r="L249" s="8">
        <f t="shared" ca="1" si="52"/>
        <v>872.07000000000062</v>
      </c>
      <c r="M249" s="9">
        <f ca="1">AVERAGE(E249:OFFSET(E249,-M$5+1,0))</f>
        <v>6497.5609999999997</v>
      </c>
      <c r="N249" s="9">
        <f ca="1">AVERAGE(E249:OFFSET(E249,-N$5+1,0))</f>
        <v>6394.4744999999994</v>
      </c>
      <c r="O249" s="9">
        <f t="shared" ca="1" si="53"/>
        <v>0</v>
      </c>
      <c r="P249" s="14">
        <f t="shared" si="44"/>
        <v>-0.41436007676164566</v>
      </c>
      <c r="Q249" s="15">
        <f ca="1">STDEV(P249:OFFSET(P249,-$Q$5+1,0))</f>
        <v>0.7405554099771926</v>
      </c>
      <c r="R249" s="15">
        <f ca="1">STDEV(P249:OFFSET(P249,-$R$5+1,0))</f>
        <v>0.8398933887457356</v>
      </c>
      <c r="S249" s="18">
        <f t="shared" si="45"/>
        <v>51.829999999999927</v>
      </c>
      <c r="T249" s="18">
        <f t="shared" si="46"/>
        <v>51.829999999999927</v>
      </c>
      <c r="U249" s="18">
        <f t="shared" si="54"/>
        <v>65.720974865992076</v>
      </c>
      <c r="V249" s="33">
        <f ca="1">AVERAGE(E249:OFFSET(E249,-V$5+1,0))</f>
        <v>6434.3785714285696</v>
      </c>
      <c r="W249" s="33">
        <f t="shared" ca="1" si="47"/>
        <v>6532.9600337275579</v>
      </c>
      <c r="X249" s="33">
        <f t="shared" ca="1" si="48"/>
        <v>6335.7971091295813</v>
      </c>
      <c r="Y249" s="32">
        <f t="shared" ca="1" si="55"/>
        <v>0</v>
      </c>
    </row>
    <row r="250" spans="1:25">
      <c r="A250" s="5">
        <v>38719</v>
      </c>
      <c r="B250" s="4">
        <v>6457.61</v>
      </c>
      <c r="C250" s="4">
        <v>6492.92</v>
      </c>
      <c r="D250" s="4">
        <v>6424.03</v>
      </c>
      <c r="E250" s="4">
        <v>6462.06</v>
      </c>
      <c r="F250" s="4">
        <v>4678400</v>
      </c>
      <c r="G250" s="8">
        <f t="shared" si="43"/>
        <v>-90.730000000000473</v>
      </c>
      <c r="H250" s="8">
        <f t="shared" si="42"/>
        <v>4.4500000000007276</v>
      </c>
      <c r="I250" s="20">
        <f t="shared" ca="1" si="49"/>
        <v>0</v>
      </c>
      <c r="J250" s="8">
        <f t="shared" ca="1" si="50"/>
        <v>3</v>
      </c>
      <c r="K250" s="8">
        <f t="shared" ca="1" si="51"/>
        <v>-258.83999999999924</v>
      </c>
      <c r="L250" s="8">
        <f t="shared" ca="1" si="52"/>
        <v>613.23000000000138</v>
      </c>
      <c r="M250" s="9">
        <f ca="1">AVERAGE(E250:OFFSET(E250,-M$5+1,0))</f>
        <v>6500.625</v>
      </c>
      <c r="N250" s="9">
        <f ca="1">AVERAGE(E250:OFFSET(E250,-N$5+1,0))</f>
        <v>6400.1619999999994</v>
      </c>
      <c r="O250" s="9">
        <f t="shared" ca="1" si="53"/>
        <v>0</v>
      </c>
      <c r="P250" s="14">
        <f t="shared" si="44"/>
        <v>-1.3263430002282588</v>
      </c>
      <c r="Q250" s="15">
        <f ca="1">STDEV(P250:OFFSET(P250,-$Q$5+1,0))</f>
        <v>0.81758853643573426</v>
      </c>
      <c r="R250" s="15">
        <f ca="1">STDEV(P250:OFFSET(P250,-$R$5+1,0))</f>
        <v>0.85838971729464342</v>
      </c>
      <c r="S250" s="18">
        <f t="shared" si="45"/>
        <v>68.890000000000327</v>
      </c>
      <c r="T250" s="18">
        <f t="shared" si="46"/>
        <v>124.3100000000004</v>
      </c>
      <c r="U250" s="18">
        <f t="shared" si="54"/>
        <v>73.532844883859852</v>
      </c>
      <c r="V250" s="33">
        <f ca="1">AVERAGE(E250:OFFSET(E250,-V$5+1,0))</f>
        <v>6448.7271428571412</v>
      </c>
      <c r="W250" s="33">
        <f t="shared" ca="1" si="47"/>
        <v>6559.0264101829307</v>
      </c>
      <c r="X250" s="33">
        <f t="shared" ca="1" si="48"/>
        <v>6338.4278755313517</v>
      </c>
      <c r="Y250" s="32">
        <f t="shared" ca="1" si="55"/>
        <v>0</v>
      </c>
    </row>
    <row r="251" spans="1:25">
      <c r="A251" s="5">
        <v>38720</v>
      </c>
      <c r="B251" s="4">
        <v>6476.2</v>
      </c>
      <c r="C251" s="4">
        <v>6591.77</v>
      </c>
      <c r="D251" s="4">
        <v>6457.09</v>
      </c>
      <c r="E251" s="4">
        <v>6591.77</v>
      </c>
      <c r="F251" s="4">
        <v>5181400</v>
      </c>
      <c r="G251" s="8">
        <f t="shared" si="43"/>
        <v>14.139999999999418</v>
      </c>
      <c r="H251" s="8">
        <f t="shared" si="42"/>
        <v>115.57000000000062</v>
      </c>
      <c r="I251" s="20">
        <f t="shared" ca="1" si="49"/>
        <v>0</v>
      </c>
      <c r="J251" s="8">
        <f t="shared" ca="1" si="50"/>
        <v>3</v>
      </c>
      <c r="K251" s="8">
        <f t="shared" ca="1" si="51"/>
        <v>389.13000000000011</v>
      </c>
      <c r="L251" s="8">
        <f t="shared" ca="1" si="52"/>
        <v>1002.3600000000015</v>
      </c>
      <c r="M251" s="9">
        <f ca="1">AVERAGE(E251:OFFSET(E251,-M$5+1,0))</f>
        <v>6517.0180000000009</v>
      </c>
      <c r="N251" s="9">
        <f ca="1">AVERAGE(E251:OFFSET(E251,-N$5+1,0))</f>
        <v>6412.2244999999994</v>
      </c>
      <c r="O251" s="9">
        <f t="shared" ca="1" si="53"/>
        <v>0</v>
      </c>
      <c r="P251" s="14">
        <f t="shared" si="44"/>
        <v>1.987374881150582</v>
      </c>
      <c r="Q251" s="15">
        <f ca="1">STDEV(P251:OFFSET(P251,-$Q$5+1,0))</f>
        <v>1.0193138249488582</v>
      </c>
      <c r="R251" s="15">
        <f ca="1">STDEV(P251:OFFSET(P251,-$R$5+1,0))</f>
        <v>0.89833989827894256</v>
      </c>
      <c r="S251" s="18">
        <f t="shared" si="45"/>
        <v>134.68000000000029</v>
      </c>
      <c r="T251" s="18">
        <f t="shared" si="46"/>
        <v>134.68000000000029</v>
      </c>
      <c r="U251" s="18">
        <f t="shared" si="54"/>
        <v>81.685798899345258</v>
      </c>
      <c r="V251" s="33">
        <f ca="1">AVERAGE(E251:OFFSET(E251,-V$5+1,0))</f>
        <v>6474.1857142857143</v>
      </c>
      <c r="W251" s="33">
        <f t="shared" ca="1" si="47"/>
        <v>6596.7144126347321</v>
      </c>
      <c r="X251" s="33">
        <f t="shared" ca="1" si="48"/>
        <v>6351.6570159366966</v>
      </c>
      <c r="Y251" s="32">
        <f t="shared" ca="1" si="55"/>
        <v>0</v>
      </c>
    </row>
    <row r="252" spans="1:25">
      <c r="A252" s="5">
        <v>38721</v>
      </c>
      <c r="B252" s="4">
        <v>6658.32</v>
      </c>
      <c r="C252" s="4">
        <v>6670.96</v>
      </c>
      <c r="D252" s="4">
        <v>6579.66</v>
      </c>
      <c r="E252" s="4">
        <v>6616.44</v>
      </c>
      <c r="F252" s="4">
        <v>5884200</v>
      </c>
      <c r="G252" s="8">
        <f t="shared" si="43"/>
        <v>66.549999999999272</v>
      </c>
      <c r="H252" s="8">
        <f t="shared" si="42"/>
        <v>-41.880000000000109</v>
      </c>
      <c r="I252" s="20">
        <f t="shared" ca="1" si="49"/>
        <v>0</v>
      </c>
      <c r="J252" s="8">
        <f t="shared" ca="1" si="50"/>
        <v>3</v>
      </c>
      <c r="K252" s="8">
        <f t="shared" ca="1" si="51"/>
        <v>74.00999999999749</v>
      </c>
      <c r="L252" s="8">
        <f t="shared" ca="1" si="52"/>
        <v>1076.369999999999</v>
      </c>
      <c r="M252" s="9">
        <f ca="1">AVERAGE(E252:OFFSET(E252,-M$5+1,0))</f>
        <v>6531.473</v>
      </c>
      <c r="N252" s="9">
        <f ca="1">AVERAGE(E252:OFFSET(E252,-N$5+1,0))</f>
        <v>6426.5704999999998</v>
      </c>
      <c r="O252" s="9">
        <f t="shared" ca="1" si="53"/>
        <v>0</v>
      </c>
      <c r="P252" s="14">
        <f t="shared" si="44"/>
        <v>0.37355597295812476</v>
      </c>
      <c r="Q252" s="15">
        <f ca="1">STDEV(P252:OFFSET(P252,-$Q$5+1,0))</f>
        <v>1.009420998257706</v>
      </c>
      <c r="R252" s="15">
        <f ca="1">STDEV(P252:OFFSET(P252,-$R$5+1,0))</f>
        <v>0.85222202287843984</v>
      </c>
      <c r="S252" s="18">
        <f t="shared" si="45"/>
        <v>91.300000000000182</v>
      </c>
      <c r="T252" s="18">
        <f t="shared" si="46"/>
        <v>91.300000000000182</v>
      </c>
      <c r="U252" s="18">
        <f t="shared" si="54"/>
        <v>82.967692379432592</v>
      </c>
      <c r="V252" s="33">
        <f ca="1">AVERAGE(E252:OFFSET(E252,-V$5+1,0))</f>
        <v>6499.7550000000001</v>
      </c>
      <c r="W252" s="33">
        <f t="shared" ca="1" si="47"/>
        <v>6624.2065385691494</v>
      </c>
      <c r="X252" s="33">
        <f t="shared" ca="1" si="48"/>
        <v>6375.3034614308508</v>
      </c>
      <c r="Y252" s="32">
        <f t="shared" ca="1" si="55"/>
        <v>0</v>
      </c>
    </row>
    <row r="253" spans="1:25">
      <c r="A253" s="5">
        <v>38722</v>
      </c>
      <c r="B253" s="4">
        <v>6669.8</v>
      </c>
      <c r="C253" s="4">
        <v>6717.12</v>
      </c>
      <c r="D253" s="4">
        <v>6666.84</v>
      </c>
      <c r="E253" s="4">
        <v>6709.87</v>
      </c>
      <c r="F253" s="4">
        <v>5822600</v>
      </c>
      <c r="G253" s="8">
        <f t="shared" si="43"/>
        <v>53.360000000000582</v>
      </c>
      <c r="H253" s="8">
        <f t="shared" si="42"/>
        <v>40.069999999999709</v>
      </c>
      <c r="I253" s="20">
        <f t="shared" ca="1" si="49"/>
        <v>1</v>
      </c>
      <c r="J253" s="8">
        <f t="shared" ca="1" si="50"/>
        <v>3</v>
      </c>
      <c r="K253" s="8">
        <f t="shared" ca="1" si="51"/>
        <v>280.29000000000087</v>
      </c>
      <c r="L253" s="8">
        <f t="shared" ca="1" si="52"/>
        <v>1356.6599999999999</v>
      </c>
      <c r="M253" s="9">
        <f ca="1">AVERAGE(E253:OFFSET(E253,-M$5+1,0))</f>
        <v>6560.74</v>
      </c>
      <c r="N253" s="9">
        <f ca="1">AVERAGE(E253:OFFSET(E253,-N$5+1,0))</f>
        <v>6449.6044999999995</v>
      </c>
      <c r="O253" s="9">
        <f t="shared" ca="1" si="53"/>
        <v>0</v>
      </c>
      <c r="P253" s="14">
        <f t="shared" si="44"/>
        <v>1.4022115776000814</v>
      </c>
      <c r="Q253" s="15">
        <f ca="1">STDEV(P253:OFFSET(P253,-$Q$5+1,0))</f>
        <v>0.99528799232948029</v>
      </c>
      <c r="R253" s="15">
        <f ca="1">STDEV(P253:OFFSET(P253,-$R$5+1,0))</f>
        <v>0.87127142821949788</v>
      </c>
      <c r="S253" s="18">
        <f t="shared" si="45"/>
        <v>50.279999999999745</v>
      </c>
      <c r="T253" s="18">
        <f t="shared" si="46"/>
        <v>100.68000000000029</v>
      </c>
      <c r="U253" s="18">
        <f t="shared" si="54"/>
        <v>85.329333395508286</v>
      </c>
      <c r="V253" s="33">
        <f ca="1">AVERAGE(E253:OFFSET(E253,-V$5+1,0))</f>
        <v>6525.4107142857147</v>
      </c>
      <c r="W253" s="33">
        <f t="shared" ca="1" si="47"/>
        <v>6653.4047143789767</v>
      </c>
      <c r="X253" s="33">
        <f t="shared" ca="1" si="48"/>
        <v>6397.4167141924527</v>
      </c>
      <c r="Y253" s="32">
        <f t="shared" ca="1" si="55"/>
        <v>1</v>
      </c>
    </row>
    <row r="254" spans="1:25">
      <c r="A254" s="5">
        <v>38723</v>
      </c>
      <c r="B254" s="4">
        <v>6757.41</v>
      </c>
      <c r="C254" s="4">
        <v>6761.01</v>
      </c>
      <c r="D254" s="4">
        <v>6676.65</v>
      </c>
      <c r="E254" s="4">
        <v>6694.82</v>
      </c>
      <c r="F254" s="4">
        <v>5881400</v>
      </c>
      <c r="G254" s="8">
        <f t="shared" si="43"/>
        <v>47.539999999999964</v>
      </c>
      <c r="H254" s="8">
        <f t="shared" si="42"/>
        <v>-62.590000000000146</v>
      </c>
      <c r="I254" s="20">
        <f t="shared" ca="1" si="49"/>
        <v>0</v>
      </c>
      <c r="J254" s="8">
        <f t="shared" ca="1" si="50"/>
        <v>3</v>
      </c>
      <c r="K254" s="8">
        <f t="shared" ca="1" si="51"/>
        <v>-45.150000000000546</v>
      </c>
      <c r="L254" s="8">
        <f t="shared" ca="1" si="52"/>
        <v>1311.5099999999993</v>
      </c>
      <c r="M254" s="9">
        <f ca="1">AVERAGE(E254:OFFSET(E254,-M$5+1,0))</f>
        <v>6578.9590000000007</v>
      </c>
      <c r="N254" s="9">
        <f ca="1">AVERAGE(E254:OFFSET(E254,-N$5+1,0))</f>
        <v>6471.1274999999996</v>
      </c>
      <c r="O254" s="9">
        <f t="shared" ca="1" si="53"/>
        <v>0</v>
      </c>
      <c r="P254" s="14">
        <f t="shared" si="44"/>
        <v>-0.22454836812720438</v>
      </c>
      <c r="Q254" s="15">
        <f ca="1">STDEV(P254:OFFSET(P254,-$Q$5+1,0))</f>
        <v>0.94366294816539764</v>
      </c>
      <c r="R254" s="15">
        <f ca="1">STDEV(P254:OFFSET(P254,-$R$5+1,0))</f>
        <v>0.85422733173598386</v>
      </c>
      <c r="S254" s="18">
        <f t="shared" si="45"/>
        <v>84.360000000000582</v>
      </c>
      <c r="T254" s="18">
        <f t="shared" si="46"/>
        <v>84.360000000000582</v>
      </c>
      <c r="U254" s="18">
        <f t="shared" si="54"/>
        <v>85.200088942773931</v>
      </c>
      <c r="V254" s="33">
        <f ca="1">AVERAGE(E254:OFFSET(E254,-V$5+1,0))</f>
        <v>6544.2249999999995</v>
      </c>
      <c r="W254" s="33">
        <f t="shared" ca="1" si="47"/>
        <v>6672.0251334141603</v>
      </c>
      <c r="X254" s="33">
        <f t="shared" ca="1" si="48"/>
        <v>6416.4248665858386</v>
      </c>
      <c r="Y254" s="32">
        <f t="shared" ca="1" si="55"/>
        <v>0</v>
      </c>
    </row>
    <row r="255" spans="1:25">
      <c r="A255" s="5">
        <v>38726</v>
      </c>
      <c r="B255" s="4">
        <v>6752.09</v>
      </c>
      <c r="C255" s="4">
        <v>6763.86</v>
      </c>
      <c r="D255" s="4">
        <v>6708.59</v>
      </c>
      <c r="E255" s="4">
        <v>6742.39</v>
      </c>
      <c r="F255" s="4">
        <v>5345200</v>
      </c>
      <c r="G255" s="8">
        <f t="shared" si="43"/>
        <v>57.270000000000437</v>
      </c>
      <c r="H255" s="8">
        <f t="shared" si="42"/>
        <v>-9.6999999999998181</v>
      </c>
      <c r="I255" s="20">
        <f t="shared" ca="1" si="49"/>
        <v>0</v>
      </c>
      <c r="J255" s="8">
        <f t="shared" ca="1" si="50"/>
        <v>3</v>
      </c>
      <c r="K255" s="8">
        <f t="shared" ca="1" si="51"/>
        <v>142.71000000000186</v>
      </c>
      <c r="L255" s="8">
        <f t="shared" ca="1" si="52"/>
        <v>1454.2200000000012</v>
      </c>
      <c r="M255" s="9">
        <f ca="1">AVERAGE(E255:OFFSET(E255,-M$5+1,0))</f>
        <v>6599.7210000000005</v>
      </c>
      <c r="N255" s="9">
        <f ca="1">AVERAGE(E255:OFFSET(E255,-N$5+1,0))</f>
        <v>6494.932499999999</v>
      </c>
      <c r="O255" s="9">
        <f t="shared" ca="1" si="53"/>
        <v>0</v>
      </c>
      <c r="P255" s="14">
        <f t="shared" si="44"/>
        <v>0.70803684291485913</v>
      </c>
      <c r="Q255" s="15">
        <f ca="1">STDEV(P255:OFFSET(P255,-$Q$5+1,0))</f>
        <v>0.95356724056167019</v>
      </c>
      <c r="R255" s="15">
        <f ca="1">STDEV(P255:OFFSET(P255,-$R$5+1,0))</f>
        <v>0.8571826541198434</v>
      </c>
      <c r="S255" s="18">
        <f t="shared" si="45"/>
        <v>55.269999999999527</v>
      </c>
      <c r="T255" s="18">
        <f t="shared" si="46"/>
        <v>69.039999999999964</v>
      </c>
      <c r="U255" s="18">
        <f t="shared" si="54"/>
        <v>83.045410417070741</v>
      </c>
      <c r="V255" s="33">
        <f ca="1">AVERAGE(E255:OFFSET(E255,-V$5+1,0))</f>
        <v>6566.6928571428571</v>
      </c>
      <c r="W255" s="33">
        <f t="shared" ca="1" si="47"/>
        <v>6691.260972768463</v>
      </c>
      <c r="X255" s="33">
        <f t="shared" ca="1" si="48"/>
        <v>6442.1247415172511</v>
      </c>
      <c r="Y255" s="32">
        <f t="shared" ca="1" si="55"/>
        <v>0</v>
      </c>
    </row>
    <row r="256" spans="1:25">
      <c r="A256" s="5">
        <v>38727</v>
      </c>
      <c r="B256" s="4">
        <v>6751.56</v>
      </c>
      <c r="C256" s="4">
        <v>6751.56</v>
      </c>
      <c r="D256" s="4">
        <v>6678.84</v>
      </c>
      <c r="E256" s="4">
        <v>6707.4</v>
      </c>
      <c r="F256" s="4">
        <v>4453600</v>
      </c>
      <c r="G256" s="8">
        <f t="shared" si="43"/>
        <v>9.1700000000000728</v>
      </c>
      <c r="H256" s="8">
        <f t="shared" si="42"/>
        <v>-44.160000000000764</v>
      </c>
      <c r="I256" s="20">
        <f t="shared" ca="1" si="49"/>
        <v>0</v>
      </c>
      <c r="J256" s="8">
        <f t="shared" ca="1" si="50"/>
        <v>3</v>
      </c>
      <c r="K256" s="8">
        <f t="shared" ca="1" si="51"/>
        <v>-104.97000000000207</v>
      </c>
      <c r="L256" s="8">
        <f t="shared" ca="1" si="52"/>
        <v>1349.2499999999991</v>
      </c>
      <c r="M256" s="9">
        <f ca="1">AVERAGE(E256:OFFSET(E256,-M$5+1,0))</f>
        <v>6617.3020000000006</v>
      </c>
      <c r="N256" s="9">
        <f ca="1">AVERAGE(E256:OFFSET(E256,-N$5+1,0))</f>
        <v>6517.2434999999987</v>
      </c>
      <c r="O256" s="9">
        <f t="shared" ca="1" si="53"/>
        <v>0</v>
      </c>
      <c r="P256" s="14">
        <f t="shared" si="44"/>
        <v>-0.52030669530349405</v>
      </c>
      <c r="Q256" s="15">
        <f ca="1">STDEV(P256:OFFSET(P256,-$Q$5+1,0))</f>
        <v>0.98458948895153942</v>
      </c>
      <c r="R256" s="15">
        <f ca="1">STDEV(P256:OFFSET(P256,-$R$5+1,0))</f>
        <v>0.84701358957439199</v>
      </c>
      <c r="S256" s="18">
        <f t="shared" si="45"/>
        <v>72.720000000000255</v>
      </c>
      <c r="T256" s="18">
        <f t="shared" si="46"/>
        <v>72.720000000000255</v>
      </c>
      <c r="U256" s="18">
        <f t="shared" si="54"/>
        <v>81.668689028128</v>
      </c>
      <c r="V256" s="33">
        <f ca="1">AVERAGE(E256:OFFSET(E256,-V$5+1,0))</f>
        <v>6583.5149999999985</v>
      </c>
      <c r="W256" s="33">
        <f t="shared" ca="1" si="47"/>
        <v>6706.0180335421901</v>
      </c>
      <c r="X256" s="33">
        <f t="shared" ca="1" si="48"/>
        <v>6461.0119664578069</v>
      </c>
      <c r="Y256" s="32">
        <f t="shared" ca="1" si="55"/>
        <v>0</v>
      </c>
    </row>
    <row r="257" spans="1:25">
      <c r="A257" s="5">
        <v>38728</v>
      </c>
      <c r="B257" s="4">
        <v>6702.47</v>
      </c>
      <c r="C257" s="4">
        <v>6741.92</v>
      </c>
      <c r="D257" s="4">
        <v>6650.61</v>
      </c>
      <c r="E257" s="4">
        <v>6735.89</v>
      </c>
      <c r="F257" s="4">
        <v>5109000</v>
      </c>
      <c r="G257" s="8">
        <f t="shared" si="43"/>
        <v>-4.9299999999993815</v>
      </c>
      <c r="H257" s="8">
        <f t="shared" si="42"/>
        <v>33.420000000000073</v>
      </c>
      <c r="I257" s="20">
        <f t="shared" ca="1" si="49"/>
        <v>0</v>
      </c>
      <c r="J257" s="8">
        <f t="shared" ca="1" si="50"/>
        <v>3</v>
      </c>
      <c r="K257" s="8">
        <f t="shared" ca="1" si="51"/>
        <v>85.470000000002074</v>
      </c>
      <c r="L257" s="8">
        <f t="shared" ca="1" si="52"/>
        <v>1434.7200000000012</v>
      </c>
      <c r="M257" s="9">
        <f ca="1">AVERAGE(E257:OFFSET(E257,-M$5+1,0))</f>
        <v>6638.4510000000009</v>
      </c>
      <c r="N257" s="9">
        <f ca="1">AVERAGE(E257:OFFSET(E257,-N$5+1,0))</f>
        <v>6542.2705000000005</v>
      </c>
      <c r="O257" s="9">
        <f t="shared" ca="1" si="53"/>
        <v>0</v>
      </c>
      <c r="P257" s="14">
        <f t="shared" si="44"/>
        <v>0.42385521182182917</v>
      </c>
      <c r="Q257" s="15">
        <f ca="1">STDEV(P257:OFFSET(P257,-$Q$5+1,0))</f>
        <v>0.97639278211429803</v>
      </c>
      <c r="R257" s="15">
        <f ca="1">STDEV(P257:OFFSET(P257,-$R$5+1,0))</f>
        <v>0.84737925336668307</v>
      </c>
      <c r="S257" s="18">
        <f t="shared" si="45"/>
        <v>91.3100000000004</v>
      </c>
      <c r="T257" s="18">
        <f t="shared" si="46"/>
        <v>91.3100000000004</v>
      </c>
      <c r="U257" s="18">
        <f t="shared" si="54"/>
        <v>82.954197157710993</v>
      </c>
      <c r="V257" s="33">
        <f ca="1">AVERAGE(E257:OFFSET(E257,-V$5+1,0))</f>
        <v>6606.278571428571</v>
      </c>
      <c r="W257" s="33">
        <f t="shared" ca="1" si="47"/>
        <v>6730.7098671651374</v>
      </c>
      <c r="X257" s="33">
        <f t="shared" ca="1" si="48"/>
        <v>6481.8472756920046</v>
      </c>
      <c r="Y257" s="32">
        <f t="shared" ca="1" si="55"/>
        <v>0</v>
      </c>
    </row>
    <row r="258" spans="1:25">
      <c r="A258" s="5">
        <v>38729</v>
      </c>
      <c r="B258" s="4">
        <v>6782.15</v>
      </c>
      <c r="C258" s="4">
        <v>6797.2</v>
      </c>
      <c r="D258" s="4">
        <v>6725.57</v>
      </c>
      <c r="E258" s="4">
        <v>6725.61</v>
      </c>
      <c r="F258" s="4">
        <v>5927800</v>
      </c>
      <c r="G258" s="8">
        <f t="shared" si="43"/>
        <v>46.259999999999309</v>
      </c>
      <c r="H258" s="8">
        <f t="shared" si="42"/>
        <v>-56.539999999999964</v>
      </c>
      <c r="I258" s="20">
        <f t="shared" ca="1" si="49"/>
        <v>0</v>
      </c>
      <c r="J258" s="8">
        <f t="shared" ca="1" si="50"/>
        <v>3</v>
      </c>
      <c r="K258" s="8">
        <f t="shared" ca="1" si="51"/>
        <v>-30.840000000001965</v>
      </c>
      <c r="L258" s="8">
        <f t="shared" ca="1" si="52"/>
        <v>1403.8799999999992</v>
      </c>
      <c r="M258" s="9">
        <f ca="1">AVERAGE(E258:OFFSET(E258,-M$5+1,0))</f>
        <v>6653.4589999999998</v>
      </c>
      <c r="N258" s="9">
        <f ca="1">AVERAGE(E258:OFFSET(E258,-N$5+1,0))</f>
        <v>6565.6274999999996</v>
      </c>
      <c r="O258" s="9">
        <f t="shared" ca="1" si="53"/>
        <v>0</v>
      </c>
      <c r="P258" s="14">
        <f t="shared" si="44"/>
        <v>-0.15273189463803741</v>
      </c>
      <c r="Q258" s="15">
        <f ca="1">STDEV(P258:OFFSET(P258,-$Q$5+1,0))</f>
        <v>0.9719641189683853</v>
      </c>
      <c r="R258" s="15">
        <f ca="1">STDEV(P258:OFFSET(P258,-$R$5+1,0))</f>
        <v>0.8428685756313985</v>
      </c>
      <c r="S258" s="18">
        <f t="shared" si="45"/>
        <v>71.630000000000109</v>
      </c>
      <c r="T258" s="18">
        <f t="shared" si="46"/>
        <v>71.630000000000109</v>
      </c>
      <c r="U258" s="18">
        <f t="shared" si="54"/>
        <v>81.444304203349546</v>
      </c>
      <c r="V258" s="33">
        <f ca="1">AVERAGE(E258:OFFSET(E258,-V$5+1,0))</f>
        <v>6621.4914285714285</v>
      </c>
      <c r="W258" s="33">
        <f t="shared" ca="1" si="47"/>
        <v>6743.657884876453</v>
      </c>
      <c r="X258" s="33">
        <f t="shared" ca="1" si="48"/>
        <v>6499.3249722664041</v>
      </c>
      <c r="Y258" s="32">
        <f t="shared" ca="1" si="55"/>
        <v>0</v>
      </c>
    </row>
    <row r="259" spans="1:25">
      <c r="A259" s="5">
        <v>38730</v>
      </c>
      <c r="B259" s="4">
        <v>6729.58</v>
      </c>
      <c r="C259" s="4">
        <v>6729.58</v>
      </c>
      <c r="D259" s="4">
        <v>6669.64</v>
      </c>
      <c r="E259" s="4">
        <v>6682.35</v>
      </c>
      <c r="F259" s="4">
        <v>3789200</v>
      </c>
      <c r="G259" s="8">
        <f t="shared" si="43"/>
        <v>3.9700000000002547</v>
      </c>
      <c r="H259" s="8">
        <f t="shared" si="42"/>
        <v>-47.229999999999563</v>
      </c>
      <c r="I259" s="20">
        <f t="shared" ca="1" si="49"/>
        <v>0</v>
      </c>
      <c r="J259" s="8">
        <f t="shared" ca="1" si="50"/>
        <v>3</v>
      </c>
      <c r="K259" s="8">
        <f t="shared" ca="1" si="51"/>
        <v>-129.77999999999793</v>
      </c>
      <c r="L259" s="8">
        <f t="shared" ca="1" si="52"/>
        <v>1274.1000000000013</v>
      </c>
      <c r="M259" s="9">
        <f ca="1">AVERAGE(E259:OFFSET(E259,-M$5+1,0))</f>
        <v>6666.8600000000006</v>
      </c>
      <c r="N259" s="9">
        <f ca="1">AVERAGE(E259:OFFSET(E259,-N$5+1,0))</f>
        <v>6582.2104999999992</v>
      </c>
      <c r="O259" s="9">
        <f t="shared" ca="1" si="53"/>
        <v>0</v>
      </c>
      <c r="P259" s="14">
        <f t="shared" si="44"/>
        <v>-0.64529056041429189</v>
      </c>
      <c r="Q259" s="15">
        <f ca="1">STDEV(P259:OFFSET(P259,-$Q$5+1,0))</f>
        <v>0.99140927751602459</v>
      </c>
      <c r="R259" s="15">
        <f ca="1">STDEV(P259:OFFSET(P259,-$R$5+1,0))</f>
        <v>0.83443450248152951</v>
      </c>
      <c r="S259" s="18">
        <f t="shared" si="45"/>
        <v>59.9399999999996</v>
      </c>
      <c r="T259" s="18">
        <f t="shared" si="46"/>
        <v>59.9399999999996</v>
      </c>
      <c r="U259" s="18">
        <f t="shared" si="54"/>
        <v>78.577063642902885</v>
      </c>
      <c r="V259" s="33">
        <f ca="1">AVERAGE(E259:OFFSET(E259,-V$5+1,0))</f>
        <v>6632.0328571428572</v>
      </c>
      <c r="W259" s="33">
        <f t="shared" ca="1" si="47"/>
        <v>6749.8984526072118</v>
      </c>
      <c r="X259" s="33">
        <f t="shared" ca="1" si="48"/>
        <v>6514.1672616785027</v>
      </c>
      <c r="Y259" s="32">
        <f t="shared" ca="1" si="55"/>
        <v>0</v>
      </c>
    </row>
    <row r="260" spans="1:25">
      <c r="A260" s="5">
        <v>38733</v>
      </c>
      <c r="B260" s="4">
        <v>6680.88</v>
      </c>
      <c r="C260" s="4">
        <v>6733.52</v>
      </c>
      <c r="D260" s="4">
        <v>6664.8</v>
      </c>
      <c r="E260" s="4">
        <v>6724.18</v>
      </c>
      <c r="F260" s="4">
        <v>3073600</v>
      </c>
      <c r="G260" s="8">
        <f t="shared" si="43"/>
        <v>-1.4700000000002547</v>
      </c>
      <c r="H260" s="8">
        <f t="shared" ref="H260:H323" si="56">E260-B260</f>
        <v>43.300000000000182</v>
      </c>
      <c r="I260" s="20">
        <f t="shared" ca="1" si="49"/>
        <v>0</v>
      </c>
      <c r="J260" s="8">
        <f t="shared" ca="1" si="50"/>
        <v>3</v>
      </c>
      <c r="K260" s="8">
        <f t="shared" ca="1" si="51"/>
        <v>125.48999999999978</v>
      </c>
      <c r="L260" s="8">
        <f t="shared" ca="1" si="52"/>
        <v>1399.5900000000011</v>
      </c>
      <c r="M260" s="9">
        <f ca="1">AVERAGE(E260:OFFSET(E260,-M$5+1,0))</f>
        <v>6693.0720000000001</v>
      </c>
      <c r="N260" s="9">
        <f ca="1">AVERAGE(E260:OFFSET(E260,-N$5+1,0))</f>
        <v>6596.8485000000001</v>
      </c>
      <c r="O260" s="9">
        <f t="shared" ca="1" si="53"/>
        <v>0</v>
      </c>
      <c r="P260" s="14">
        <f t="shared" si="44"/>
        <v>0.62402628780650049</v>
      </c>
      <c r="Q260" s="15">
        <f ca="1">STDEV(P260:OFFSET(P260,-$Q$5+1,0))</f>
        <v>0.83703465668086174</v>
      </c>
      <c r="R260" s="15">
        <f ca="1">STDEV(P260:OFFSET(P260,-$R$5+1,0))</f>
        <v>0.83550014194975109</v>
      </c>
      <c r="S260" s="18">
        <f t="shared" si="45"/>
        <v>68.720000000000255</v>
      </c>
      <c r="T260" s="18">
        <f t="shared" si="46"/>
        <v>68.720000000000255</v>
      </c>
      <c r="U260" s="18">
        <f t="shared" si="54"/>
        <v>77.26278849051586</v>
      </c>
      <c r="V260" s="33">
        <f ca="1">AVERAGE(E260:OFFSET(E260,-V$5+1,0))</f>
        <v>6645.789285714287</v>
      </c>
      <c r="W260" s="33">
        <f t="shared" ca="1" si="47"/>
        <v>6761.6834684500609</v>
      </c>
      <c r="X260" s="33">
        <f t="shared" ca="1" si="48"/>
        <v>6529.895102978513</v>
      </c>
      <c r="Y260" s="32">
        <f t="shared" ca="1" si="55"/>
        <v>0</v>
      </c>
    </row>
    <row r="261" spans="1:25">
      <c r="A261" s="5">
        <v>38734</v>
      </c>
      <c r="B261" s="4">
        <v>6752.24</v>
      </c>
      <c r="C261" s="4">
        <v>6775.73</v>
      </c>
      <c r="D261" s="4">
        <v>6711.04</v>
      </c>
      <c r="E261" s="4">
        <v>6711.04</v>
      </c>
      <c r="F261" s="4">
        <v>3884800</v>
      </c>
      <c r="G261" s="8">
        <f t="shared" ref="G261:G324" si="57">B261-E260</f>
        <v>28.059999999999491</v>
      </c>
      <c r="H261" s="8">
        <f t="shared" si="56"/>
        <v>-41.199999999999818</v>
      </c>
      <c r="I261" s="20">
        <f t="shared" ca="1" si="49"/>
        <v>0</v>
      </c>
      <c r="J261" s="8">
        <f t="shared" ca="1" si="50"/>
        <v>3</v>
      </c>
      <c r="K261" s="8">
        <f t="shared" ca="1" si="51"/>
        <v>-39.420000000000982</v>
      </c>
      <c r="L261" s="8">
        <f t="shared" ca="1" si="52"/>
        <v>1360.17</v>
      </c>
      <c r="M261" s="9">
        <f ca="1">AVERAGE(E261:OFFSET(E261,-M$5+1,0))</f>
        <v>6704.9989999999989</v>
      </c>
      <c r="N261" s="9">
        <f ca="1">AVERAGE(E261:OFFSET(E261,-N$5+1,0))</f>
        <v>6611.0085000000008</v>
      </c>
      <c r="O261" s="9">
        <f t="shared" ca="1" si="53"/>
        <v>0</v>
      </c>
      <c r="P261" s="14">
        <f t="shared" ref="P261:P324" si="58">100*LN(E261/E260)</f>
        <v>-0.19560534460364432</v>
      </c>
      <c r="Q261" s="15">
        <f ca="1">STDEV(P261:OFFSET(P261,-$Q$5+1,0))</f>
        <v>0.63715437677860487</v>
      </c>
      <c r="R261" s="15">
        <f ca="1">STDEV(P261:OFFSET(P261,-$R$5+1,0))</f>
        <v>0.82382874345377988</v>
      </c>
      <c r="S261" s="18">
        <f t="shared" si="45"/>
        <v>64.6899999999996</v>
      </c>
      <c r="T261" s="18">
        <f t="shared" si="46"/>
        <v>64.6899999999996</v>
      </c>
      <c r="U261" s="18">
        <f t="shared" si="54"/>
        <v>75.586416691780357</v>
      </c>
      <c r="V261" s="33">
        <f ca="1">AVERAGE(E261:OFFSET(E261,-V$5+1,0))</f>
        <v>6659.1207142857156</v>
      </c>
      <c r="W261" s="33">
        <f t="shared" ca="1" si="47"/>
        <v>6772.5003393233865</v>
      </c>
      <c r="X261" s="33">
        <f t="shared" ca="1" si="48"/>
        <v>6545.7410892480448</v>
      </c>
      <c r="Y261" s="32">
        <f t="shared" ca="1" si="55"/>
        <v>0</v>
      </c>
    </row>
    <row r="262" spans="1:25">
      <c r="A262" s="5">
        <v>38735</v>
      </c>
      <c r="B262" s="4">
        <v>6620.77</v>
      </c>
      <c r="C262" s="4">
        <v>6629.44</v>
      </c>
      <c r="D262" s="4">
        <v>6467.73</v>
      </c>
      <c r="E262" s="4">
        <v>6498.92</v>
      </c>
      <c r="F262" s="4">
        <v>4589800</v>
      </c>
      <c r="G262" s="8">
        <f t="shared" si="57"/>
        <v>-90.269999999999527</v>
      </c>
      <c r="H262" s="8">
        <f t="shared" si="56"/>
        <v>-121.85000000000036</v>
      </c>
      <c r="I262" s="20">
        <f t="shared" ca="1" si="49"/>
        <v>-1</v>
      </c>
      <c r="J262" s="8">
        <f t="shared" ca="1" si="50"/>
        <v>3</v>
      </c>
      <c r="K262" s="8">
        <f t="shared" ca="1" si="51"/>
        <v>-636.35999999999967</v>
      </c>
      <c r="L262" s="8">
        <f t="shared" ca="1" si="52"/>
        <v>723.8100000000004</v>
      </c>
      <c r="M262" s="9">
        <f ca="1">AVERAGE(E262:OFFSET(E262,-M$5+1,0))</f>
        <v>6693.2470000000003</v>
      </c>
      <c r="N262" s="9">
        <f ca="1">AVERAGE(E262:OFFSET(E262,-N$5+1,0))</f>
        <v>6612.3599999999988</v>
      </c>
      <c r="O262" s="9">
        <f t="shared" ca="1" si="53"/>
        <v>0</v>
      </c>
      <c r="P262" s="14">
        <f t="shared" si="58"/>
        <v>-3.2117922271563391</v>
      </c>
      <c r="Q262" s="15">
        <f ca="1">STDEV(P262:OFFSET(P262,-$Q$5+1,0))</f>
        <v>1.2396296859114639</v>
      </c>
      <c r="R262" s="15">
        <f ca="1">STDEV(P262:OFFSET(P262,-$R$5+1,0))</f>
        <v>0.97919869043783414</v>
      </c>
      <c r="S262" s="18">
        <f t="shared" si="45"/>
        <v>161.71000000000004</v>
      </c>
      <c r="T262" s="18">
        <f t="shared" si="46"/>
        <v>243.3100000000004</v>
      </c>
      <c r="U262" s="18">
        <f t="shared" si="54"/>
        <v>97.949561132876369</v>
      </c>
      <c r="V262" s="33">
        <f ca="1">AVERAGE(E262:OFFSET(E262,-V$5+1,0))</f>
        <v>6653.6485714285709</v>
      </c>
      <c r="W262" s="33">
        <f t="shared" ca="1" si="47"/>
        <v>6800.5729131278858</v>
      </c>
      <c r="X262" s="33">
        <f t="shared" ca="1" si="48"/>
        <v>6506.724229729256</v>
      </c>
      <c r="Y262" s="32">
        <f t="shared" ca="1" si="55"/>
        <v>-1</v>
      </c>
    </row>
    <row r="263" spans="1:25">
      <c r="A263" s="5">
        <v>38736</v>
      </c>
      <c r="B263" s="4">
        <v>6514.71</v>
      </c>
      <c r="C263" s="4">
        <v>6545.89</v>
      </c>
      <c r="D263" s="4">
        <v>6442.78</v>
      </c>
      <c r="E263" s="4">
        <v>6512.29</v>
      </c>
      <c r="F263" s="4">
        <v>3896800</v>
      </c>
      <c r="G263" s="8">
        <f t="shared" si="57"/>
        <v>15.789999999999964</v>
      </c>
      <c r="H263" s="8">
        <f t="shared" si="56"/>
        <v>-2.4200000000000728</v>
      </c>
      <c r="I263" s="20">
        <f t="shared" ca="1" si="49"/>
        <v>0</v>
      </c>
      <c r="J263" s="8">
        <f t="shared" ca="1" si="50"/>
        <v>2</v>
      </c>
      <c r="K263" s="8">
        <f t="shared" ca="1" si="51"/>
        <v>42.529999999999745</v>
      </c>
      <c r="L263" s="8">
        <f t="shared" ca="1" si="52"/>
        <v>766.34000000000015</v>
      </c>
      <c r="M263" s="9">
        <f ca="1">AVERAGE(E263:OFFSET(E263,-M$5+1,0))</f>
        <v>6673.4889999999996</v>
      </c>
      <c r="N263" s="9">
        <f ca="1">AVERAGE(E263:OFFSET(E263,-N$5+1,0))</f>
        <v>6617.1145000000006</v>
      </c>
      <c r="O263" s="9">
        <f t="shared" ca="1" si="53"/>
        <v>0</v>
      </c>
      <c r="P263" s="14">
        <f t="shared" si="58"/>
        <v>0.20551516278420473</v>
      </c>
      <c r="Q263" s="15">
        <f ca="1">STDEV(P263:OFFSET(P263,-$Q$5+1,0))</f>
        <v>1.1222020033356144</v>
      </c>
      <c r="R263" s="15">
        <f ca="1">STDEV(P263:OFFSET(P263,-$R$5+1,0))</f>
        <v>0.97768515795006938</v>
      </c>
      <c r="S263" s="18">
        <f t="shared" si="45"/>
        <v>103.11000000000058</v>
      </c>
      <c r="T263" s="18">
        <f t="shared" si="46"/>
        <v>103.11000000000058</v>
      </c>
      <c r="U263" s="18">
        <f t="shared" si="54"/>
        <v>98.63761964849293</v>
      </c>
      <c r="V263" s="33">
        <f ca="1">AVERAGE(E263:OFFSET(E263,-V$5+1,0))</f>
        <v>6651.0735714285702</v>
      </c>
      <c r="W263" s="33">
        <f t="shared" ca="1" si="47"/>
        <v>6799.0300009013099</v>
      </c>
      <c r="X263" s="33">
        <f t="shared" ca="1" si="48"/>
        <v>6503.1171419558304</v>
      </c>
      <c r="Y263" s="32">
        <f t="shared" ca="1" si="55"/>
        <v>0</v>
      </c>
    </row>
    <row r="264" spans="1:25">
      <c r="A264" s="5">
        <v>38737</v>
      </c>
      <c r="B264" s="4">
        <v>6571.64</v>
      </c>
      <c r="C264" s="4">
        <v>6571.64</v>
      </c>
      <c r="D264" s="4">
        <v>6475.3</v>
      </c>
      <c r="E264" s="4">
        <v>6486.63</v>
      </c>
      <c r="F264" s="4">
        <v>2899800</v>
      </c>
      <c r="G264" s="8">
        <f t="shared" si="57"/>
        <v>59.350000000000364</v>
      </c>
      <c r="H264" s="8">
        <f t="shared" si="56"/>
        <v>-85.010000000000218</v>
      </c>
      <c r="I264" s="20">
        <f t="shared" ca="1" si="49"/>
        <v>-1</v>
      </c>
      <c r="J264" s="8">
        <f t="shared" ca="1" si="50"/>
        <v>2</v>
      </c>
      <c r="K264" s="8">
        <f t="shared" ca="1" si="51"/>
        <v>-51.319999999999709</v>
      </c>
      <c r="L264" s="8">
        <f t="shared" ca="1" si="52"/>
        <v>715.02000000000044</v>
      </c>
      <c r="M264" s="9">
        <f ca="1">AVERAGE(E264:OFFSET(E264,-M$5+1,0))</f>
        <v>6652.67</v>
      </c>
      <c r="N264" s="9">
        <f ca="1">AVERAGE(E264:OFFSET(E264,-N$5+1,0))</f>
        <v>6615.8144999999986</v>
      </c>
      <c r="O264" s="9">
        <f t="shared" ca="1" si="53"/>
        <v>0</v>
      </c>
      <c r="P264" s="14">
        <f t="shared" si="58"/>
        <v>-0.39480254251875363</v>
      </c>
      <c r="Q264" s="15">
        <f ca="1">STDEV(P264:OFFSET(P264,-$Q$5+1,0))</f>
        <v>1.1222404131859385</v>
      </c>
      <c r="R264" s="15">
        <f ca="1">STDEV(P264:OFFSET(P264,-$R$5+1,0))</f>
        <v>0.98139867455051388</v>
      </c>
      <c r="S264" s="18">
        <f t="shared" si="45"/>
        <v>96.340000000000146</v>
      </c>
      <c r="T264" s="18">
        <f t="shared" si="46"/>
        <v>96.340000000000146</v>
      </c>
      <c r="U264" s="18">
        <f t="shared" si="54"/>
        <v>98.331270362027226</v>
      </c>
      <c r="V264" s="33">
        <f ca="1">AVERAGE(E264:OFFSET(E264,-V$5+1,0))</f>
        <v>6652.8285714285712</v>
      </c>
      <c r="W264" s="33">
        <f t="shared" ca="1" si="47"/>
        <v>6800.3254769716123</v>
      </c>
      <c r="X264" s="33">
        <f t="shared" ca="1" si="48"/>
        <v>6505.3316658855301</v>
      </c>
      <c r="Y264" s="32">
        <f t="shared" ca="1" si="55"/>
        <v>-1</v>
      </c>
    </row>
    <row r="265" spans="1:25">
      <c r="A265" s="5">
        <v>38740</v>
      </c>
      <c r="B265" s="4">
        <v>6385.88</v>
      </c>
      <c r="C265" s="4">
        <v>6417.72</v>
      </c>
      <c r="D265" s="4">
        <v>6373.63</v>
      </c>
      <c r="E265" s="4">
        <v>6381.97</v>
      </c>
      <c r="F265" s="4">
        <v>2766800</v>
      </c>
      <c r="G265" s="8">
        <f t="shared" si="57"/>
        <v>-100.75</v>
      </c>
      <c r="H265" s="8">
        <f t="shared" si="56"/>
        <v>-3.9099999999998545</v>
      </c>
      <c r="I265" s="20">
        <f t="shared" ca="1" si="49"/>
        <v>0</v>
      </c>
      <c r="J265" s="8">
        <f t="shared" ca="1" si="50"/>
        <v>1</v>
      </c>
      <c r="K265" s="8">
        <f t="shared" ca="1" si="51"/>
        <v>-205.40999999999985</v>
      </c>
      <c r="L265" s="8">
        <f t="shared" ca="1" si="52"/>
        <v>509.61000000000058</v>
      </c>
      <c r="M265" s="9">
        <f ca="1">AVERAGE(E265:OFFSET(E265,-M$5+1,0))</f>
        <v>6616.6279999999997</v>
      </c>
      <c r="N265" s="9">
        <f ca="1">AVERAGE(E265:OFFSET(E265,-N$5+1,0))</f>
        <v>6608.1744999999992</v>
      </c>
      <c r="O265" s="9">
        <f t="shared" ca="1" si="53"/>
        <v>0</v>
      </c>
      <c r="P265" s="14">
        <f t="shared" si="58"/>
        <v>-1.6266308328786498</v>
      </c>
      <c r="Q265" s="15">
        <f ca="1">STDEV(P265:OFFSET(P265,-$Q$5+1,0))</f>
        <v>1.1283847124687523</v>
      </c>
      <c r="R265" s="15">
        <f ca="1">STDEV(P265:OFFSET(P265,-$R$5+1,0))</f>
        <v>1.0039798413961234</v>
      </c>
      <c r="S265" s="18">
        <f t="shared" si="45"/>
        <v>44.090000000000146</v>
      </c>
      <c r="T265" s="18">
        <f t="shared" si="46"/>
        <v>113</v>
      </c>
      <c r="U265" s="18">
        <f t="shared" si="54"/>
        <v>100.28710098042359</v>
      </c>
      <c r="V265" s="33">
        <f ca="1">AVERAGE(E265:OFFSET(E265,-V$5+1,0))</f>
        <v>6637.8428571428567</v>
      </c>
      <c r="W265" s="33">
        <f t="shared" ca="1" si="47"/>
        <v>6788.2735086134917</v>
      </c>
      <c r="X265" s="33">
        <f t="shared" ca="1" si="48"/>
        <v>6487.4122056722217</v>
      </c>
      <c r="Y265" s="32">
        <f t="shared" ca="1" si="55"/>
        <v>0</v>
      </c>
    </row>
    <row r="266" spans="1:25">
      <c r="A266" s="5">
        <v>38741</v>
      </c>
      <c r="B266" s="4">
        <v>6418.58</v>
      </c>
      <c r="C266" s="4">
        <v>6478.5</v>
      </c>
      <c r="D266" s="4">
        <v>6418.58</v>
      </c>
      <c r="E266" s="4">
        <v>6451.94</v>
      </c>
      <c r="F266" s="4">
        <v>2627600</v>
      </c>
      <c r="G266" s="8">
        <f t="shared" si="57"/>
        <v>36.609999999999673</v>
      </c>
      <c r="H266" s="8">
        <f t="shared" si="56"/>
        <v>33.359999999999673</v>
      </c>
      <c r="I266" s="20">
        <f t="shared" ca="1" si="49"/>
        <v>0</v>
      </c>
      <c r="J266" s="8">
        <f t="shared" ca="1" si="50"/>
        <v>1</v>
      </c>
      <c r="K266" s="8">
        <f t="shared" ca="1" si="51"/>
        <v>69.969999999999345</v>
      </c>
      <c r="L266" s="8">
        <f t="shared" ca="1" si="52"/>
        <v>579.57999999999993</v>
      </c>
      <c r="M266" s="9">
        <f ca="1">AVERAGE(E266:OFFSET(E266,-M$5+1,0))</f>
        <v>6591.0819999999994</v>
      </c>
      <c r="N266" s="9">
        <f ca="1">AVERAGE(E266:OFFSET(E266,-N$5+1,0))</f>
        <v>6604.192</v>
      </c>
      <c r="O266" s="9">
        <f t="shared" ca="1" si="53"/>
        <v>-1</v>
      </c>
      <c r="P266" s="14">
        <f t="shared" si="58"/>
        <v>1.0904033653462546</v>
      </c>
      <c r="Q266" s="15">
        <f ca="1">STDEV(P266:OFFSET(P266,-$Q$5+1,0))</f>
        <v>1.2422140758957119</v>
      </c>
      <c r="R266" s="15">
        <f ca="1">STDEV(P266:OFFSET(P266,-$R$5+1,0))</f>
        <v>0.99997354695056995</v>
      </c>
      <c r="S266" s="18">
        <f t="shared" si="45"/>
        <v>59.920000000000073</v>
      </c>
      <c r="T266" s="18">
        <f t="shared" si="46"/>
        <v>96.529999999999745</v>
      </c>
      <c r="U266" s="18">
        <f t="shared" si="54"/>
        <v>99.786154183033744</v>
      </c>
      <c r="V266" s="33">
        <f ca="1">AVERAGE(E266:OFFSET(E266,-V$5+1,0))</f>
        <v>6626.0928571428576</v>
      </c>
      <c r="W266" s="33">
        <f t="shared" ca="1" si="47"/>
        <v>6775.7720884174087</v>
      </c>
      <c r="X266" s="33">
        <f t="shared" ca="1" si="48"/>
        <v>6476.4136258683066</v>
      </c>
      <c r="Y266" s="32">
        <f t="shared" ca="1" si="55"/>
        <v>0</v>
      </c>
    </row>
    <row r="267" spans="1:25">
      <c r="A267" s="5">
        <v>38742</v>
      </c>
      <c r="B267" s="4">
        <v>6500.63</v>
      </c>
      <c r="C267" s="4">
        <v>6536.89</v>
      </c>
      <c r="D267" s="4">
        <v>6477.34</v>
      </c>
      <c r="E267" s="4">
        <v>6532.18</v>
      </c>
      <c r="F267" s="4">
        <v>2747000</v>
      </c>
      <c r="G267" s="8">
        <f t="shared" si="57"/>
        <v>48.690000000000509</v>
      </c>
      <c r="H267" s="8">
        <f t="shared" si="56"/>
        <v>31.550000000000182</v>
      </c>
      <c r="I267" s="20">
        <f t="shared" ca="1" si="49"/>
        <v>0</v>
      </c>
      <c r="J267" s="8">
        <f t="shared" ca="1" si="50"/>
        <v>1</v>
      </c>
      <c r="K267" s="8">
        <f t="shared" ca="1" si="51"/>
        <v>80.240000000000691</v>
      </c>
      <c r="L267" s="8">
        <f t="shared" ca="1" si="52"/>
        <v>659.82000000000062</v>
      </c>
      <c r="M267" s="9">
        <f ca="1">AVERAGE(E267:OFFSET(E267,-M$5+1,0))</f>
        <v>6570.7110000000002</v>
      </c>
      <c r="N267" s="9">
        <f ca="1">AVERAGE(E267:OFFSET(E267,-N$5+1,0))</f>
        <v>6604.581000000001</v>
      </c>
      <c r="O267" s="9">
        <f t="shared" ca="1" si="53"/>
        <v>0</v>
      </c>
      <c r="P267" s="14">
        <f t="shared" si="58"/>
        <v>1.2359870595065572</v>
      </c>
      <c r="Q267" s="15">
        <f ca="1">STDEV(P267:OFFSET(P267,-$Q$5+1,0))</f>
        <v>1.3250001053412095</v>
      </c>
      <c r="R267" s="15">
        <f ca="1">STDEV(P267:OFFSET(P267,-$R$5+1,0))</f>
        <v>1.0051274759249929</v>
      </c>
      <c r="S267" s="18">
        <f t="shared" si="45"/>
        <v>59.550000000000182</v>
      </c>
      <c r="T267" s="18">
        <f t="shared" si="46"/>
        <v>84.950000000000728</v>
      </c>
      <c r="U267" s="18">
        <f t="shared" si="54"/>
        <v>97.808000291962685</v>
      </c>
      <c r="V267" s="33">
        <f ca="1">AVERAGE(E267:OFFSET(E267,-V$5+1,0))</f>
        <v>6613.4007142857154</v>
      </c>
      <c r="W267" s="33">
        <f t="shared" ca="1" si="47"/>
        <v>6760.1127147236593</v>
      </c>
      <c r="X267" s="33">
        <f t="shared" ca="1" si="48"/>
        <v>6466.6887138477714</v>
      </c>
      <c r="Y267" s="32">
        <f t="shared" ca="1" si="55"/>
        <v>0</v>
      </c>
    </row>
    <row r="268" spans="1:25">
      <c r="A268" s="5">
        <v>38751</v>
      </c>
      <c r="B268" s="4">
        <v>6592.19</v>
      </c>
      <c r="C268" s="4">
        <v>6626.43</v>
      </c>
      <c r="D268" s="4">
        <v>6547.17</v>
      </c>
      <c r="E268" s="4">
        <v>6594.6</v>
      </c>
      <c r="F268" s="4">
        <v>3590600</v>
      </c>
      <c r="G268" s="8">
        <f t="shared" si="57"/>
        <v>60.009999999999309</v>
      </c>
      <c r="H268" s="8">
        <f t="shared" si="56"/>
        <v>2.410000000000764</v>
      </c>
      <c r="I268" s="20">
        <f t="shared" ca="1" si="49"/>
        <v>0</v>
      </c>
      <c r="J268" s="8">
        <f t="shared" ca="1" si="50"/>
        <v>1</v>
      </c>
      <c r="K268" s="8">
        <f t="shared" ca="1" si="51"/>
        <v>62.420000000000073</v>
      </c>
      <c r="L268" s="8">
        <f t="shared" ca="1" si="52"/>
        <v>722.24000000000069</v>
      </c>
      <c r="M268" s="9">
        <f ca="1">AVERAGE(E268:OFFSET(E268,-M$5+1,0))</f>
        <v>6557.6100000000006</v>
      </c>
      <c r="N268" s="9">
        <f ca="1">AVERAGE(E268:OFFSET(E268,-N$5+1,0))</f>
        <v>6605.5344999999998</v>
      </c>
      <c r="O268" s="9">
        <f t="shared" ca="1" si="53"/>
        <v>0</v>
      </c>
      <c r="P268" s="14">
        <f t="shared" si="58"/>
        <v>0.95104009480182039</v>
      </c>
      <c r="Q268" s="15">
        <f ca="1">STDEV(P268:OFFSET(P268,-$Q$5+1,0))</f>
        <v>1.383950300761642</v>
      </c>
      <c r="R268" s="15">
        <f ca="1">STDEV(P268:OFFSET(P268,-$R$5+1,0))</f>
        <v>1.0098361873709216</v>
      </c>
      <c r="S268" s="18">
        <f t="shared" si="45"/>
        <v>79.260000000000218</v>
      </c>
      <c r="T268" s="18">
        <f t="shared" si="46"/>
        <v>94.25</v>
      </c>
      <c r="U268" s="18">
        <f t="shared" si="54"/>
        <v>97.333600253034319</v>
      </c>
      <c r="V268" s="33">
        <f ca="1">AVERAGE(E268:OFFSET(E268,-V$5+1,0))</f>
        <v>6606.2421428571442</v>
      </c>
      <c r="W268" s="33">
        <f t="shared" ca="1" si="47"/>
        <v>6752.2425432366954</v>
      </c>
      <c r="X268" s="33">
        <f t="shared" ca="1" si="48"/>
        <v>6460.2417424775931</v>
      </c>
      <c r="Y268" s="32">
        <f t="shared" ca="1" si="55"/>
        <v>0</v>
      </c>
    </row>
    <row r="269" spans="1:25">
      <c r="A269" s="5">
        <v>38754</v>
      </c>
      <c r="B269" s="4">
        <v>6568.35</v>
      </c>
      <c r="C269" s="4">
        <v>6719.96</v>
      </c>
      <c r="D269" s="4">
        <v>6530.8</v>
      </c>
      <c r="E269" s="4">
        <v>6719.96</v>
      </c>
      <c r="F269" s="4">
        <v>3912000</v>
      </c>
      <c r="G269" s="8">
        <f t="shared" si="57"/>
        <v>-26.25</v>
      </c>
      <c r="H269" s="8">
        <f t="shared" si="56"/>
        <v>151.60999999999967</v>
      </c>
      <c r="I269" s="20">
        <f t="shared" ca="1" si="49"/>
        <v>0</v>
      </c>
      <c r="J269" s="8">
        <f t="shared" ca="1" si="50"/>
        <v>1</v>
      </c>
      <c r="K269" s="8">
        <f t="shared" ca="1" si="51"/>
        <v>125.35999999999967</v>
      </c>
      <c r="L269" s="8">
        <f t="shared" ca="1" si="52"/>
        <v>847.60000000000036</v>
      </c>
      <c r="M269" s="9">
        <f ca="1">AVERAGE(E269:OFFSET(E269,-M$5+1,0))</f>
        <v>6561.371000000001</v>
      </c>
      <c r="N269" s="9">
        <f ca="1">AVERAGE(E269:OFFSET(E269,-N$5+1,0))</f>
        <v>6614.1154999999999</v>
      </c>
      <c r="O269" s="9">
        <f t="shared" ca="1" si="53"/>
        <v>0</v>
      </c>
      <c r="P269" s="14">
        <f t="shared" si="58"/>
        <v>1.8831069815617718</v>
      </c>
      <c r="Q269" s="15">
        <f ca="1">STDEV(P269:OFFSET(P269,-$Q$5+1,0))</f>
        <v>1.5174183378869024</v>
      </c>
      <c r="R269" s="15">
        <f ca="1">STDEV(P269:OFFSET(P269,-$R$5+1,0))</f>
        <v>1.0415203756317022</v>
      </c>
      <c r="S269" s="18">
        <f t="shared" si="45"/>
        <v>189.15999999999985</v>
      </c>
      <c r="T269" s="18">
        <f t="shared" si="46"/>
        <v>189.15999999999985</v>
      </c>
      <c r="U269" s="18">
        <f t="shared" si="54"/>
        <v>109.5771202192964</v>
      </c>
      <c r="V269" s="33">
        <f ca="1">AVERAGE(E269:OFFSET(E269,-V$5+1,0))</f>
        <v>6604.64</v>
      </c>
      <c r="W269" s="33">
        <f t="shared" ca="1" si="47"/>
        <v>6769.0056803289453</v>
      </c>
      <c r="X269" s="33">
        <f t="shared" ca="1" si="48"/>
        <v>6440.2743196710553</v>
      </c>
      <c r="Y269" s="32">
        <f t="shared" ca="1" si="55"/>
        <v>0</v>
      </c>
    </row>
    <row r="270" spans="1:25">
      <c r="A270" s="5">
        <v>38755</v>
      </c>
      <c r="B270" s="4">
        <v>6692.42</v>
      </c>
      <c r="C270" s="4">
        <v>6747.43</v>
      </c>
      <c r="D270" s="4">
        <v>6681.53</v>
      </c>
      <c r="E270" s="4">
        <v>6720.08</v>
      </c>
      <c r="F270" s="4">
        <v>4253800</v>
      </c>
      <c r="G270" s="8">
        <f t="shared" si="57"/>
        <v>-27.539999999999964</v>
      </c>
      <c r="H270" s="8">
        <f t="shared" si="56"/>
        <v>27.659999999999854</v>
      </c>
      <c r="I270" s="20">
        <f t="shared" ca="1" si="49"/>
        <v>0</v>
      </c>
      <c r="J270" s="8">
        <f t="shared" ca="1" si="50"/>
        <v>1</v>
      </c>
      <c r="K270" s="8">
        <f t="shared" ca="1" si="51"/>
        <v>0.11999999999989086</v>
      </c>
      <c r="L270" s="8">
        <f t="shared" ca="1" si="52"/>
        <v>847.72000000000025</v>
      </c>
      <c r="M270" s="9">
        <f ca="1">AVERAGE(E270:OFFSET(E270,-M$5+1,0))</f>
        <v>6560.9610000000002</v>
      </c>
      <c r="N270" s="9">
        <f ca="1">AVERAGE(E270:OFFSET(E270,-N$5+1,0))</f>
        <v>6627.0165000000006</v>
      </c>
      <c r="O270" s="9">
        <f t="shared" ca="1" si="53"/>
        <v>0</v>
      </c>
      <c r="P270" s="14">
        <f t="shared" si="58"/>
        <v>1.7857089711490466E-3</v>
      </c>
      <c r="Q270" s="15">
        <f ca="1">STDEV(P270:OFFSET(P270,-$Q$5+1,0))</f>
        <v>1.5042439227858613</v>
      </c>
      <c r="R270" s="15">
        <f ca="1">STDEV(P270:OFFSET(P270,-$R$5+1,0))</f>
        <v>1.0042550697983119</v>
      </c>
      <c r="S270" s="18">
        <f t="shared" si="45"/>
        <v>65.900000000000546</v>
      </c>
      <c r="T270" s="18">
        <f t="shared" si="46"/>
        <v>65.900000000000546</v>
      </c>
      <c r="U270" s="18">
        <f t="shared" si="54"/>
        <v>103.75350419005696</v>
      </c>
      <c r="V270" s="33">
        <f ca="1">AVERAGE(E270:OFFSET(E270,-V$5+1,0))</f>
        <v>6605.5457142857149</v>
      </c>
      <c r="W270" s="33">
        <f t="shared" ca="1" si="47"/>
        <v>6761.1759705708</v>
      </c>
      <c r="X270" s="33">
        <f t="shared" ca="1" si="48"/>
        <v>6449.9154580006298</v>
      </c>
      <c r="Y270" s="32">
        <f t="shared" ca="1" si="55"/>
        <v>0</v>
      </c>
    </row>
    <row r="271" spans="1:25">
      <c r="A271" s="5">
        <v>38756</v>
      </c>
      <c r="B271" s="4">
        <v>6712.87</v>
      </c>
      <c r="C271" s="4">
        <v>6715.18</v>
      </c>
      <c r="D271" s="4">
        <v>6623.23</v>
      </c>
      <c r="E271" s="4">
        <v>6624.11</v>
      </c>
      <c r="F271" s="4">
        <v>3086600</v>
      </c>
      <c r="G271" s="8">
        <f t="shared" si="57"/>
        <v>-7.2100000000000364</v>
      </c>
      <c r="H271" s="8">
        <f t="shared" si="56"/>
        <v>-88.760000000000218</v>
      </c>
      <c r="I271" s="20">
        <f t="shared" ca="1" si="49"/>
        <v>0</v>
      </c>
      <c r="J271" s="8">
        <f t="shared" ca="1" si="50"/>
        <v>1</v>
      </c>
      <c r="K271" s="8">
        <f t="shared" ca="1" si="51"/>
        <v>-95.970000000000255</v>
      </c>
      <c r="L271" s="8">
        <f t="shared" ca="1" si="52"/>
        <v>751.75</v>
      </c>
      <c r="M271" s="9">
        <f ca="1">AVERAGE(E271:OFFSET(E271,-M$5+1,0))</f>
        <v>6552.268</v>
      </c>
      <c r="N271" s="9">
        <f ca="1">AVERAGE(E271:OFFSET(E271,-N$5+1,0))</f>
        <v>6628.633499999999</v>
      </c>
      <c r="O271" s="9">
        <f t="shared" ca="1" si="53"/>
        <v>0</v>
      </c>
      <c r="P271" s="14">
        <f t="shared" si="58"/>
        <v>-1.4384036000832758</v>
      </c>
      <c r="Q271" s="15">
        <f ca="1">STDEV(P271:OFFSET(P271,-$Q$5+1,0))</f>
        <v>1.5714775932823872</v>
      </c>
      <c r="R271" s="15">
        <f ca="1">STDEV(P271:OFFSET(P271,-$R$5+1,0))</f>
        <v>1.0348460641976254</v>
      </c>
      <c r="S271" s="18">
        <f t="shared" si="45"/>
        <v>91.950000000000728</v>
      </c>
      <c r="T271" s="18">
        <f t="shared" si="46"/>
        <v>96.850000000000364</v>
      </c>
      <c r="U271" s="18">
        <f t="shared" si="54"/>
        <v>102.83303696471609</v>
      </c>
      <c r="V271" s="33">
        <f ca="1">AVERAGE(E271:OFFSET(E271,-V$5+1,0))</f>
        <v>6597.56142857143</v>
      </c>
      <c r="W271" s="33">
        <f t="shared" ca="1" si="47"/>
        <v>6751.8109840185043</v>
      </c>
      <c r="X271" s="33">
        <f t="shared" ca="1" si="48"/>
        <v>6443.3118731243558</v>
      </c>
      <c r="Y271" s="32">
        <f t="shared" ca="1" si="55"/>
        <v>0</v>
      </c>
    </row>
    <row r="272" spans="1:25">
      <c r="A272" s="5">
        <v>38757</v>
      </c>
      <c r="B272" s="4">
        <v>6696.65</v>
      </c>
      <c r="C272" s="4">
        <v>6700.86</v>
      </c>
      <c r="D272" s="4">
        <v>6620.32</v>
      </c>
      <c r="E272" s="4">
        <v>6630.13</v>
      </c>
      <c r="F272" s="4">
        <v>3543800</v>
      </c>
      <c r="G272" s="8">
        <f t="shared" si="57"/>
        <v>72.539999999999964</v>
      </c>
      <c r="H272" s="8">
        <f t="shared" si="56"/>
        <v>-66.519999999999527</v>
      </c>
      <c r="I272" s="20">
        <f t="shared" ca="1" si="49"/>
        <v>0</v>
      </c>
      <c r="J272" s="8">
        <f t="shared" ca="1" si="50"/>
        <v>1</v>
      </c>
      <c r="K272" s="8">
        <f t="shared" ca="1" si="51"/>
        <v>6.0200000000004366</v>
      </c>
      <c r="L272" s="8">
        <f t="shared" ca="1" si="52"/>
        <v>757.77000000000044</v>
      </c>
      <c r="M272" s="9">
        <f ca="1">AVERAGE(E272:OFFSET(E272,-M$5+1,0))</f>
        <v>6565.3890000000001</v>
      </c>
      <c r="N272" s="9">
        <f ca="1">AVERAGE(E272:OFFSET(E272,-N$5+1,0))</f>
        <v>6629.3180000000011</v>
      </c>
      <c r="O272" s="9">
        <f t="shared" ca="1" si="53"/>
        <v>0</v>
      </c>
      <c r="P272" s="14">
        <f t="shared" si="58"/>
        <v>9.0838862340806931E-2</v>
      </c>
      <c r="Q272" s="15">
        <f ca="1">STDEV(P272:OFFSET(P272,-$Q$5+1,0))</f>
        <v>1.1396378390868243</v>
      </c>
      <c r="R272" s="15">
        <f ca="1">STDEV(P272:OFFSET(P272,-$R$5+1,0))</f>
        <v>1.0324283179094114</v>
      </c>
      <c r="S272" s="18">
        <f t="shared" si="45"/>
        <v>80.539999999999964</v>
      </c>
      <c r="T272" s="18">
        <f t="shared" si="46"/>
        <v>80.539999999999964</v>
      </c>
      <c r="U272" s="18">
        <f t="shared" si="54"/>
        <v>99.860632036087267</v>
      </c>
      <c r="V272" s="33">
        <f ca="1">AVERAGE(E272:OFFSET(E272,-V$5+1,0))</f>
        <v>6590.7414285714303</v>
      </c>
      <c r="W272" s="33">
        <f t="shared" ca="1" si="47"/>
        <v>6740.5323766255615</v>
      </c>
      <c r="X272" s="33">
        <f t="shared" ca="1" si="48"/>
        <v>6440.9504805172992</v>
      </c>
      <c r="Y272" s="32">
        <f t="shared" ca="1" si="55"/>
        <v>0</v>
      </c>
    </row>
    <row r="273" spans="1:25">
      <c r="A273" s="5">
        <v>38758</v>
      </c>
      <c r="B273" s="4">
        <v>6652.33</v>
      </c>
      <c r="C273" s="4">
        <v>6652.33</v>
      </c>
      <c r="D273" s="4">
        <v>6574.01</v>
      </c>
      <c r="E273" s="4">
        <v>6594.92</v>
      </c>
      <c r="F273" s="4">
        <v>3459400</v>
      </c>
      <c r="G273" s="8">
        <f t="shared" si="57"/>
        <v>22.199999999999818</v>
      </c>
      <c r="H273" s="8">
        <f t="shared" si="56"/>
        <v>-57.409999999999854</v>
      </c>
      <c r="I273" s="20">
        <f t="shared" ca="1" si="49"/>
        <v>0</v>
      </c>
      <c r="J273" s="8">
        <f t="shared" ca="1" si="50"/>
        <v>1</v>
      </c>
      <c r="K273" s="8">
        <f t="shared" ca="1" si="51"/>
        <v>-35.210000000000036</v>
      </c>
      <c r="L273" s="8">
        <f t="shared" ca="1" si="52"/>
        <v>722.5600000000004</v>
      </c>
      <c r="M273" s="9">
        <f ca="1">AVERAGE(E273:OFFSET(E273,-M$5+1,0))</f>
        <v>6573.652</v>
      </c>
      <c r="N273" s="9">
        <f ca="1">AVERAGE(E273:OFFSET(E273,-N$5+1,0))</f>
        <v>6623.5705000000016</v>
      </c>
      <c r="O273" s="9">
        <f t="shared" ca="1" si="53"/>
        <v>0</v>
      </c>
      <c r="P273" s="14">
        <f t="shared" si="58"/>
        <v>-0.5324756154792698</v>
      </c>
      <c r="Q273" s="15">
        <f ca="1">STDEV(P273:OFFSET(P273,-$Q$5+1,0))</f>
        <v>1.162890342320831</v>
      </c>
      <c r="R273" s="15">
        <f ca="1">STDEV(P273:OFFSET(P273,-$R$5+1,0))</f>
        <v>1.0131939234525162</v>
      </c>
      <c r="S273" s="18">
        <f t="shared" si="45"/>
        <v>78.319999999999709</v>
      </c>
      <c r="T273" s="18">
        <f t="shared" si="46"/>
        <v>78.319999999999709</v>
      </c>
      <c r="U273" s="18">
        <f t="shared" si="54"/>
        <v>96.988547764608924</v>
      </c>
      <c r="V273" s="33">
        <f ca="1">AVERAGE(E273:OFFSET(E273,-V$5+1,0))</f>
        <v>6584.4964285714295</v>
      </c>
      <c r="W273" s="33">
        <f t="shared" ca="1" si="47"/>
        <v>6729.9792502183427</v>
      </c>
      <c r="X273" s="33">
        <f t="shared" ca="1" si="48"/>
        <v>6439.0136069245164</v>
      </c>
      <c r="Y273" s="32">
        <f t="shared" ca="1" si="55"/>
        <v>0</v>
      </c>
    </row>
    <row r="274" spans="1:25">
      <c r="A274" s="5">
        <v>38761</v>
      </c>
      <c r="B274" s="4">
        <v>6591.99</v>
      </c>
      <c r="C274" s="4">
        <v>6623.55</v>
      </c>
      <c r="D274" s="4">
        <v>6557.76</v>
      </c>
      <c r="E274" s="4">
        <v>6562.29</v>
      </c>
      <c r="F274" s="4">
        <v>2955000</v>
      </c>
      <c r="G274" s="8">
        <f t="shared" si="57"/>
        <v>-2.930000000000291</v>
      </c>
      <c r="H274" s="8">
        <f t="shared" si="56"/>
        <v>-29.699999999999818</v>
      </c>
      <c r="I274" s="20">
        <f t="shared" ca="1" si="49"/>
        <v>0</v>
      </c>
      <c r="J274" s="8">
        <f t="shared" ca="1" si="50"/>
        <v>1</v>
      </c>
      <c r="K274" s="8">
        <f t="shared" ca="1" si="51"/>
        <v>-32.630000000000109</v>
      </c>
      <c r="L274" s="8">
        <f t="shared" ca="1" si="52"/>
        <v>689.93000000000029</v>
      </c>
      <c r="M274" s="9">
        <f ca="1">AVERAGE(E274:OFFSET(E274,-M$5+1,0))</f>
        <v>6581.2179999999989</v>
      </c>
      <c r="N274" s="9">
        <f ca="1">AVERAGE(E274:OFFSET(E274,-N$5+1,0))</f>
        <v>6616.9440000000013</v>
      </c>
      <c r="O274" s="9">
        <f t="shared" ca="1" si="53"/>
        <v>0</v>
      </c>
      <c r="P274" s="14">
        <f t="shared" si="58"/>
        <v>-0.49600282881532198</v>
      </c>
      <c r="Q274" s="15">
        <f ca="1">STDEV(P274:OFFSET(P274,-$Q$5+1,0))</f>
        <v>1.1683545318518469</v>
      </c>
      <c r="R274" s="15">
        <f ca="1">STDEV(P274:OFFSET(P274,-$R$5+1,0))</f>
        <v>1.0178954858350755</v>
      </c>
      <c r="S274" s="18">
        <f t="shared" si="45"/>
        <v>65.789999999999964</v>
      </c>
      <c r="T274" s="18">
        <f t="shared" si="46"/>
        <v>65.789999999999964</v>
      </c>
      <c r="U274" s="18">
        <f t="shared" si="54"/>
        <v>92.828741395994399</v>
      </c>
      <c r="V274" s="33">
        <f ca="1">AVERAGE(E274:OFFSET(E274,-V$5+1,0))</f>
        <v>6572.9328571428568</v>
      </c>
      <c r="W274" s="33">
        <f t="shared" ca="1" si="47"/>
        <v>6712.1759692368487</v>
      </c>
      <c r="X274" s="33">
        <f t="shared" ca="1" si="48"/>
        <v>6433.689745048865</v>
      </c>
      <c r="Y274" s="32">
        <f t="shared" ca="1" si="55"/>
        <v>0</v>
      </c>
    </row>
    <row r="275" spans="1:25">
      <c r="A275" s="5">
        <v>38762</v>
      </c>
      <c r="B275" s="4">
        <v>6553.28</v>
      </c>
      <c r="C275" s="4">
        <v>6613.86</v>
      </c>
      <c r="D275" s="4">
        <v>6540.71</v>
      </c>
      <c r="E275" s="4">
        <v>6612.97</v>
      </c>
      <c r="F275" s="4">
        <v>2798200</v>
      </c>
      <c r="G275" s="8">
        <f t="shared" si="57"/>
        <v>-9.0100000000002183</v>
      </c>
      <c r="H275" s="8">
        <f t="shared" si="56"/>
        <v>59.690000000000509</v>
      </c>
      <c r="I275" s="20">
        <f t="shared" ca="1" si="49"/>
        <v>0</v>
      </c>
      <c r="J275" s="8">
        <f t="shared" ca="1" si="50"/>
        <v>1</v>
      </c>
      <c r="K275" s="8">
        <f t="shared" ca="1" si="51"/>
        <v>50.680000000000291</v>
      </c>
      <c r="L275" s="8">
        <f t="shared" ca="1" si="52"/>
        <v>740.61000000000058</v>
      </c>
      <c r="M275" s="9">
        <f ca="1">AVERAGE(E275:OFFSET(E275,-M$5+1,0))</f>
        <v>6604.3179999999993</v>
      </c>
      <c r="N275" s="9">
        <f ca="1">AVERAGE(E275:OFFSET(E275,-N$5+1,0))</f>
        <v>6610.473</v>
      </c>
      <c r="O275" s="9">
        <f t="shared" ca="1" si="53"/>
        <v>0</v>
      </c>
      <c r="P275" s="14">
        <f t="shared" si="58"/>
        <v>0.76932447575264562</v>
      </c>
      <c r="Q275" s="15">
        <f ca="1">STDEV(P275:OFFSET(P275,-$Q$5+1,0))</f>
        <v>1.0056313317293195</v>
      </c>
      <c r="R275" s="15">
        <f ca="1">STDEV(P275:OFFSET(P275,-$R$5+1,0))</f>
        <v>1.0229926374032947</v>
      </c>
      <c r="S275" s="18">
        <f t="shared" si="45"/>
        <v>73.149999999999636</v>
      </c>
      <c r="T275" s="18">
        <f t="shared" si="46"/>
        <v>73.149999999999636</v>
      </c>
      <c r="U275" s="18">
        <f t="shared" si="54"/>
        <v>90.204909209861768</v>
      </c>
      <c r="V275" s="33">
        <f ca="1">AVERAGE(E275:OFFSET(E275,-V$5+1,0))</f>
        <v>6565.9278571428567</v>
      </c>
      <c r="W275" s="33">
        <f t="shared" ca="1" si="47"/>
        <v>6701.2352209576493</v>
      </c>
      <c r="X275" s="33">
        <f t="shared" ca="1" si="48"/>
        <v>6430.6204933280642</v>
      </c>
      <c r="Y275" s="32">
        <f t="shared" ca="1" si="55"/>
        <v>0</v>
      </c>
    </row>
    <row r="276" spans="1:25">
      <c r="A276" s="5">
        <v>38763</v>
      </c>
      <c r="B276" s="4">
        <v>6628.98</v>
      </c>
      <c r="C276" s="4">
        <v>6659.52</v>
      </c>
      <c r="D276" s="4">
        <v>6592.94</v>
      </c>
      <c r="E276" s="4">
        <v>6598.49</v>
      </c>
      <c r="F276" s="4">
        <v>3137400</v>
      </c>
      <c r="G276" s="8">
        <f t="shared" si="57"/>
        <v>16.009999999999309</v>
      </c>
      <c r="H276" s="8">
        <f t="shared" si="56"/>
        <v>-30.489999999999782</v>
      </c>
      <c r="I276" s="20">
        <f t="shared" ca="1" si="49"/>
        <v>0</v>
      </c>
      <c r="J276" s="8">
        <f t="shared" ca="1" si="50"/>
        <v>1</v>
      </c>
      <c r="K276" s="8">
        <f t="shared" ca="1" si="51"/>
        <v>-14.480000000000473</v>
      </c>
      <c r="L276" s="8">
        <f t="shared" ca="1" si="52"/>
        <v>726.13000000000011</v>
      </c>
      <c r="M276" s="9">
        <f ca="1">AVERAGE(E276:OFFSET(E276,-M$5+1,0))</f>
        <v>6618.973</v>
      </c>
      <c r="N276" s="9">
        <f ca="1">AVERAGE(E276:OFFSET(E276,-N$5+1,0))</f>
        <v>6605.0275000000011</v>
      </c>
      <c r="O276" s="9">
        <f t="shared" ca="1" si="53"/>
        <v>1</v>
      </c>
      <c r="P276" s="14">
        <f t="shared" si="58"/>
        <v>-0.2192037185604894</v>
      </c>
      <c r="Q276" s="15">
        <f ca="1">STDEV(P276:OFFSET(P276,-$Q$5+1,0))</f>
        <v>0.98434987270380936</v>
      </c>
      <c r="R276" s="15">
        <f ca="1">STDEV(P276:OFFSET(P276,-$R$5+1,0))</f>
        <v>1.0239693849945262</v>
      </c>
      <c r="S276" s="18">
        <f t="shared" si="45"/>
        <v>66.580000000000837</v>
      </c>
      <c r="T276" s="18">
        <f t="shared" si="46"/>
        <v>66.580000000000837</v>
      </c>
      <c r="U276" s="18">
        <f t="shared" si="54"/>
        <v>87.054921315213647</v>
      </c>
      <c r="V276" s="33">
        <f ca="1">AVERAGE(E276:OFFSET(E276,-V$5+1,0))</f>
        <v>6573.04</v>
      </c>
      <c r="W276" s="33">
        <f t="shared" ca="1" si="47"/>
        <v>6703.6223819728202</v>
      </c>
      <c r="X276" s="33">
        <f t="shared" ca="1" si="48"/>
        <v>6442.4576180271797</v>
      </c>
      <c r="Y276" s="32">
        <f t="shared" ca="1" si="55"/>
        <v>0</v>
      </c>
    </row>
    <row r="277" spans="1:25">
      <c r="A277" s="5">
        <v>38764</v>
      </c>
      <c r="B277" s="4">
        <v>6661.3</v>
      </c>
      <c r="C277" s="4">
        <v>6701.74</v>
      </c>
      <c r="D277" s="4">
        <v>6647.03</v>
      </c>
      <c r="E277" s="4">
        <v>6683.93</v>
      </c>
      <c r="F277" s="4">
        <v>3415400</v>
      </c>
      <c r="G277" s="8">
        <f t="shared" si="57"/>
        <v>62.8100000000004</v>
      </c>
      <c r="H277" s="8">
        <f t="shared" si="56"/>
        <v>22.630000000000109</v>
      </c>
      <c r="I277" s="20">
        <f t="shared" ca="1" si="49"/>
        <v>0</v>
      </c>
      <c r="J277" s="8">
        <f t="shared" ca="1" si="50"/>
        <v>1</v>
      </c>
      <c r="K277" s="8">
        <f t="shared" ca="1" si="51"/>
        <v>85.440000000000509</v>
      </c>
      <c r="L277" s="8">
        <f t="shared" ca="1" si="52"/>
        <v>811.57000000000062</v>
      </c>
      <c r="M277" s="9">
        <f ca="1">AVERAGE(E277:OFFSET(E277,-M$5+1,0))</f>
        <v>6634.1479999999992</v>
      </c>
      <c r="N277" s="9">
        <f ca="1">AVERAGE(E277:OFFSET(E277,-N$5+1,0))</f>
        <v>6602.4295000000011</v>
      </c>
      <c r="O277" s="9">
        <f t="shared" ca="1" si="53"/>
        <v>0</v>
      </c>
      <c r="P277" s="14">
        <f t="shared" si="58"/>
        <v>1.2865302929858875</v>
      </c>
      <c r="Q277" s="15">
        <f ca="1">STDEV(P277:OFFSET(P277,-$Q$5+1,0))</f>
        <v>0.99023222721222293</v>
      </c>
      <c r="R277" s="15">
        <f ca="1">STDEV(P277:OFFSET(P277,-$R$5+1,0))</f>
        <v>1.0359938326188254</v>
      </c>
      <c r="S277" s="18">
        <f t="shared" si="45"/>
        <v>54.710000000000036</v>
      </c>
      <c r="T277" s="18">
        <f t="shared" si="46"/>
        <v>103.25</v>
      </c>
      <c r="U277" s="18">
        <f t="shared" si="54"/>
        <v>89.214265139851832</v>
      </c>
      <c r="V277" s="33">
        <f ca="1">AVERAGE(E277:OFFSET(E277,-V$5+1,0))</f>
        <v>6585.3000000000011</v>
      </c>
      <c r="W277" s="33">
        <f t="shared" ca="1" si="47"/>
        <v>6719.1213977097786</v>
      </c>
      <c r="X277" s="33">
        <f t="shared" ca="1" si="48"/>
        <v>6451.4786022902235</v>
      </c>
      <c r="Y277" s="32">
        <f t="shared" ca="1" si="55"/>
        <v>0</v>
      </c>
    </row>
    <row r="278" spans="1:25">
      <c r="A278" s="5">
        <v>38765</v>
      </c>
      <c r="B278" s="4">
        <v>6723.66</v>
      </c>
      <c r="C278" s="4">
        <v>6726.73</v>
      </c>
      <c r="D278" s="4">
        <v>6665.63</v>
      </c>
      <c r="E278" s="4">
        <v>6673.75</v>
      </c>
      <c r="F278" s="4">
        <v>3267400</v>
      </c>
      <c r="G278" s="8">
        <f t="shared" si="57"/>
        <v>39.729999999999563</v>
      </c>
      <c r="H278" s="8">
        <f t="shared" si="56"/>
        <v>-49.909999999999854</v>
      </c>
      <c r="I278" s="20">
        <f t="shared" ca="1" si="49"/>
        <v>0</v>
      </c>
      <c r="J278" s="8">
        <f t="shared" ca="1" si="50"/>
        <v>1</v>
      </c>
      <c r="K278" s="8">
        <f t="shared" ca="1" si="51"/>
        <v>-10.180000000000291</v>
      </c>
      <c r="L278" s="8">
        <f t="shared" ca="1" si="52"/>
        <v>801.39000000000033</v>
      </c>
      <c r="M278" s="9">
        <f ca="1">AVERAGE(E278:OFFSET(E278,-M$5+1,0))</f>
        <v>6642.0630000000001</v>
      </c>
      <c r="N278" s="9">
        <f ca="1">AVERAGE(E278:OFFSET(E278,-N$5+1,0))</f>
        <v>6599.8365000000003</v>
      </c>
      <c r="O278" s="9">
        <f t="shared" ca="1" si="53"/>
        <v>0</v>
      </c>
      <c r="P278" s="14">
        <f t="shared" si="58"/>
        <v>-0.15242170752525758</v>
      </c>
      <c r="Q278" s="15">
        <f ca="1">STDEV(P278:OFFSET(P278,-$Q$5+1,0))</f>
        <v>0.96199215012344896</v>
      </c>
      <c r="R278" s="15">
        <f ca="1">STDEV(P278:OFFSET(P278,-$R$5+1,0))</f>
        <v>1.0367476077635367</v>
      </c>
      <c r="S278" s="18">
        <f t="shared" si="45"/>
        <v>61.099999999999454</v>
      </c>
      <c r="T278" s="18">
        <f t="shared" si="46"/>
        <v>61.099999999999454</v>
      </c>
      <c r="U278" s="18">
        <f t="shared" si="54"/>
        <v>85.465696454538175</v>
      </c>
      <c r="V278" s="33">
        <f ca="1">AVERAGE(E278:OFFSET(E278,-V$5+1,0))</f>
        <v>6598.6657142857148</v>
      </c>
      <c r="W278" s="33">
        <f t="shared" ca="1" si="47"/>
        <v>6726.8642589675219</v>
      </c>
      <c r="X278" s="33">
        <f t="shared" ca="1" si="48"/>
        <v>6470.4671696039077</v>
      </c>
      <c r="Y278" s="32">
        <f t="shared" ca="1" si="55"/>
        <v>0</v>
      </c>
    </row>
    <row r="279" spans="1:25">
      <c r="A279" s="5">
        <v>38768</v>
      </c>
      <c r="B279" s="4">
        <v>6652.55</v>
      </c>
      <c r="C279" s="4">
        <v>6697.31</v>
      </c>
      <c r="D279" s="4">
        <v>6631.81</v>
      </c>
      <c r="E279" s="4">
        <v>6686.55</v>
      </c>
      <c r="F279" s="4">
        <v>2765000</v>
      </c>
      <c r="G279" s="8">
        <f t="shared" si="57"/>
        <v>-21.199999999999818</v>
      </c>
      <c r="H279" s="8">
        <f t="shared" si="56"/>
        <v>34</v>
      </c>
      <c r="I279" s="20">
        <f t="shared" ca="1" si="49"/>
        <v>0</v>
      </c>
      <c r="J279" s="8">
        <f t="shared" ca="1" si="50"/>
        <v>1</v>
      </c>
      <c r="K279" s="8">
        <f t="shared" ca="1" si="51"/>
        <v>12.800000000000182</v>
      </c>
      <c r="L279" s="8">
        <f t="shared" ca="1" si="52"/>
        <v>814.19000000000051</v>
      </c>
      <c r="M279" s="9">
        <f ca="1">AVERAGE(E279:OFFSET(E279,-M$5+1,0))</f>
        <v>6638.7219999999998</v>
      </c>
      <c r="N279" s="9">
        <f ca="1">AVERAGE(E279:OFFSET(E279,-N$5+1,0))</f>
        <v>6600.0464999999995</v>
      </c>
      <c r="O279" s="9">
        <f t="shared" ca="1" si="53"/>
        <v>0</v>
      </c>
      <c r="P279" s="14">
        <f t="shared" si="58"/>
        <v>0.19161252241797852</v>
      </c>
      <c r="Q279" s="15">
        <f ca="1">STDEV(P279:OFFSET(P279,-$Q$5+1,0))</f>
        <v>0.74064427130178889</v>
      </c>
      <c r="R279" s="15">
        <f ca="1">STDEV(P279:OFFSET(P279,-$R$5+1,0))</f>
        <v>1.0150651218419928</v>
      </c>
      <c r="S279" s="18">
        <f t="shared" si="45"/>
        <v>65.5</v>
      </c>
      <c r="T279" s="18">
        <f t="shared" si="46"/>
        <v>65.5</v>
      </c>
      <c r="U279" s="18">
        <f t="shared" si="54"/>
        <v>82.80360359393309</v>
      </c>
      <c r="V279" s="33">
        <f ca="1">AVERAGE(E279:OFFSET(E279,-V$5+1,0))</f>
        <v>6620.4214285714288</v>
      </c>
      <c r="W279" s="33">
        <f t="shared" ca="1" si="47"/>
        <v>6744.6268339623284</v>
      </c>
      <c r="X279" s="33">
        <f t="shared" ca="1" si="48"/>
        <v>6496.2160231805292</v>
      </c>
      <c r="Y279" s="32">
        <f t="shared" ca="1" si="55"/>
        <v>0</v>
      </c>
    </row>
    <row r="280" spans="1:25">
      <c r="A280" s="5">
        <v>38769</v>
      </c>
      <c r="B280" s="4">
        <v>6708.21</v>
      </c>
      <c r="C280" s="4">
        <v>6717.53</v>
      </c>
      <c r="D280" s="4">
        <v>6631.51</v>
      </c>
      <c r="E280" s="4">
        <v>6631.51</v>
      </c>
      <c r="F280" s="4">
        <v>2716000</v>
      </c>
      <c r="G280" s="8">
        <f t="shared" si="57"/>
        <v>21.659999999999854</v>
      </c>
      <c r="H280" s="8">
        <f t="shared" si="56"/>
        <v>-76.699999999999818</v>
      </c>
      <c r="I280" s="20">
        <f t="shared" ca="1" si="49"/>
        <v>0</v>
      </c>
      <c r="J280" s="8">
        <f t="shared" ca="1" si="50"/>
        <v>1</v>
      </c>
      <c r="K280" s="8">
        <f t="shared" ca="1" si="51"/>
        <v>-55.039999999999964</v>
      </c>
      <c r="L280" s="8">
        <f t="shared" ca="1" si="52"/>
        <v>759.15000000000055</v>
      </c>
      <c r="M280" s="9">
        <f ca="1">AVERAGE(E280:OFFSET(E280,-M$5+1,0))</f>
        <v>6629.8649999999998</v>
      </c>
      <c r="N280" s="9">
        <f ca="1">AVERAGE(E280:OFFSET(E280,-N$5+1,0))</f>
        <v>6595.4130000000005</v>
      </c>
      <c r="O280" s="9">
        <f t="shared" ca="1" si="53"/>
        <v>0</v>
      </c>
      <c r="P280" s="14">
        <f t="shared" si="58"/>
        <v>-0.82655151508453983</v>
      </c>
      <c r="Q280" s="15">
        <f ca="1">STDEV(P280:OFFSET(P280,-$Q$5+1,0))</f>
        <v>0.77952864332914984</v>
      </c>
      <c r="R280" s="15">
        <f ca="1">STDEV(P280:OFFSET(P280,-$R$5+1,0))</f>
        <v>1.0089441934177577</v>
      </c>
      <c r="S280" s="18">
        <f t="shared" si="45"/>
        <v>86.019999999999527</v>
      </c>
      <c r="T280" s="18">
        <f t="shared" si="46"/>
        <v>86.019999999999527</v>
      </c>
      <c r="U280" s="18">
        <f t="shared" si="54"/>
        <v>83.232456448075283</v>
      </c>
      <c r="V280" s="33">
        <f ca="1">AVERAGE(E280:OFFSET(E280,-V$5+1,0))</f>
        <v>6633.2478571428574</v>
      </c>
      <c r="W280" s="33">
        <f t="shared" ca="1" si="47"/>
        <v>6758.0965418149699</v>
      </c>
      <c r="X280" s="33">
        <f t="shared" ca="1" si="48"/>
        <v>6508.3991724707448</v>
      </c>
      <c r="Y280" s="32">
        <f t="shared" ca="1" si="55"/>
        <v>0</v>
      </c>
    </row>
    <row r="281" spans="1:25">
      <c r="A281" s="5">
        <v>38770</v>
      </c>
      <c r="B281" s="4">
        <v>6634.83</v>
      </c>
      <c r="C281" s="4">
        <v>6650.71</v>
      </c>
      <c r="D281" s="4">
        <v>6503.7</v>
      </c>
      <c r="E281" s="4">
        <v>6530.7</v>
      </c>
      <c r="F281" s="4">
        <v>3273000</v>
      </c>
      <c r="G281" s="8">
        <f t="shared" si="57"/>
        <v>3.319999999999709</v>
      </c>
      <c r="H281" s="8">
        <f t="shared" si="56"/>
        <v>-104.13000000000011</v>
      </c>
      <c r="I281" s="20">
        <f t="shared" ca="1" si="49"/>
        <v>0</v>
      </c>
      <c r="J281" s="8">
        <f t="shared" ca="1" si="50"/>
        <v>1</v>
      </c>
      <c r="K281" s="8">
        <f t="shared" ca="1" si="51"/>
        <v>-100.8100000000004</v>
      </c>
      <c r="L281" s="8">
        <f t="shared" ca="1" si="52"/>
        <v>658.34000000000015</v>
      </c>
      <c r="M281" s="9">
        <f ca="1">AVERAGE(E281:OFFSET(E281,-M$5+1,0))</f>
        <v>6620.5240000000003</v>
      </c>
      <c r="N281" s="9">
        <f ca="1">AVERAGE(E281:OFFSET(E281,-N$5+1,0))</f>
        <v>6586.3960000000006</v>
      </c>
      <c r="O281" s="9">
        <f t="shared" ca="1" si="53"/>
        <v>0</v>
      </c>
      <c r="P281" s="14">
        <f t="shared" si="58"/>
        <v>-1.5318395812730237</v>
      </c>
      <c r="Q281" s="15">
        <f ca="1">STDEV(P281:OFFSET(P281,-$Q$5+1,0))</f>
        <v>0.7972762952820176</v>
      </c>
      <c r="R281" s="15">
        <f ca="1">STDEV(P281:OFFSET(P281,-$R$5+1,0))</f>
        <v>1.0404122698760208</v>
      </c>
      <c r="S281" s="18">
        <f t="shared" si="45"/>
        <v>147.01000000000022</v>
      </c>
      <c r="T281" s="18">
        <f t="shared" si="46"/>
        <v>147.01000000000022</v>
      </c>
      <c r="U281" s="18">
        <f t="shared" si="54"/>
        <v>91.736128921665269</v>
      </c>
      <c r="V281" s="33">
        <f ca="1">AVERAGE(E281:OFFSET(E281,-V$5+1,0))</f>
        <v>6633.1421428571421</v>
      </c>
      <c r="W281" s="33">
        <f t="shared" ca="1" si="47"/>
        <v>6770.7463362396402</v>
      </c>
      <c r="X281" s="33">
        <f t="shared" ca="1" si="48"/>
        <v>6495.5379494746439</v>
      </c>
      <c r="Y281" s="32">
        <f t="shared" ca="1" si="55"/>
        <v>0</v>
      </c>
    </row>
    <row r="282" spans="1:25">
      <c r="A282" s="5">
        <v>38771</v>
      </c>
      <c r="B282" s="4">
        <v>6523.85</v>
      </c>
      <c r="C282" s="4">
        <v>6528.5</v>
      </c>
      <c r="D282" s="4">
        <v>6466.21</v>
      </c>
      <c r="E282" s="4">
        <v>6474.69</v>
      </c>
      <c r="F282" s="4">
        <v>2994400</v>
      </c>
      <c r="G282" s="8">
        <f t="shared" si="57"/>
        <v>-6.8499999999994543</v>
      </c>
      <c r="H282" s="8">
        <f t="shared" si="56"/>
        <v>-49.160000000000764</v>
      </c>
      <c r="I282" s="20">
        <f t="shared" ca="1" si="49"/>
        <v>-1</v>
      </c>
      <c r="J282" s="8">
        <f t="shared" ca="1" si="50"/>
        <v>1</v>
      </c>
      <c r="K282" s="8">
        <f t="shared" ca="1" si="51"/>
        <v>-56.010000000000218</v>
      </c>
      <c r="L282" s="8">
        <f t="shared" ca="1" si="52"/>
        <v>602.32999999999993</v>
      </c>
      <c r="M282" s="9">
        <f ca="1">AVERAGE(E282:OFFSET(E282,-M$5+1,0))</f>
        <v>6604.9800000000005</v>
      </c>
      <c r="N282" s="9">
        <f ca="1">AVERAGE(E282:OFFSET(E282,-N$5+1,0))</f>
        <v>6585.1844999999985</v>
      </c>
      <c r="O282" s="9">
        <f t="shared" ca="1" si="53"/>
        <v>0</v>
      </c>
      <c r="P282" s="14">
        <f t="shared" si="58"/>
        <v>-0.86134051012519475</v>
      </c>
      <c r="Q282" s="15">
        <f ca="1">STDEV(P282:OFFSET(P282,-$Q$5+1,0))</f>
        <v>0.82282587197407164</v>
      </c>
      <c r="R282" s="15">
        <f ca="1">STDEV(P282:OFFSET(P282,-$R$5+1,0))</f>
        <v>1.0445742738568742</v>
      </c>
      <c r="S282" s="18">
        <f t="shared" si="45"/>
        <v>62.289999999999964</v>
      </c>
      <c r="T282" s="18">
        <f t="shared" si="46"/>
        <v>64.489999999999782</v>
      </c>
      <c r="U282" s="18">
        <f t="shared" si="54"/>
        <v>88.103311732109887</v>
      </c>
      <c r="V282" s="33">
        <f ca="1">AVERAGE(E282:OFFSET(E282,-V$5+1,0))</f>
        <v>6624.5771428571434</v>
      </c>
      <c r="W282" s="33">
        <f t="shared" ca="1" si="47"/>
        <v>6756.7321104553084</v>
      </c>
      <c r="X282" s="33">
        <f t="shared" ca="1" si="48"/>
        <v>6492.4221752589783</v>
      </c>
      <c r="Y282" s="32">
        <f t="shared" ca="1" si="55"/>
        <v>-1</v>
      </c>
    </row>
    <row r="283" spans="1:25">
      <c r="A283" s="5">
        <v>38772</v>
      </c>
      <c r="B283" s="4">
        <v>6474.05</v>
      </c>
      <c r="C283" s="4">
        <v>6538.22</v>
      </c>
      <c r="D283" s="4">
        <v>6473.8</v>
      </c>
      <c r="E283" s="4">
        <v>6538.22</v>
      </c>
      <c r="F283" s="4">
        <v>2776800</v>
      </c>
      <c r="G283" s="8">
        <f t="shared" si="57"/>
        <v>-0.63999999999941792</v>
      </c>
      <c r="H283" s="8">
        <f t="shared" si="56"/>
        <v>64.170000000000073</v>
      </c>
      <c r="I283" s="20">
        <f t="shared" ca="1" si="49"/>
        <v>0</v>
      </c>
      <c r="J283" s="8">
        <f t="shared" ca="1" si="50"/>
        <v>0</v>
      </c>
      <c r="K283" s="8">
        <f t="shared" ca="1" si="51"/>
        <v>-0.63999999999941792</v>
      </c>
      <c r="L283" s="8">
        <f t="shared" ca="1" si="52"/>
        <v>601.69000000000051</v>
      </c>
      <c r="M283" s="9">
        <f ca="1">AVERAGE(E283:OFFSET(E283,-M$5+1,0))</f>
        <v>6599.31</v>
      </c>
      <c r="N283" s="9">
        <f ca="1">AVERAGE(E283:OFFSET(E283,-N$5+1,0))</f>
        <v>6586.4809999999998</v>
      </c>
      <c r="O283" s="9">
        <f t="shared" ca="1" si="53"/>
        <v>0</v>
      </c>
      <c r="P283" s="14">
        <f t="shared" si="58"/>
        <v>0.97642271783558821</v>
      </c>
      <c r="Q283" s="15">
        <f ca="1">STDEV(P283:OFFSET(P283,-$Q$5+1,0))</f>
        <v>0.89762079629000791</v>
      </c>
      <c r="R283" s="15">
        <f ca="1">STDEV(P283:OFFSET(P283,-$R$5+1,0))</f>
        <v>1.0463647992222918</v>
      </c>
      <c r="S283" s="18">
        <f t="shared" si="45"/>
        <v>64.420000000000073</v>
      </c>
      <c r="T283" s="18">
        <f t="shared" si="46"/>
        <v>64.420000000000073</v>
      </c>
      <c r="U283" s="18">
        <f t="shared" si="54"/>
        <v>84.945536834495243</v>
      </c>
      <c r="V283" s="33">
        <f ca="1">AVERAGE(E283:OFFSET(E283,-V$5+1,0))</f>
        <v>6611.5957142857142</v>
      </c>
      <c r="W283" s="33">
        <f t="shared" ca="1" si="47"/>
        <v>6739.014019537457</v>
      </c>
      <c r="X283" s="33">
        <f t="shared" ca="1" si="48"/>
        <v>6484.1774090339713</v>
      </c>
      <c r="Y283" s="32">
        <f t="shared" ca="1" si="55"/>
        <v>0</v>
      </c>
    </row>
    <row r="284" spans="1:25">
      <c r="A284" s="5">
        <v>38775</v>
      </c>
      <c r="B284" s="4">
        <v>6496.55</v>
      </c>
      <c r="C284" s="4">
        <v>6567.91</v>
      </c>
      <c r="D284" s="4">
        <v>6481.99</v>
      </c>
      <c r="E284" s="4">
        <v>6561.63</v>
      </c>
      <c r="F284" s="4">
        <v>2658000</v>
      </c>
      <c r="G284" s="8">
        <f t="shared" si="57"/>
        <v>-41.670000000000073</v>
      </c>
      <c r="H284" s="8">
        <f t="shared" si="56"/>
        <v>65.079999999999927</v>
      </c>
      <c r="I284" s="20">
        <f t="shared" ca="1" si="49"/>
        <v>0</v>
      </c>
      <c r="J284" s="8">
        <f t="shared" ca="1" si="50"/>
        <v>0</v>
      </c>
      <c r="K284" s="8">
        <f t="shared" ca="1" si="51"/>
        <v>0</v>
      </c>
      <c r="L284" s="8">
        <f t="shared" ca="1" si="52"/>
        <v>601.69000000000051</v>
      </c>
      <c r="M284" s="9">
        <f ca="1">AVERAGE(E284:OFFSET(E284,-M$5+1,0))</f>
        <v>6599.2440000000006</v>
      </c>
      <c r="N284" s="9">
        <f ca="1">AVERAGE(E284:OFFSET(E284,-N$5+1,0))</f>
        <v>6590.2309999999998</v>
      </c>
      <c r="O284" s="9">
        <f t="shared" ca="1" si="53"/>
        <v>0</v>
      </c>
      <c r="P284" s="14">
        <f t="shared" si="58"/>
        <v>0.35740905308350562</v>
      </c>
      <c r="Q284" s="15">
        <f ca="1">STDEV(P284:OFFSET(P284,-$Q$5+1,0))</f>
        <v>0.89491018622888208</v>
      </c>
      <c r="R284" s="15">
        <f ca="1">STDEV(P284:OFFSET(P284,-$R$5+1,0))</f>
        <v>1.0218414479778251</v>
      </c>
      <c r="S284" s="18">
        <f t="shared" si="45"/>
        <v>85.920000000000073</v>
      </c>
      <c r="T284" s="18">
        <f t="shared" si="46"/>
        <v>85.920000000000073</v>
      </c>
      <c r="U284" s="18">
        <f t="shared" si="54"/>
        <v>85.075465256562552</v>
      </c>
      <c r="V284" s="33">
        <f ca="1">AVERAGE(E284:OFFSET(E284,-V$5+1,0))</f>
        <v>6600.2778571428571</v>
      </c>
      <c r="W284" s="33">
        <f t="shared" ca="1" si="47"/>
        <v>6727.8910550277005</v>
      </c>
      <c r="X284" s="33">
        <f t="shared" ca="1" si="48"/>
        <v>6472.6646592580137</v>
      </c>
      <c r="Y284" s="32">
        <f t="shared" ca="1" si="55"/>
        <v>0</v>
      </c>
    </row>
    <row r="285" spans="1:25">
      <c r="A285" s="5">
        <v>38777</v>
      </c>
      <c r="B285" s="4">
        <v>6518</v>
      </c>
      <c r="C285" s="4">
        <v>6636.92</v>
      </c>
      <c r="D285" s="4">
        <v>6518</v>
      </c>
      <c r="E285" s="4">
        <v>6613.39</v>
      </c>
      <c r="F285" s="4">
        <v>3071800</v>
      </c>
      <c r="G285" s="8">
        <f t="shared" si="57"/>
        <v>-43.630000000000109</v>
      </c>
      <c r="H285" s="8">
        <f t="shared" si="56"/>
        <v>95.390000000000327</v>
      </c>
      <c r="I285" s="20">
        <f t="shared" ca="1" si="49"/>
        <v>0</v>
      </c>
      <c r="J285" s="8">
        <f t="shared" ca="1" si="50"/>
        <v>0</v>
      </c>
      <c r="K285" s="8">
        <f t="shared" ca="1" si="51"/>
        <v>0</v>
      </c>
      <c r="L285" s="8">
        <f t="shared" ca="1" si="52"/>
        <v>601.69000000000051</v>
      </c>
      <c r="M285" s="9">
        <f ca="1">AVERAGE(E285:OFFSET(E285,-M$5+1,0))</f>
        <v>6599.2860000000001</v>
      </c>
      <c r="N285" s="9">
        <f ca="1">AVERAGE(E285:OFFSET(E285,-N$5+1,0))</f>
        <v>6601.8020000000006</v>
      </c>
      <c r="O285" s="9">
        <f t="shared" ca="1" si="53"/>
        <v>-1</v>
      </c>
      <c r="P285" s="14">
        <f t="shared" si="58"/>
        <v>0.78573339994922198</v>
      </c>
      <c r="Q285" s="15">
        <f ca="1">STDEV(P285:OFFSET(P285,-$Q$5+1,0))</f>
        <v>0.89649323492306154</v>
      </c>
      <c r="R285" s="15">
        <f ca="1">STDEV(P285:OFFSET(P285,-$R$5+1,0))</f>
        <v>1.0278522255631271</v>
      </c>
      <c r="S285" s="18">
        <f t="shared" si="45"/>
        <v>118.92000000000007</v>
      </c>
      <c r="T285" s="18">
        <f t="shared" si="46"/>
        <v>118.92000000000007</v>
      </c>
      <c r="U285" s="18">
        <f t="shared" si="54"/>
        <v>89.588069889020886</v>
      </c>
      <c r="V285" s="33">
        <f ca="1">AVERAGE(E285:OFFSET(E285,-V$5+1,0))</f>
        <v>6599.5121428571438</v>
      </c>
      <c r="W285" s="33">
        <f t="shared" ca="1" si="47"/>
        <v>6733.894247690675</v>
      </c>
      <c r="X285" s="33">
        <f t="shared" ca="1" si="48"/>
        <v>6465.1300380236125</v>
      </c>
      <c r="Y285" s="32">
        <f t="shared" ca="1" si="55"/>
        <v>0</v>
      </c>
    </row>
    <row r="286" spans="1:25">
      <c r="A286" s="5">
        <v>38778</v>
      </c>
      <c r="B286" s="4">
        <v>6678.46</v>
      </c>
      <c r="C286" s="4">
        <v>6685.45</v>
      </c>
      <c r="D286" s="4">
        <v>6637.9</v>
      </c>
      <c r="E286" s="4">
        <v>6642.96</v>
      </c>
      <c r="F286" s="4">
        <v>3075400</v>
      </c>
      <c r="G286" s="8">
        <f t="shared" si="57"/>
        <v>65.069999999999709</v>
      </c>
      <c r="H286" s="8">
        <f t="shared" si="56"/>
        <v>-35.5</v>
      </c>
      <c r="I286" s="20">
        <f t="shared" ca="1" si="49"/>
        <v>0</v>
      </c>
      <c r="J286" s="8">
        <f t="shared" ca="1" si="50"/>
        <v>0</v>
      </c>
      <c r="K286" s="8">
        <f t="shared" ca="1" si="51"/>
        <v>0</v>
      </c>
      <c r="L286" s="8">
        <f t="shared" ca="1" si="52"/>
        <v>601.69000000000051</v>
      </c>
      <c r="M286" s="9">
        <f ca="1">AVERAGE(E286:OFFSET(E286,-M$5+1,0))</f>
        <v>6603.7330000000002</v>
      </c>
      <c r="N286" s="9">
        <f ca="1">AVERAGE(E286:OFFSET(E286,-N$5+1,0))</f>
        <v>6611.3530000000001</v>
      </c>
      <c r="O286" s="9">
        <f t="shared" ca="1" si="53"/>
        <v>0</v>
      </c>
      <c r="P286" s="14">
        <f t="shared" si="58"/>
        <v>0.4461265588796815</v>
      </c>
      <c r="Q286" s="15">
        <f ca="1">STDEV(P286:OFFSET(P286,-$Q$5+1,0))</f>
        <v>0.90302997270957031</v>
      </c>
      <c r="R286" s="15">
        <f ca="1">STDEV(P286:OFFSET(P286,-$R$5+1,0))</f>
        <v>1.02985783788537</v>
      </c>
      <c r="S286" s="18">
        <f t="shared" si="45"/>
        <v>47.550000000000182</v>
      </c>
      <c r="T286" s="18">
        <f t="shared" si="46"/>
        <v>72.059999999999491</v>
      </c>
      <c r="U286" s="18">
        <f t="shared" si="54"/>
        <v>87.250993903818042</v>
      </c>
      <c r="V286" s="33">
        <f ca="1">AVERAGE(E286:OFFSET(E286,-V$5+1,0))</f>
        <v>6600.4285714285725</v>
      </c>
      <c r="W286" s="33">
        <f t="shared" ca="1" si="47"/>
        <v>6731.3050622842993</v>
      </c>
      <c r="X286" s="33">
        <f t="shared" ca="1" si="48"/>
        <v>6469.5520805728456</v>
      </c>
      <c r="Y286" s="32">
        <f t="shared" ca="1" si="55"/>
        <v>0</v>
      </c>
    </row>
    <row r="287" spans="1:25">
      <c r="A287" s="5">
        <v>38779</v>
      </c>
      <c r="B287" s="4">
        <v>6643.79</v>
      </c>
      <c r="C287" s="4">
        <v>6659.44</v>
      </c>
      <c r="D287" s="4">
        <v>6543.43</v>
      </c>
      <c r="E287" s="4">
        <v>6553.66</v>
      </c>
      <c r="F287" s="4">
        <v>3014800</v>
      </c>
      <c r="G287" s="8">
        <f t="shared" si="57"/>
        <v>0.82999999999992724</v>
      </c>
      <c r="H287" s="8">
        <f t="shared" si="56"/>
        <v>-90.130000000000109</v>
      </c>
      <c r="I287" s="20">
        <f t="shared" ca="1" si="49"/>
        <v>0</v>
      </c>
      <c r="J287" s="8">
        <f t="shared" ca="1" si="50"/>
        <v>0</v>
      </c>
      <c r="K287" s="8">
        <f t="shared" ca="1" si="51"/>
        <v>0</v>
      </c>
      <c r="L287" s="8">
        <f t="shared" ca="1" si="52"/>
        <v>601.69000000000051</v>
      </c>
      <c r="M287" s="9">
        <f ca="1">AVERAGE(E287:OFFSET(E287,-M$5+1,0))</f>
        <v>6590.7060000000001</v>
      </c>
      <c r="N287" s="9">
        <f ca="1">AVERAGE(E287:OFFSET(E287,-N$5+1,0))</f>
        <v>6612.4270000000006</v>
      </c>
      <c r="O287" s="9">
        <f t="shared" ca="1" si="53"/>
        <v>0</v>
      </c>
      <c r="P287" s="14">
        <f t="shared" si="58"/>
        <v>-1.3533975074620772</v>
      </c>
      <c r="Q287" s="15">
        <f ca="1">STDEV(P287:OFFSET(P287,-$Q$5+1,0))</f>
        <v>0.8927740111466671</v>
      </c>
      <c r="R287" s="15">
        <f ca="1">STDEV(P287:OFFSET(P287,-$R$5+1,0))</f>
        <v>1.0530747565899452</v>
      </c>
      <c r="S287" s="18">
        <f t="shared" si="45"/>
        <v>116.00999999999931</v>
      </c>
      <c r="T287" s="18">
        <f t="shared" si="46"/>
        <v>116.00999999999931</v>
      </c>
      <c r="U287" s="18">
        <f t="shared" si="54"/>
        <v>91.085528049975537</v>
      </c>
      <c r="V287" s="33">
        <f ca="1">AVERAGE(E287:OFFSET(E287,-V$5+1,0))</f>
        <v>6597.4814285714301</v>
      </c>
      <c r="W287" s="33">
        <f t="shared" ca="1" si="47"/>
        <v>6734.1097206463937</v>
      </c>
      <c r="X287" s="33">
        <f t="shared" ca="1" si="48"/>
        <v>6460.8531364964665</v>
      </c>
      <c r="Y287" s="32">
        <f t="shared" ca="1" si="55"/>
        <v>0</v>
      </c>
    </row>
    <row r="288" spans="1:25">
      <c r="A288" s="5">
        <v>38782</v>
      </c>
      <c r="B288" s="4">
        <v>6547.73</v>
      </c>
      <c r="C288" s="4">
        <v>6582.21</v>
      </c>
      <c r="D288" s="4">
        <v>6531.5</v>
      </c>
      <c r="E288" s="4">
        <v>6575.78</v>
      </c>
      <c r="F288" s="4">
        <v>2280400</v>
      </c>
      <c r="G288" s="8">
        <f t="shared" si="57"/>
        <v>-5.930000000000291</v>
      </c>
      <c r="H288" s="8">
        <f t="shared" si="56"/>
        <v>28.050000000000182</v>
      </c>
      <c r="I288" s="20">
        <f t="shared" ca="1" si="49"/>
        <v>0</v>
      </c>
      <c r="J288" s="8">
        <f t="shared" ca="1" si="50"/>
        <v>0</v>
      </c>
      <c r="K288" s="8">
        <f t="shared" ca="1" si="51"/>
        <v>0</v>
      </c>
      <c r="L288" s="8">
        <f t="shared" ca="1" si="52"/>
        <v>601.69000000000051</v>
      </c>
      <c r="M288" s="9">
        <f ca="1">AVERAGE(E288:OFFSET(E288,-M$5+1,0))</f>
        <v>6580.9089999999997</v>
      </c>
      <c r="N288" s="9">
        <f ca="1">AVERAGE(E288:OFFSET(E288,-N$5+1,0))</f>
        <v>6611.4860000000017</v>
      </c>
      <c r="O288" s="9">
        <f t="shared" ca="1" si="53"/>
        <v>0</v>
      </c>
      <c r="P288" s="14">
        <f t="shared" si="58"/>
        <v>0.33695299919432936</v>
      </c>
      <c r="Q288" s="15">
        <f ca="1">STDEV(P288:OFFSET(P288,-$Q$5+1,0))</f>
        <v>0.90874804714536561</v>
      </c>
      <c r="R288" s="15">
        <f ca="1">STDEV(P288:OFFSET(P288,-$R$5+1,0))</f>
        <v>1.0470822485818589</v>
      </c>
      <c r="S288" s="18">
        <f t="shared" si="45"/>
        <v>50.710000000000036</v>
      </c>
      <c r="T288" s="18">
        <f t="shared" si="46"/>
        <v>50.710000000000036</v>
      </c>
      <c r="U288" s="18">
        <f t="shared" si="54"/>
        <v>85.702124309978814</v>
      </c>
      <c r="V288" s="33">
        <f ca="1">AVERAGE(E288:OFFSET(E288,-V$5+1,0))</f>
        <v>6598.4450000000006</v>
      </c>
      <c r="W288" s="33">
        <f t="shared" ca="1" si="47"/>
        <v>6726.998186464969</v>
      </c>
      <c r="X288" s="33">
        <f t="shared" ca="1" si="48"/>
        <v>6469.8918135350323</v>
      </c>
      <c r="Y288" s="32">
        <f t="shared" ca="1" si="55"/>
        <v>0</v>
      </c>
    </row>
    <row r="289" spans="1:25">
      <c r="A289" s="5">
        <v>38783</v>
      </c>
      <c r="B289" s="4">
        <v>6553.97</v>
      </c>
      <c r="C289" s="4">
        <v>6557.15</v>
      </c>
      <c r="D289" s="4">
        <v>6494.15</v>
      </c>
      <c r="E289" s="4">
        <v>6494.15</v>
      </c>
      <c r="F289" s="4">
        <v>2500200</v>
      </c>
      <c r="G289" s="8">
        <f t="shared" si="57"/>
        <v>-21.809999999999491</v>
      </c>
      <c r="H289" s="8">
        <f t="shared" si="56"/>
        <v>-59.820000000000618</v>
      </c>
      <c r="I289" s="20">
        <f t="shared" ca="1" si="49"/>
        <v>0</v>
      </c>
      <c r="J289" s="8">
        <f t="shared" ca="1" si="50"/>
        <v>0</v>
      </c>
      <c r="K289" s="8">
        <f t="shared" ca="1" si="51"/>
        <v>0</v>
      </c>
      <c r="L289" s="8">
        <f t="shared" ca="1" si="52"/>
        <v>601.69000000000051</v>
      </c>
      <c r="M289" s="9">
        <f ca="1">AVERAGE(E289:OFFSET(E289,-M$5+1,0))</f>
        <v>6561.668999999999</v>
      </c>
      <c r="N289" s="9">
        <f ca="1">AVERAGE(E289:OFFSET(E289,-N$5+1,0))</f>
        <v>6600.1954999999998</v>
      </c>
      <c r="O289" s="9">
        <f t="shared" ca="1" si="53"/>
        <v>0</v>
      </c>
      <c r="P289" s="14">
        <f t="shared" si="58"/>
        <v>-1.2491430547986384</v>
      </c>
      <c r="Q289" s="15">
        <f ca="1">STDEV(P289:OFFSET(P289,-$Q$5+1,0))</f>
        <v>0.96161518586579564</v>
      </c>
      <c r="R289" s="15">
        <f ca="1">STDEV(P289:OFFSET(P289,-$R$5+1,0))</f>
        <v>1.0637412134359032</v>
      </c>
      <c r="S289" s="18">
        <f t="shared" si="45"/>
        <v>63</v>
      </c>
      <c r="T289" s="18">
        <f t="shared" si="46"/>
        <v>81.630000000000109</v>
      </c>
      <c r="U289" s="18">
        <f t="shared" si="54"/>
        <v>85.159174401981659</v>
      </c>
      <c r="V289" s="33">
        <f ca="1">AVERAGE(E289:OFFSET(E289,-V$5+1,0))</f>
        <v>6589.9578571428574</v>
      </c>
      <c r="W289" s="33">
        <f t="shared" ca="1" si="47"/>
        <v>6717.6966187458302</v>
      </c>
      <c r="X289" s="33">
        <f t="shared" ca="1" si="48"/>
        <v>6462.2190955398846</v>
      </c>
      <c r="Y289" s="32">
        <f t="shared" ca="1" si="55"/>
        <v>0</v>
      </c>
    </row>
    <row r="290" spans="1:25">
      <c r="A290" s="5">
        <v>38784</v>
      </c>
      <c r="B290" s="4">
        <v>6487.07</v>
      </c>
      <c r="C290" s="4">
        <v>6521.27</v>
      </c>
      <c r="D290" s="4">
        <v>6436.14</v>
      </c>
      <c r="E290" s="4">
        <v>6459.57</v>
      </c>
      <c r="F290" s="4">
        <v>2669000</v>
      </c>
      <c r="G290" s="8">
        <f t="shared" si="57"/>
        <v>-7.0799999999999272</v>
      </c>
      <c r="H290" s="8">
        <f t="shared" si="56"/>
        <v>-27.5</v>
      </c>
      <c r="I290" s="20">
        <f t="shared" ca="1" si="49"/>
        <v>0</v>
      </c>
      <c r="J290" s="8">
        <f t="shared" ca="1" si="50"/>
        <v>0</v>
      </c>
      <c r="K290" s="8">
        <f t="shared" ca="1" si="51"/>
        <v>0</v>
      </c>
      <c r="L290" s="8">
        <f t="shared" ca="1" si="52"/>
        <v>601.69000000000051</v>
      </c>
      <c r="M290" s="9">
        <f ca="1">AVERAGE(E290:OFFSET(E290,-M$5+1,0))</f>
        <v>6544.4750000000004</v>
      </c>
      <c r="N290" s="9">
        <f ca="1">AVERAGE(E290:OFFSET(E290,-N$5+1,0))</f>
        <v>6587.17</v>
      </c>
      <c r="O290" s="9">
        <f t="shared" ca="1" si="53"/>
        <v>0</v>
      </c>
      <c r="P290" s="14">
        <f t="shared" si="58"/>
        <v>-0.53390195468550083</v>
      </c>
      <c r="Q290" s="15">
        <f ca="1">STDEV(P290:OFFSET(P290,-$Q$5+1,0))</f>
        <v>0.94789350914746218</v>
      </c>
      <c r="R290" s="15">
        <f ca="1">STDEV(P290:OFFSET(P290,-$R$5+1,0))</f>
        <v>1.0460347722517211</v>
      </c>
      <c r="S290" s="18">
        <f t="shared" si="45"/>
        <v>85.130000000000109</v>
      </c>
      <c r="T290" s="18">
        <f t="shared" si="46"/>
        <v>85.130000000000109</v>
      </c>
      <c r="U290" s="18">
        <f t="shared" si="54"/>
        <v>85.155284481717459</v>
      </c>
      <c r="V290" s="33">
        <f ca="1">AVERAGE(E290:OFFSET(E290,-V$5+1,0))</f>
        <v>6580.0349999999989</v>
      </c>
      <c r="W290" s="33">
        <f t="shared" ca="1" si="47"/>
        <v>6707.7679267225749</v>
      </c>
      <c r="X290" s="33">
        <f t="shared" ca="1" si="48"/>
        <v>6452.302073277423</v>
      </c>
      <c r="Y290" s="32">
        <f t="shared" ca="1" si="55"/>
        <v>0</v>
      </c>
    </row>
    <row r="291" spans="1:25">
      <c r="A291" s="5">
        <v>38785</v>
      </c>
      <c r="B291" s="4">
        <v>6476.96</v>
      </c>
      <c r="C291" s="4">
        <v>6505.56</v>
      </c>
      <c r="D291" s="4">
        <v>6465.23</v>
      </c>
      <c r="E291" s="4">
        <v>6486.47</v>
      </c>
      <c r="F291" s="4">
        <v>2165800</v>
      </c>
      <c r="G291" s="8">
        <f t="shared" si="57"/>
        <v>17.390000000000327</v>
      </c>
      <c r="H291" s="8">
        <f t="shared" si="56"/>
        <v>9.5100000000002183</v>
      </c>
      <c r="I291" s="20">
        <f t="shared" ca="1" si="49"/>
        <v>0</v>
      </c>
      <c r="J291" s="8">
        <f t="shared" ca="1" si="50"/>
        <v>0</v>
      </c>
      <c r="K291" s="8">
        <f t="shared" ca="1" si="51"/>
        <v>0</v>
      </c>
      <c r="L291" s="8">
        <f t="shared" ca="1" si="52"/>
        <v>601.69000000000051</v>
      </c>
      <c r="M291" s="9">
        <f ca="1">AVERAGE(E291:OFFSET(E291,-M$5+1,0))</f>
        <v>6540.0520000000006</v>
      </c>
      <c r="N291" s="9">
        <f ca="1">AVERAGE(E291:OFFSET(E291,-N$5+1,0))</f>
        <v>6580.2880000000005</v>
      </c>
      <c r="O291" s="9">
        <f t="shared" ca="1" si="53"/>
        <v>0</v>
      </c>
      <c r="P291" s="14">
        <f t="shared" si="58"/>
        <v>0.41557169162979918</v>
      </c>
      <c r="Q291" s="15">
        <f ca="1">STDEV(P291:OFFSET(P291,-$Q$5+1,0))</f>
        <v>0.85352904467304014</v>
      </c>
      <c r="R291" s="15">
        <f ca="1">STDEV(P291:OFFSET(P291,-$R$5+1,0))</f>
        <v>0.99783880512510148</v>
      </c>
      <c r="S291" s="18">
        <f t="shared" si="45"/>
        <v>40.330000000000837</v>
      </c>
      <c r="T291" s="18">
        <f t="shared" si="46"/>
        <v>45.990000000000691</v>
      </c>
      <c r="U291" s="18">
        <f t="shared" si="54"/>
        <v>79.933246550821892</v>
      </c>
      <c r="V291" s="33">
        <f ca="1">AVERAGE(E291:OFFSET(E291,-V$5+1,0))</f>
        <v>6565.9307142857142</v>
      </c>
      <c r="W291" s="33">
        <f t="shared" ca="1" si="47"/>
        <v>6685.8305841119472</v>
      </c>
      <c r="X291" s="33">
        <f t="shared" ca="1" si="48"/>
        <v>6446.0308444594812</v>
      </c>
      <c r="Y291" s="32">
        <f t="shared" ca="1" si="55"/>
        <v>0</v>
      </c>
    </row>
    <row r="292" spans="1:25">
      <c r="A292" s="5">
        <v>38786</v>
      </c>
      <c r="B292" s="4">
        <v>6492.04</v>
      </c>
      <c r="C292" s="4">
        <v>6528.56</v>
      </c>
      <c r="D292" s="4">
        <v>6473.18</v>
      </c>
      <c r="E292" s="4">
        <v>6490.68</v>
      </c>
      <c r="F292" s="4">
        <v>2328200</v>
      </c>
      <c r="G292" s="8">
        <f t="shared" si="57"/>
        <v>5.569999999999709</v>
      </c>
      <c r="H292" s="8">
        <f t="shared" si="56"/>
        <v>-1.3599999999996726</v>
      </c>
      <c r="I292" s="20">
        <f t="shared" ca="1" si="49"/>
        <v>0</v>
      </c>
      <c r="J292" s="8">
        <f t="shared" ca="1" si="50"/>
        <v>0</v>
      </c>
      <c r="K292" s="8">
        <f t="shared" ca="1" si="51"/>
        <v>0</v>
      </c>
      <c r="L292" s="8">
        <f t="shared" ca="1" si="52"/>
        <v>601.69000000000051</v>
      </c>
      <c r="M292" s="9">
        <f ca="1">AVERAGE(E292:OFFSET(E292,-M$5+1,0))</f>
        <v>6541.6509999999998</v>
      </c>
      <c r="N292" s="9">
        <f ca="1">AVERAGE(E292:OFFSET(E292,-N$5+1,0))</f>
        <v>6573.3154999999997</v>
      </c>
      <c r="O292" s="9">
        <f t="shared" ca="1" si="53"/>
        <v>0</v>
      </c>
      <c r="P292" s="14">
        <f t="shared" si="58"/>
        <v>6.4883277879892384E-2</v>
      </c>
      <c r="Q292" s="15">
        <f ca="1">STDEV(P292:OFFSET(P292,-$Q$5+1,0))</f>
        <v>0.80684611895247327</v>
      </c>
      <c r="R292" s="15">
        <f ca="1">STDEV(P292:OFFSET(P292,-$R$5+1,0))</f>
        <v>0.9957478740000375</v>
      </c>
      <c r="S292" s="18">
        <f t="shared" si="45"/>
        <v>55.380000000000109</v>
      </c>
      <c r="T292" s="18">
        <f t="shared" si="46"/>
        <v>55.380000000000109</v>
      </c>
      <c r="U292" s="18">
        <f t="shared" si="54"/>
        <v>76.659480344045662</v>
      </c>
      <c r="V292" s="33">
        <f ca="1">AVERAGE(E292:OFFSET(E292,-V$5+1,0))</f>
        <v>6552.8542857142847</v>
      </c>
      <c r="W292" s="33">
        <f t="shared" ca="1" si="47"/>
        <v>6667.8435062303533</v>
      </c>
      <c r="X292" s="33">
        <f t="shared" ca="1" si="48"/>
        <v>6437.8650651982161</v>
      </c>
      <c r="Y292" s="32">
        <f t="shared" ca="1" si="55"/>
        <v>0</v>
      </c>
    </row>
    <row r="293" spans="1:25">
      <c r="A293" s="5">
        <v>38789</v>
      </c>
      <c r="B293" s="4">
        <v>6520.36</v>
      </c>
      <c r="C293" s="4">
        <v>6551.13</v>
      </c>
      <c r="D293" s="4">
        <v>6502.51</v>
      </c>
      <c r="E293" s="4">
        <v>6544.63</v>
      </c>
      <c r="F293" s="4">
        <v>2382400</v>
      </c>
      <c r="G293" s="8">
        <f t="shared" si="57"/>
        <v>29.679999999999382</v>
      </c>
      <c r="H293" s="8">
        <f t="shared" si="56"/>
        <v>24.270000000000437</v>
      </c>
      <c r="I293" s="20">
        <f t="shared" ca="1" si="49"/>
        <v>0</v>
      </c>
      <c r="J293" s="8">
        <f t="shared" ca="1" si="50"/>
        <v>0</v>
      </c>
      <c r="K293" s="8">
        <f t="shared" ca="1" si="51"/>
        <v>0</v>
      </c>
      <c r="L293" s="8">
        <f t="shared" ca="1" si="52"/>
        <v>601.69000000000051</v>
      </c>
      <c r="M293" s="9">
        <f ca="1">AVERAGE(E293:OFFSET(E293,-M$5+1,0))</f>
        <v>6542.2919999999995</v>
      </c>
      <c r="N293" s="9">
        <f ca="1">AVERAGE(E293:OFFSET(E293,-N$5+1,0))</f>
        <v>6570.8010000000013</v>
      </c>
      <c r="O293" s="9">
        <f t="shared" ca="1" si="53"/>
        <v>0</v>
      </c>
      <c r="P293" s="14">
        <f t="shared" si="58"/>
        <v>0.82775642536267424</v>
      </c>
      <c r="Q293" s="15">
        <f ca="1">STDEV(P293:OFFSET(P293,-$Q$5+1,0))</f>
        <v>0.78852246272008053</v>
      </c>
      <c r="R293" s="15">
        <f ca="1">STDEV(P293:OFFSET(P293,-$R$5+1,0))</f>
        <v>0.97828543510243382</v>
      </c>
      <c r="S293" s="18">
        <f t="shared" si="45"/>
        <v>48.619999999999891</v>
      </c>
      <c r="T293" s="18">
        <f t="shared" si="46"/>
        <v>60.449999999999818</v>
      </c>
      <c r="U293" s="18">
        <f t="shared" si="54"/>
        <v>74.498216298172878</v>
      </c>
      <c r="V293" s="33">
        <f ca="1">AVERAGE(E293:OFFSET(E293,-V$5+1,0))</f>
        <v>6542.717142857141</v>
      </c>
      <c r="W293" s="33">
        <f t="shared" ca="1" si="47"/>
        <v>6654.4644673044004</v>
      </c>
      <c r="X293" s="33">
        <f t="shared" ca="1" si="48"/>
        <v>6430.9698184098816</v>
      </c>
      <c r="Y293" s="32">
        <f t="shared" ca="1" si="55"/>
        <v>0</v>
      </c>
    </row>
    <row r="294" spans="1:25">
      <c r="A294" s="5">
        <v>38790</v>
      </c>
      <c r="B294" s="4">
        <v>6532.25</v>
      </c>
      <c r="C294" s="4">
        <v>6545.12</v>
      </c>
      <c r="D294" s="4">
        <v>6444.14</v>
      </c>
      <c r="E294" s="4">
        <v>6460.01</v>
      </c>
      <c r="F294" s="4">
        <v>2653600</v>
      </c>
      <c r="G294" s="8">
        <f t="shared" si="57"/>
        <v>-12.380000000000109</v>
      </c>
      <c r="H294" s="8">
        <f t="shared" si="56"/>
        <v>-72.239999999999782</v>
      </c>
      <c r="I294" s="20">
        <f t="shared" ca="1" si="49"/>
        <v>0</v>
      </c>
      <c r="J294" s="8">
        <f t="shared" ca="1" si="50"/>
        <v>0</v>
      </c>
      <c r="K294" s="8">
        <f t="shared" ca="1" si="51"/>
        <v>0</v>
      </c>
      <c r="L294" s="8">
        <f t="shared" ca="1" si="52"/>
        <v>601.69000000000051</v>
      </c>
      <c r="M294" s="9">
        <f ca="1">AVERAGE(E294:OFFSET(E294,-M$5+1,0))</f>
        <v>6532.13</v>
      </c>
      <c r="N294" s="9">
        <f ca="1">AVERAGE(E294:OFFSET(E294,-N$5+1,0))</f>
        <v>6565.6870000000008</v>
      </c>
      <c r="O294" s="9">
        <f t="shared" ca="1" si="53"/>
        <v>0</v>
      </c>
      <c r="P294" s="14">
        <f t="shared" si="58"/>
        <v>-1.3014000279367226</v>
      </c>
      <c r="Q294" s="15">
        <f ca="1">STDEV(P294:OFFSET(P294,-$Q$5+1,0))</f>
        <v>0.87680954146296175</v>
      </c>
      <c r="R294" s="15">
        <f ca="1">STDEV(P294:OFFSET(P294,-$R$5+1,0))</f>
        <v>0.99749208867268901</v>
      </c>
      <c r="S294" s="18">
        <f t="shared" si="45"/>
        <v>100.97999999999956</v>
      </c>
      <c r="T294" s="18">
        <f t="shared" si="46"/>
        <v>100.97999999999956</v>
      </c>
      <c r="U294" s="18">
        <f t="shared" si="54"/>
        <v>78.029120791749776</v>
      </c>
      <c r="V294" s="33">
        <f ca="1">AVERAGE(E294:OFFSET(E294,-V$5+1,0))</f>
        <v>6530.4671428571428</v>
      </c>
      <c r="W294" s="33">
        <f t="shared" ca="1" si="47"/>
        <v>6647.5108240447671</v>
      </c>
      <c r="X294" s="33">
        <f t="shared" ca="1" si="48"/>
        <v>6413.4234616695185</v>
      </c>
      <c r="Y294" s="32">
        <f t="shared" ca="1" si="55"/>
        <v>0</v>
      </c>
    </row>
    <row r="295" spans="1:25">
      <c r="A295" s="5">
        <v>38791</v>
      </c>
      <c r="B295" s="4">
        <v>6516.14</v>
      </c>
      <c r="C295" s="4">
        <v>6534.61</v>
      </c>
      <c r="D295" s="4">
        <v>6478.71</v>
      </c>
      <c r="E295" s="4">
        <v>6518.7</v>
      </c>
      <c r="F295" s="4">
        <v>2740800</v>
      </c>
      <c r="G295" s="8">
        <f t="shared" si="57"/>
        <v>56.130000000000109</v>
      </c>
      <c r="H295" s="8">
        <f t="shared" si="56"/>
        <v>2.5599999999994907</v>
      </c>
      <c r="I295" s="20">
        <f t="shared" ca="1" si="49"/>
        <v>0</v>
      </c>
      <c r="J295" s="8">
        <f t="shared" ca="1" si="50"/>
        <v>0</v>
      </c>
      <c r="K295" s="8">
        <f t="shared" ca="1" si="51"/>
        <v>0</v>
      </c>
      <c r="L295" s="8">
        <f t="shared" ca="1" si="52"/>
        <v>601.69000000000051</v>
      </c>
      <c r="M295" s="9">
        <f ca="1">AVERAGE(E295:OFFSET(E295,-M$5+1,0))</f>
        <v>6522.6609999999991</v>
      </c>
      <c r="N295" s="9">
        <f ca="1">AVERAGE(E295:OFFSET(E295,-N$5+1,0))</f>
        <v>6560.9735000000001</v>
      </c>
      <c r="O295" s="9">
        <f t="shared" ca="1" si="53"/>
        <v>0</v>
      </c>
      <c r="P295" s="14">
        <f t="shared" si="58"/>
        <v>0.9044103774434169</v>
      </c>
      <c r="Q295" s="15">
        <f ca="1">STDEV(P295:OFFSET(P295,-$Q$5+1,0))</f>
        <v>0.89165103522908373</v>
      </c>
      <c r="R295" s="15">
        <f ca="1">STDEV(P295:OFFSET(P295,-$R$5+1,0))</f>
        <v>1.001989840166212</v>
      </c>
      <c r="S295" s="18">
        <f t="shared" si="45"/>
        <v>55.899999999999636</v>
      </c>
      <c r="T295" s="18">
        <f t="shared" si="46"/>
        <v>74.599999999999454</v>
      </c>
      <c r="U295" s="18">
        <f t="shared" si="54"/>
        <v>77.571904686183075</v>
      </c>
      <c r="V295" s="33">
        <f ca="1">AVERAGE(E295:OFFSET(E295,-V$5+1,0))</f>
        <v>6529.6100000000006</v>
      </c>
      <c r="W295" s="33">
        <f t="shared" ca="1" si="47"/>
        <v>6645.9678570292754</v>
      </c>
      <c r="X295" s="33">
        <f t="shared" ca="1" si="48"/>
        <v>6413.2521429707258</v>
      </c>
      <c r="Y295" s="32">
        <f t="shared" ca="1" si="55"/>
        <v>0</v>
      </c>
    </row>
    <row r="296" spans="1:25">
      <c r="A296" s="5">
        <v>38792</v>
      </c>
      <c r="B296" s="4">
        <v>6528.14</v>
      </c>
      <c r="C296" s="4">
        <v>6594.18</v>
      </c>
      <c r="D296" s="4">
        <v>6504.98</v>
      </c>
      <c r="E296" s="4">
        <v>6504.98</v>
      </c>
      <c r="F296" s="4">
        <v>3390600</v>
      </c>
      <c r="G296" s="8">
        <f t="shared" si="57"/>
        <v>9.4400000000005093</v>
      </c>
      <c r="H296" s="8">
        <f t="shared" si="56"/>
        <v>-23.160000000000764</v>
      </c>
      <c r="I296" s="20">
        <f t="shared" ca="1" si="49"/>
        <v>0</v>
      </c>
      <c r="J296" s="8">
        <f t="shared" ca="1" si="50"/>
        <v>0</v>
      </c>
      <c r="K296" s="8">
        <f t="shared" ca="1" si="51"/>
        <v>0</v>
      </c>
      <c r="L296" s="8">
        <f t="shared" ca="1" si="52"/>
        <v>601.69000000000051</v>
      </c>
      <c r="M296" s="9">
        <f ca="1">AVERAGE(E296:OFFSET(E296,-M$5+1,0))</f>
        <v>6508.8629999999994</v>
      </c>
      <c r="N296" s="9">
        <f ca="1">AVERAGE(E296:OFFSET(E296,-N$5+1,0))</f>
        <v>6556.2979999999998</v>
      </c>
      <c r="O296" s="9">
        <f t="shared" ca="1" si="53"/>
        <v>0</v>
      </c>
      <c r="P296" s="14">
        <f t="shared" si="58"/>
        <v>-0.21069321536529162</v>
      </c>
      <c r="Q296" s="15">
        <f ca="1">STDEV(P296:OFFSET(P296,-$Q$5+1,0))</f>
        <v>0.86718896102538212</v>
      </c>
      <c r="R296" s="15">
        <f ca="1">STDEV(P296:OFFSET(P296,-$R$5+1,0))</f>
        <v>0.99972905330328687</v>
      </c>
      <c r="S296" s="18">
        <f t="shared" si="45"/>
        <v>89.200000000000728</v>
      </c>
      <c r="T296" s="18">
        <f t="shared" si="46"/>
        <v>89.200000000000728</v>
      </c>
      <c r="U296" s="18">
        <f t="shared" si="54"/>
        <v>79.122317394692104</v>
      </c>
      <c r="V296" s="33">
        <f ca="1">AVERAGE(E296:OFFSET(E296,-V$5+1,0))</f>
        <v>6531.7735714285709</v>
      </c>
      <c r="W296" s="33">
        <f t="shared" ca="1" si="47"/>
        <v>6650.4570475206092</v>
      </c>
      <c r="X296" s="33">
        <f t="shared" ca="1" si="48"/>
        <v>6413.0900953365326</v>
      </c>
      <c r="Y296" s="32">
        <f t="shared" ca="1" si="55"/>
        <v>0</v>
      </c>
    </row>
    <row r="297" spans="1:25">
      <c r="A297" s="5">
        <v>38793</v>
      </c>
      <c r="B297" s="4">
        <v>6507.55</v>
      </c>
      <c r="C297" s="4">
        <v>6530.43</v>
      </c>
      <c r="D297" s="4">
        <v>6471.71</v>
      </c>
      <c r="E297" s="4">
        <v>6528.57</v>
      </c>
      <c r="F297" s="4">
        <v>2697200</v>
      </c>
      <c r="G297" s="8">
        <f t="shared" si="57"/>
        <v>2.5700000000006185</v>
      </c>
      <c r="H297" s="8">
        <f t="shared" si="56"/>
        <v>21.019999999999527</v>
      </c>
      <c r="I297" s="20">
        <f t="shared" ca="1" si="49"/>
        <v>0</v>
      </c>
      <c r="J297" s="8">
        <f t="shared" ca="1" si="50"/>
        <v>0</v>
      </c>
      <c r="K297" s="8">
        <f t="shared" ca="1" si="51"/>
        <v>0</v>
      </c>
      <c r="L297" s="8">
        <f t="shared" ca="1" si="52"/>
        <v>601.69000000000051</v>
      </c>
      <c r="M297" s="9">
        <f ca="1">AVERAGE(E297:OFFSET(E297,-M$5+1,0))</f>
        <v>6506.3540000000003</v>
      </c>
      <c r="N297" s="9">
        <f ca="1">AVERAGE(E297:OFFSET(E297,-N$5+1,0))</f>
        <v>6548.5299999999988</v>
      </c>
      <c r="O297" s="9">
        <f t="shared" ca="1" si="53"/>
        <v>0</v>
      </c>
      <c r="P297" s="14">
        <f t="shared" si="58"/>
        <v>0.36198926247312113</v>
      </c>
      <c r="Q297" s="15">
        <f ca="1">STDEV(P297:OFFSET(P297,-$Q$5+1,0))</f>
        <v>0.78126339740699136</v>
      </c>
      <c r="R297" s="15">
        <f ca="1">STDEV(P297:OFFSET(P297,-$R$5+1,0))</f>
        <v>0.9989825262132439</v>
      </c>
      <c r="S297" s="18">
        <f t="shared" si="45"/>
        <v>58.720000000000255</v>
      </c>
      <c r="T297" s="18">
        <f t="shared" si="46"/>
        <v>58.720000000000255</v>
      </c>
      <c r="U297" s="18">
        <f t="shared" si="54"/>
        <v>76.402008408733195</v>
      </c>
      <c r="V297" s="33">
        <f ca="1">AVERAGE(E297:OFFSET(E297,-V$5+1,0))</f>
        <v>6531.0842857142852</v>
      </c>
      <c r="W297" s="33">
        <f t="shared" ca="1" si="47"/>
        <v>6645.6872983273852</v>
      </c>
      <c r="X297" s="33">
        <f t="shared" ca="1" si="48"/>
        <v>6416.4812731011853</v>
      </c>
      <c r="Y297" s="32">
        <f t="shared" ca="1" si="55"/>
        <v>0</v>
      </c>
    </row>
    <row r="298" spans="1:25">
      <c r="A298" s="5">
        <v>38796</v>
      </c>
      <c r="B298" s="4">
        <v>6554.18</v>
      </c>
      <c r="C298" s="4">
        <v>6569.53</v>
      </c>
      <c r="D298" s="4">
        <v>6510.58</v>
      </c>
      <c r="E298" s="4">
        <v>6516.52</v>
      </c>
      <c r="F298" s="4">
        <v>2713000</v>
      </c>
      <c r="G298" s="8">
        <f t="shared" si="57"/>
        <v>25.610000000000582</v>
      </c>
      <c r="H298" s="8">
        <f t="shared" si="56"/>
        <v>-37.659999999999854</v>
      </c>
      <c r="I298" s="20">
        <f t="shared" ca="1" si="49"/>
        <v>0</v>
      </c>
      <c r="J298" s="8">
        <f t="shared" ca="1" si="50"/>
        <v>0</v>
      </c>
      <c r="K298" s="8">
        <f t="shared" ca="1" si="51"/>
        <v>0</v>
      </c>
      <c r="L298" s="8">
        <f t="shared" ca="1" si="52"/>
        <v>601.69000000000051</v>
      </c>
      <c r="M298" s="9">
        <f ca="1">AVERAGE(E298:OFFSET(E298,-M$5+1,0))</f>
        <v>6500.4279999999999</v>
      </c>
      <c r="N298" s="9">
        <f ca="1">AVERAGE(E298:OFFSET(E298,-N$5+1,0))</f>
        <v>6540.6684999999989</v>
      </c>
      <c r="O298" s="9">
        <f t="shared" ca="1" si="53"/>
        <v>0</v>
      </c>
      <c r="P298" s="14">
        <f t="shared" si="58"/>
        <v>-0.18474389103104175</v>
      </c>
      <c r="Q298" s="15">
        <f ca="1">STDEV(P298:OFFSET(P298,-$Q$5+1,0))</f>
        <v>0.77076490051602931</v>
      </c>
      <c r="R298" s="15">
        <f ca="1">STDEV(P298:OFFSET(P298,-$R$5+1,0))</f>
        <v>0.99905662266212103</v>
      </c>
      <c r="S298" s="18">
        <f t="shared" si="45"/>
        <v>58.949999999999818</v>
      </c>
      <c r="T298" s="18">
        <f t="shared" si="46"/>
        <v>58.949999999999818</v>
      </c>
      <c r="U298" s="18">
        <f t="shared" si="54"/>
        <v>74.075073954235407</v>
      </c>
      <c r="V298" s="33">
        <f ca="1">AVERAGE(E298:OFFSET(E298,-V$5+1,0))</f>
        <v>6527.8621428571423</v>
      </c>
      <c r="W298" s="33">
        <f t="shared" ca="1" si="47"/>
        <v>6638.974753788495</v>
      </c>
      <c r="X298" s="33">
        <f t="shared" ca="1" si="48"/>
        <v>6416.7495319257896</v>
      </c>
      <c r="Y298" s="32">
        <f t="shared" ca="1" si="55"/>
        <v>0</v>
      </c>
    </row>
    <row r="299" spans="1:25">
      <c r="A299" s="5">
        <v>38797</v>
      </c>
      <c r="B299" s="4">
        <v>6525.3</v>
      </c>
      <c r="C299" s="4">
        <v>6536.01</v>
      </c>
      <c r="D299" s="4">
        <v>6458.03</v>
      </c>
      <c r="E299" s="4">
        <v>6458.03</v>
      </c>
      <c r="F299" s="4">
        <v>2418800</v>
      </c>
      <c r="G299" s="8">
        <f t="shared" si="57"/>
        <v>8.7799999999997453</v>
      </c>
      <c r="H299" s="8">
        <f t="shared" si="56"/>
        <v>-67.270000000000437</v>
      </c>
      <c r="I299" s="20">
        <f t="shared" ca="1" si="49"/>
        <v>0</v>
      </c>
      <c r="J299" s="8">
        <f t="shared" ca="1" si="50"/>
        <v>0</v>
      </c>
      <c r="K299" s="8">
        <f t="shared" ca="1" si="51"/>
        <v>0</v>
      </c>
      <c r="L299" s="8">
        <f t="shared" ca="1" si="52"/>
        <v>601.69000000000051</v>
      </c>
      <c r="M299" s="9">
        <f ca="1">AVERAGE(E299:OFFSET(E299,-M$5+1,0))</f>
        <v>6496.8159999999989</v>
      </c>
      <c r="N299" s="9">
        <f ca="1">AVERAGE(E299:OFFSET(E299,-N$5+1,0))</f>
        <v>6529.2424999999985</v>
      </c>
      <c r="O299" s="9">
        <f t="shared" ca="1" si="53"/>
        <v>0</v>
      </c>
      <c r="P299" s="14">
        <f t="shared" si="58"/>
        <v>-0.90161733897840413</v>
      </c>
      <c r="Q299" s="15">
        <f ca="1">STDEV(P299:OFFSET(P299,-$Q$5+1,0))</f>
        <v>0.71880346774049408</v>
      </c>
      <c r="R299" s="15">
        <f ca="1">STDEV(P299:OFFSET(P299,-$R$5+1,0))</f>
        <v>1.0035941292280877</v>
      </c>
      <c r="S299" s="18">
        <f t="shared" si="45"/>
        <v>77.980000000000473</v>
      </c>
      <c r="T299" s="18">
        <f t="shared" si="46"/>
        <v>77.980000000000473</v>
      </c>
      <c r="U299" s="18">
        <f t="shared" si="54"/>
        <v>74.595730760337418</v>
      </c>
      <c r="V299" s="33">
        <f ca="1">AVERAGE(E299:OFFSET(E299,-V$5+1,0))</f>
        <v>6516.7650000000003</v>
      </c>
      <c r="W299" s="33">
        <f t="shared" ca="1" si="47"/>
        <v>6628.6585961405062</v>
      </c>
      <c r="X299" s="33">
        <f t="shared" ca="1" si="48"/>
        <v>6404.8714038594944</v>
      </c>
      <c r="Y299" s="32">
        <f t="shared" ca="1" si="55"/>
        <v>0</v>
      </c>
    </row>
    <row r="300" spans="1:25">
      <c r="A300" s="5">
        <v>38798</v>
      </c>
      <c r="B300" s="4">
        <v>6419.46</v>
      </c>
      <c r="C300" s="4">
        <v>6441.27</v>
      </c>
      <c r="D300" s="4">
        <v>6387.36</v>
      </c>
      <c r="E300" s="4">
        <v>6391.26</v>
      </c>
      <c r="F300" s="4">
        <v>2394400</v>
      </c>
      <c r="G300" s="8">
        <f t="shared" si="57"/>
        <v>-38.569999999999709</v>
      </c>
      <c r="H300" s="8">
        <f t="shared" si="56"/>
        <v>-28.199999999999818</v>
      </c>
      <c r="I300" s="20">
        <f t="shared" ca="1" si="49"/>
        <v>0</v>
      </c>
      <c r="J300" s="8">
        <f t="shared" ca="1" si="50"/>
        <v>0</v>
      </c>
      <c r="K300" s="8">
        <f t="shared" ca="1" si="51"/>
        <v>0</v>
      </c>
      <c r="L300" s="8">
        <f t="shared" ca="1" si="52"/>
        <v>601.69000000000051</v>
      </c>
      <c r="M300" s="9">
        <f ca="1">AVERAGE(E300:OFFSET(E300,-M$5+1,0))</f>
        <v>6489.9849999999997</v>
      </c>
      <c r="N300" s="9">
        <f ca="1">AVERAGE(E300:OFFSET(E300,-N$5+1,0))</f>
        <v>6517.2299999999987</v>
      </c>
      <c r="O300" s="9">
        <f t="shared" ca="1" si="53"/>
        <v>0</v>
      </c>
      <c r="P300" s="14">
        <f t="shared" si="58"/>
        <v>-1.0392885676343528</v>
      </c>
      <c r="Q300" s="15">
        <f ca="1">STDEV(P300:OFFSET(P300,-$Q$5+1,0))</f>
        <v>0.77195698518860068</v>
      </c>
      <c r="R300" s="15">
        <f ca="1">STDEV(P300:OFFSET(P300,-$R$5+1,0))</f>
        <v>1.0078972728515401</v>
      </c>
      <c r="S300" s="18">
        <f t="shared" si="45"/>
        <v>53.910000000000764</v>
      </c>
      <c r="T300" s="18">
        <f t="shared" si="46"/>
        <v>70.670000000000073</v>
      </c>
      <c r="U300" s="18">
        <f t="shared" si="54"/>
        <v>74.072299992292429</v>
      </c>
      <c r="V300" s="33">
        <f ca="1">AVERAGE(E300:OFFSET(E300,-V$5+1,0))</f>
        <v>6498.7864285714268</v>
      </c>
      <c r="W300" s="33">
        <f t="shared" ca="1" si="47"/>
        <v>6609.894878559865</v>
      </c>
      <c r="X300" s="33">
        <f t="shared" ca="1" si="48"/>
        <v>6387.6779785829885</v>
      </c>
      <c r="Y300" s="32">
        <f t="shared" ca="1" si="55"/>
        <v>0</v>
      </c>
    </row>
    <row r="301" spans="1:25">
      <c r="A301" s="5">
        <v>38799</v>
      </c>
      <c r="B301" s="4">
        <v>6412.66</v>
      </c>
      <c r="C301" s="4">
        <v>6418.48</v>
      </c>
      <c r="D301" s="4">
        <v>6344.73</v>
      </c>
      <c r="E301" s="4">
        <v>6364.6</v>
      </c>
      <c r="F301" s="4">
        <v>2365200</v>
      </c>
      <c r="G301" s="8">
        <f t="shared" si="57"/>
        <v>21.399999999999636</v>
      </c>
      <c r="H301" s="8">
        <f t="shared" si="56"/>
        <v>-48.059999999999491</v>
      </c>
      <c r="I301" s="20">
        <f t="shared" ca="1" si="49"/>
        <v>-1</v>
      </c>
      <c r="J301" s="8">
        <f t="shared" ca="1" si="50"/>
        <v>0</v>
      </c>
      <c r="K301" s="8">
        <f t="shared" ca="1" si="51"/>
        <v>0</v>
      </c>
      <c r="L301" s="8">
        <f t="shared" ca="1" si="52"/>
        <v>601.69000000000051</v>
      </c>
      <c r="M301" s="9">
        <f ca="1">AVERAGE(E301:OFFSET(E301,-M$5+1,0))</f>
        <v>6477.7979999999998</v>
      </c>
      <c r="N301" s="9">
        <f ca="1">AVERAGE(E301:OFFSET(E301,-N$5+1,0))</f>
        <v>6508.9250000000002</v>
      </c>
      <c r="O301" s="9">
        <f t="shared" ca="1" si="53"/>
        <v>0</v>
      </c>
      <c r="P301" s="14">
        <f t="shared" si="58"/>
        <v>-0.41800456917347384</v>
      </c>
      <c r="Q301" s="15">
        <f ca="1">STDEV(P301:OFFSET(P301,-$Q$5+1,0))</f>
        <v>0.75414123441870562</v>
      </c>
      <c r="R301" s="15">
        <f ca="1">STDEV(P301:OFFSET(P301,-$R$5+1,0))</f>
        <v>1.008898661678217</v>
      </c>
      <c r="S301" s="18">
        <f t="shared" si="45"/>
        <v>73.75</v>
      </c>
      <c r="T301" s="18">
        <f t="shared" si="46"/>
        <v>73.75</v>
      </c>
      <c r="U301" s="18">
        <f t="shared" si="54"/>
        <v>74.029326659986765</v>
      </c>
      <c r="V301" s="33">
        <f ca="1">AVERAGE(E301:OFFSET(E301,-V$5+1,0))</f>
        <v>6485.2821428571424</v>
      </c>
      <c r="W301" s="33">
        <f t="shared" ca="1" si="47"/>
        <v>6596.3261328471226</v>
      </c>
      <c r="X301" s="33">
        <f t="shared" ca="1" si="48"/>
        <v>6374.2381528671622</v>
      </c>
      <c r="Y301" s="32">
        <f t="shared" ca="1" si="55"/>
        <v>-1</v>
      </c>
    </row>
    <row r="302" spans="1:25">
      <c r="A302" s="5">
        <v>38800</v>
      </c>
      <c r="B302" s="4">
        <v>6366.96</v>
      </c>
      <c r="C302" s="4">
        <v>6401.62</v>
      </c>
      <c r="D302" s="4">
        <v>6351.89</v>
      </c>
      <c r="E302" s="4">
        <v>6376.62</v>
      </c>
      <c r="F302" s="4">
        <v>2262000</v>
      </c>
      <c r="G302" s="8">
        <f t="shared" si="57"/>
        <v>2.3599999999996726</v>
      </c>
      <c r="H302" s="8">
        <f t="shared" si="56"/>
        <v>9.6599999999998545</v>
      </c>
      <c r="I302" s="20">
        <f t="shared" ca="1" si="49"/>
        <v>0</v>
      </c>
      <c r="J302" s="8">
        <f t="shared" ca="1" si="50"/>
        <v>-1</v>
      </c>
      <c r="K302" s="8">
        <f t="shared" ca="1" si="51"/>
        <v>-9.6599999999998545</v>
      </c>
      <c r="L302" s="8">
        <f t="shared" ca="1" si="52"/>
        <v>592.03000000000065</v>
      </c>
      <c r="M302" s="9">
        <f ca="1">AVERAGE(E302:OFFSET(E302,-M$5+1,0))</f>
        <v>6466.3920000000007</v>
      </c>
      <c r="N302" s="9">
        <f ca="1">AVERAGE(E302:OFFSET(E302,-N$5+1,0))</f>
        <v>6504.0214999999998</v>
      </c>
      <c r="O302" s="9">
        <f t="shared" ca="1" si="53"/>
        <v>0</v>
      </c>
      <c r="P302" s="14">
        <f t="shared" si="58"/>
        <v>0.18867900508600993</v>
      </c>
      <c r="Q302" s="15">
        <f ca="1">STDEV(P302:OFFSET(P302,-$Q$5+1,0))</f>
        <v>0.75977915489383552</v>
      </c>
      <c r="R302" s="15">
        <f ca="1">STDEV(P302:OFFSET(P302,-$R$5+1,0))</f>
        <v>0.87748566156357055</v>
      </c>
      <c r="S302" s="18">
        <f t="shared" si="45"/>
        <v>49.729999999999563</v>
      </c>
      <c r="T302" s="18">
        <f t="shared" si="46"/>
        <v>49.729999999999563</v>
      </c>
      <c r="U302" s="18">
        <f t="shared" si="54"/>
        <v>70.789416438655138</v>
      </c>
      <c r="V302" s="33">
        <f ca="1">AVERAGE(E302:OFFSET(E302,-V$5+1,0))</f>
        <v>6471.0564285714281</v>
      </c>
      <c r="W302" s="33">
        <f t="shared" ca="1" si="47"/>
        <v>6577.2405532294106</v>
      </c>
      <c r="X302" s="33">
        <f t="shared" ca="1" si="48"/>
        <v>6364.8723039134456</v>
      </c>
      <c r="Y302" s="32">
        <f t="shared" ca="1" si="55"/>
        <v>0</v>
      </c>
    </row>
    <row r="303" spans="1:25">
      <c r="A303" s="5">
        <v>38803</v>
      </c>
      <c r="B303" s="4">
        <v>6408.2</v>
      </c>
      <c r="C303" s="4">
        <v>6430.23</v>
      </c>
      <c r="D303" s="4">
        <v>6399.08</v>
      </c>
      <c r="E303" s="4">
        <v>6421.85</v>
      </c>
      <c r="F303" s="4">
        <v>2107000</v>
      </c>
      <c r="G303" s="8">
        <f t="shared" si="57"/>
        <v>31.579999999999927</v>
      </c>
      <c r="H303" s="8">
        <f t="shared" si="56"/>
        <v>13.650000000000546</v>
      </c>
      <c r="I303" s="20">
        <f t="shared" ca="1" si="49"/>
        <v>0</v>
      </c>
      <c r="J303" s="8">
        <f t="shared" ca="1" si="50"/>
        <v>-1</v>
      </c>
      <c r="K303" s="8">
        <f t="shared" ca="1" si="51"/>
        <v>-45.230000000000473</v>
      </c>
      <c r="L303" s="8">
        <f t="shared" ca="1" si="52"/>
        <v>546.80000000000018</v>
      </c>
      <c r="M303" s="9">
        <f ca="1">AVERAGE(E303:OFFSET(E303,-M$5+1,0))</f>
        <v>6454.1139999999996</v>
      </c>
      <c r="N303" s="9">
        <f ca="1">AVERAGE(E303:OFFSET(E303,-N$5+1,0))</f>
        <v>6498.2029999999995</v>
      </c>
      <c r="O303" s="9">
        <f t="shared" ca="1" si="53"/>
        <v>0</v>
      </c>
      <c r="P303" s="14">
        <f t="shared" si="58"/>
        <v>0.70680617758180064</v>
      </c>
      <c r="Q303" s="15">
        <f ca="1">STDEV(P303:OFFSET(P303,-$Q$5+1,0))</f>
        <v>0.74277436475240743</v>
      </c>
      <c r="R303" s="15">
        <f ca="1">STDEV(P303:OFFSET(P303,-$R$5+1,0))</f>
        <v>0.88474153478756457</v>
      </c>
      <c r="S303" s="18">
        <f t="shared" si="45"/>
        <v>31.149999999999636</v>
      </c>
      <c r="T303" s="18">
        <f t="shared" si="46"/>
        <v>53.609999999999673</v>
      </c>
      <c r="U303" s="18">
        <f t="shared" si="54"/>
        <v>68.498827580167742</v>
      </c>
      <c r="V303" s="33">
        <f ca="1">AVERAGE(E303:OFFSET(E303,-V$5+1,0))</f>
        <v>6465.8921428571421</v>
      </c>
      <c r="W303" s="33">
        <f t="shared" ca="1" si="47"/>
        <v>6568.640384227394</v>
      </c>
      <c r="X303" s="33">
        <f t="shared" ca="1" si="48"/>
        <v>6363.1439014868902</v>
      </c>
      <c r="Y303" s="32">
        <f t="shared" ca="1" si="55"/>
        <v>0</v>
      </c>
    </row>
    <row r="304" spans="1:25">
      <c r="A304" s="5">
        <v>38804</v>
      </c>
      <c r="B304" s="4">
        <v>6433.23</v>
      </c>
      <c r="C304" s="4">
        <v>6469.67</v>
      </c>
      <c r="D304" s="4">
        <v>6424.94</v>
      </c>
      <c r="E304" s="4">
        <v>6453.85</v>
      </c>
      <c r="F304" s="4">
        <v>2080400</v>
      </c>
      <c r="G304" s="8">
        <f t="shared" si="57"/>
        <v>11.3799999999992</v>
      </c>
      <c r="H304" s="8">
        <f t="shared" si="56"/>
        <v>20.6200000000008</v>
      </c>
      <c r="I304" s="20">
        <f t="shared" ca="1" si="49"/>
        <v>0</v>
      </c>
      <c r="J304" s="8">
        <f t="shared" ca="1" si="50"/>
        <v>-1</v>
      </c>
      <c r="K304" s="8">
        <f t="shared" ca="1" si="51"/>
        <v>-32</v>
      </c>
      <c r="L304" s="8">
        <f t="shared" ca="1" si="52"/>
        <v>514.80000000000018</v>
      </c>
      <c r="M304" s="9">
        <f ca="1">AVERAGE(E304:OFFSET(E304,-M$5+1,0))</f>
        <v>6453.4979999999996</v>
      </c>
      <c r="N304" s="9">
        <f ca="1">AVERAGE(E304:OFFSET(E304,-N$5+1,0))</f>
        <v>6492.8140000000003</v>
      </c>
      <c r="O304" s="9">
        <f t="shared" ca="1" si="53"/>
        <v>0</v>
      </c>
      <c r="P304" s="14">
        <f t="shared" si="58"/>
        <v>0.4970613774056577</v>
      </c>
      <c r="Q304" s="15">
        <f ca="1">STDEV(P304:OFFSET(P304,-$Q$5+1,0))</f>
        <v>0.65630389946048329</v>
      </c>
      <c r="R304" s="15">
        <f ca="1">STDEV(P304:OFFSET(P304,-$R$5+1,0))</f>
        <v>0.88667651467908803</v>
      </c>
      <c r="S304" s="18">
        <f t="shared" si="45"/>
        <v>44.730000000000473</v>
      </c>
      <c r="T304" s="18">
        <f t="shared" si="46"/>
        <v>47.819999999999709</v>
      </c>
      <c r="U304" s="18">
        <f t="shared" si="54"/>
        <v>65.741650569478665</v>
      </c>
      <c r="V304" s="33">
        <f ca="1">AVERAGE(E304:OFFSET(E304,-V$5+1,0))</f>
        <v>6465.4835714285718</v>
      </c>
      <c r="W304" s="33">
        <f t="shared" ca="1" si="47"/>
        <v>6564.0960472827901</v>
      </c>
      <c r="X304" s="33">
        <f t="shared" ca="1" si="48"/>
        <v>6366.8710955743536</v>
      </c>
      <c r="Y304" s="32">
        <f t="shared" ca="1" si="55"/>
        <v>0</v>
      </c>
    </row>
    <row r="305" spans="1:25">
      <c r="A305" s="5">
        <v>38805</v>
      </c>
      <c r="B305" s="4">
        <v>6447.7</v>
      </c>
      <c r="C305" s="4">
        <v>6498.03</v>
      </c>
      <c r="D305" s="4">
        <v>6444.4</v>
      </c>
      <c r="E305" s="4">
        <v>6498.03</v>
      </c>
      <c r="F305" s="4">
        <v>2410800</v>
      </c>
      <c r="G305" s="8">
        <f t="shared" si="57"/>
        <v>-6.1500000000005457</v>
      </c>
      <c r="H305" s="8">
        <f t="shared" si="56"/>
        <v>50.329999999999927</v>
      </c>
      <c r="I305" s="20">
        <f t="shared" ca="1" si="49"/>
        <v>0</v>
      </c>
      <c r="J305" s="8">
        <f t="shared" ca="1" si="50"/>
        <v>-1</v>
      </c>
      <c r="K305" s="8">
        <f t="shared" ca="1" si="51"/>
        <v>-44.179999999999382</v>
      </c>
      <c r="L305" s="8">
        <f t="shared" ca="1" si="52"/>
        <v>470.6200000000008</v>
      </c>
      <c r="M305" s="9">
        <f ca="1">AVERAGE(E305:OFFSET(E305,-M$5+1,0))</f>
        <v>6451.4309999999996</v>
      </c>
      <c r="N305" s="9">
        <f ca="1">AVERAGE(E305:OFFSET(E305,-N$5+1,0))</f>
        <v>6487.0460000000003</v>
      </c>
      <c r="O305" s="9">
        <f t="shared" ca="1" si="53"/>
        <v>0</v>
      </c>
      <c r="P305" s="14">
        <f t="shared" si="58"/>
        <v>0.68222020824190399</v>
      </c>
      <c r="Q305" s="15">
        <f ca="1">STDEV(P305:OFFSET(P305,-$Q$5+1,0))</f>
        <v>0.62493584210704234</v>
      </c>
      <c r="R305" s="15">
        <f ca="1">STDEV(P305:OFFSET(P305,-$R$5+1,0))</f>
        <v>0.85344441804603643</v>
      </c>
      <c r="S305" s="18">
        <f t="shared" si="45"/>
        <v>53.630000000000109</v>
      </c>
      <c r="T305" s="18">
        <f t="shared" si="46"/>
        <v>53.630000000000109</v>
      </c>
      <c r="U305" s="18">
        <f t="shared" si="54"/>
        <v>64.126763826881529</v>
      </c>
      <c r="V305" s="33">
        <f ca="1">AVERAGE(E305:OFFSET(E305,-V$5+1,0))</f>
        <v>6466.3092857142856</v>
      </c>
      <c r="W305" s="33">
        <f t="shared" ca="1" si="47"/>
        <v>6562.4994314546075</v>
      </c>
      <c r="X305" s="33">
        <f t="shared" ca="1" si="48"/>
        <v>6370.1191399739637</v>
      </c>
      <c r="Y305" s="32">
        <f t="shared" ca="1" si="55"/>
        <v>0</v>
      </c>
    </row>
    <row r="306" spans="1:25">
      <c r="A306" s="5">
        <v>38806</v>
      </c>
      <c r="B306" s="4">
        <v>6540.81</v>
      </c>
      <c r="C306" s="4">
        <v>6559.21</v>
      </c>
      <c r="D306" s="4">
        <v>6504.75</v>
      </c>
      <c r="E306" s="4">
        <v>6546.06</v>
      </c>
      <c r="F306" s="4">
        <v>3339400</v>
      </c>
      <c r="G306" s="8">
        <f t="shared" si="57"/>
        <v>42.780000000000655</v>
      </c>
      <c r="H306" s="8">
        <f t="shared" si="56"/>
        <v>5.25</v>
      </c>
      <c r="I306" s="20">
        <f t="shared" ca="1" si="49"/>
        <v>0</v>
      </c>
      <c r="J306" s="8">
        <f t="shared" ca="1" si="50"/>
        <v>-1</v>
      </c>
      <c r="K306" s="8">
        <f t="shared" ca="1" si="51"/>
        <v>-48.030000000000655</v>
      </c>
      <c r="L306" s="8">
        <f t="shared" ca="1" si="52"/>
        <v>422.59000000000015</v>
      </c>
      <c r="M306" s="9">
        <f ca="1">AVERAGE(E306:OFFSET(E306,-M$5+1,0))</f>
        <v>6455.5389999999989</v>
      </c>
      <c r="N306" s="9">
        <f ca="1">AVERAGE(E306:OFFSET(E306,-N$5+1,0))</f>
        <v>6482.2009999999991</v>
      </c>
      <c r="O306" s="9">
        <f t="shared" ca="1" si="53"/>
        <v>0</v>
      </c>
      <c r="P306" s="14">
        <f t="shared" si="58"/>
        <v>0.7364287898401789</v>
      </c>
      <c r="Q306" s="15">
        <f ca="1">STDEV(P306:OFFSET(P306,-$Q$5+1,0))</f>
        <v>0.66527309115872268</v>
      </c>
      <c r="R306" s="15">
        <f ca="1">STDEV(P306:OFFSET(P306,-$R$5+1,0))</f>
        <v>0.84411142898257885</v>
      </c>
      <c r="S306" s="18">
        <f t="shared" si="45"/>
        <v>54.460000000000036</v>
      </c>
      <c r="T306" s="18">
        <f t="shared" si="46"/>
        <v>61.180000000000291</v>
      </c>
      <c r="U306" s="18">
        <f t="shared" si="54"/>
        <v>63.733861983297373</v>
      </c>
      <c r="V306" s="33">
        <f ca="1">AVERAGE(E306:OFFSET(E306,-V$5+1,0))</f>
        <v>6470.2650000000003</v>
      </c>
      <c r="W306" s="33">
        <f t="shared" ca="1" si="47"/>
        <v>6565.8657929749461</v>
      </c>
      <c r="X306" s="33">
        <f t="shared" ca="1" si="48"/>
        <v>6374.6642070250546</v>
      </c>
      <c r="Y306" s="32">
        <f t="shared" ca="1" si="55"/>
        <v>0</v>
      </c>
    </row>
    <row r="307" spans="1:25">
      <c r="A307" s="5">
        <v>38807</v>
      </c>
      <c r="B307" s="4">
        <v>6564.86</v>
      </c>
      <c r="C307" s="4">
        <v>6632.63</v>
      </c>
      <c r="D307" s="4">
        <v>6564.86</v>
      </c>
      <c r="E307" s="4">
        <v>6613.97</v>
      </c>
      <c r="F307" s="4">
        <v>3188400</v>
      </c>
      <c r="G307" s="8">
        <f t="shared" si="57"/>
        <v>18.799999999999272</v>
      </c>
      <c r="H307" s="8">
        <f t="shared" si="56"/>
        <v>49.110000000000582</v>
      </c>
      <c r="I307" s="20">
        <f t="shared" ca="1" si="49"/>
        <v>1</v>
      </c>
      <c r="J307" s="8">
        <f t="shared" ca="1" si="50"/>
        <v>-1</v>
      </c>
      <c r="K307" s="8">
        <f t="shared" ca="1" si="51"/>
        <v>-67.909999999999854</v>
      </c>
      <c r="L307" s="8">
        <f t="shared" ca="1" si="52"/>
        <v>354.68000000000029</v>
      </c>
      <c r="M307" s="9">
        <f ca="1">AVERAGE(E307:OFFSET(E307,-M$5+1,0))</f>
        <v>6464.0789999999997</v>
      </c>
      <c r="N307" s="9">
        <f ca="1">AVERAGE(E307:OFFSET(E307,-N$5+1,0))</f>
        <v>6485.2165000000005</v>
      </c>
      <c r="O307" s="9">
        <f t="shared" ca="1" si="53"/>
        <v>0</v>
      </c>
      <c r="P307" s="14">
        <f t="shared" si="58"/>
        <v>1.0320736776409243</v>
      </c>
      <c r="Q307" s="15">
        <f ca="1">STDEV(P307:OFFSET(P307,-$Q$5+1,0))</f>
        <v>0.729395899264345</v>
      </c>
      <c r="R307" s="15">
        <f ca="1">STDEV(P307:OFFSET(P307,-$R$5+1,0))</f>
        <v>0.83726781678156126</v>
      </c>
      <c r="S307" s="18">
        <f t="shared" si="45"/>
        <v>67.770000000000437</v>
      </c>
      <c r="T307" s="18">
        <f t="shared" si="46"/>
        <v>86.569999999999709</v>
      </c>
      <c r="U307" s="18">
        <f t="shared" si="54"/>
        <v>66.778680385524353</v>
      </c>
      <c r="V307" s="33">
        <f ca="1">AVERAGE(E307:OFFSET(E307,-V$5+1,0))</f>
        <v>6475.2178571428576</v>
      </c>
      <c r="W307" s="33">
        <f t="shared" ca="1" si="47"/>
        <v>6575.3858777211444</v>
      </c>
      <c r="X307" s="33">
        <f t="shared" ca="1" si="48"/>
        <v>6375.0498365645708</v>
      </c>
      <c r="Y307" s="32">
        <f t="shared" ca="1" si="55"/>
        <v>1</v>
      </c>
    </row>
    <row r="308" spans="1:25">
      <c r="A308" s="5">
        <v>38810</v>
      </c>
      <c r="B308" s="4">
        <v>6627.32</v>
      </c>
      <c r="C308" s="4">
        <v>6672.11</v>
      </c>
      <c r="D308" s="4">
        <v>6615.98</v>
      </c>
      <c r="E308" s="4">
        <v>6660.76</v>
      </c>
      <c r="F308" s="4">
        <v>3261800</v>
      </c>
      <c r="G308" s="8">
        <f t="shared" si="57"/>
        <v>13.349999999999454</v>
      </c>
      <c r="H308" s="8">
        <f t="shared" si="56"/>
        <v>33.440000000000509</v>
      </c>
      <c r="I308" s="20">
        <f t="shared" ca="1" si="49"/>
        <v>0</v>
      </c>
      <c r="J308" s="8">
        <f t="shared" ca="1" si="50"/>
        <v>0</v>
      </c>
      <c r="K308" s="8">
        <f t="shared" ca="1" si="51"/>
        <v>-13.349999999999454</v>
      </c>
      <c r="L308" s="8">
        <f t="shared" ca="1" si="52"/>
        <v>341.33000000000084</v>
      </c>
      <c r="M308" s="9">
        <f ca="1">AVERAGE(E308:OFFSET(E308,-M$5+1,0))</f>
        <v>6478.5029999999997</v>
      </c>
      <c r="N308" s="9">
        <f ca="1">AVERAGE(E308:OFFSET(E308,-N$5+1,0))</f>
        <v>6489.4655000000002</v>
      </c>
      <c r="O308" s="9">
        <f t="shared" ca="1" si="53"/>
        <v>0</v>
      </c>
      <c r="P308" s="14">
        <f t="shared" si="58"/>
        <v>0.70495134396588777</v>
      </c>
      <c r="Q308" s="15">
        <f ca="1">STDEV(P308:OFFSET(P308,-$Q$5+1,0))</f>
        <v>0.74091411261800932</v>
      </c>
      <c r="R308" s="15">
        <f ca="1">STDEV(P308:OFFSET(P308,-$R$5+1,0))</f>
        <v>0.83121712530072189</v>
      </c>
      <c r="S308" s="18">
        <f t="shared" si="45"/>
        <v>56.130000000000109</v>
      </c>
      <c r="T308" s="18">
        <f t="shared" si="46"/>
        <v>58.139999999999418</v>
      </c>
      <c r="U308" s="18">
        <f t="shared" si="54"/>
        <v>65.62685633412103</v>
      </c>
      <c r="V308" s="33">
        <f ca="1">AVERAGE(E308:OFFSET(E308,-V$5+1,0))</f>
        <v>6489.557142857142</v>
      </c>
      <c r="W308" s="33">
        <f t="shared" ca="1" si="47"/>
        <v>6587.9974273583239</v>
      </c>
      <c r="X308" s="33">
        <f t="shared" ca="1" si="48"/>
        <v>6391.1168583559602</v>
      </c>
      <c r="Y308" s="32">
        <f t="shared" ca="1" si="55"/>
        <v>0</v>
      </c>
    </row>
    <row r="309" spans="1:25">
      <c r="A309" s="5">
        <v>38811</v>
      </c>
      <c r="B309" s="4">
        <v>6679.82</v>
      </c>
      <c r="C309" s="4">
        <v>6684.1</v>
      </c>
      <c r="D309" s="4">
        <v>6651.96</v>
      </c>
      <c r="E309" s="4">
        <v>6665.6</v>
      </c>
      <c r="F309" s="4">
        <v>3068200</v>
      </c>
      <c r="G309" s="8">
        <f t="shared" si="57"/>
        <v>19.059999999999491</v>
      </c>
      <c r="H309" s="8">
        <f t="shared" si="56"/>
        <v>-14.219999999999345</v>
      </c>
      <c r="I309" s="20">
        <f t="shared" ca="1" si="49"/>
        <v>0</v>
      </c>
      <c r="J309" s="8">
        <f t="shared" ca="1" si="50"/>
        <v>0</v>
      </c>
      <c r="K309" s="8">
        <f t="shared" ca="1" si="51"/>
        <v>0</v>
      </c>
      <c r="L309" s="8">
        <f t="shared" ca="1" si="52"/>
        <v>341.33000000000084</v>
      </c>
      <c r="M309" s="9">
        <f ca="1">AVERAGE(E309:OFFSET(E309,-M$5+1,0))</f>
        <v>6499.26</v>
      </c>
      <c r="N309" s="9">
        <f ca="1">AVERAGE(E309:OFFSET(E309,-N$5+1,0))</f>
        <v>6498.0379999999996</v>
      </c>
      <c r="O309" s="9">
        <f t="shared" ca="1" si="53"/>
        <v>1</v>
      </c>
      <c r="P309" s="14">
        <f t="shared" si="58"/>
        <v>7.263799286240788E-2</v>
      </c>
      <c r="Q309" s="15">
        <f ca="1">STDEV(P309:OFFSET(P309,-$Q$5+1,0))</f>
        <v>0.63345956628106925</v>
      </c>
      <c r="R309" s="15">
        <f ca="1">STDEV(P309:OFFSET(P309,-$R$5+1,0))</f>
        <v>0.774821047348769</v>
      </c>
      <c r="S309" s="18">
        <f t="shared" ref="S309:S372" si="59">C309-D309</f>
        <v>32.140000000000327</v>
      </c>
      <c r="T309" s="18">
        <f t="shared" ref="T309:T372" si="60">MAX(C309,E308)-MIN(D309,E308)</f>
        <v>32.140000000000327</v>
      </c>
      <c r="U309" s="18">
        <f t="shared" si="54"/>
        <v>61.161942156238268</v>
      </c>
      <c r="V309" s="33">
        <f ca="1">AVERAGE(E309:OFFSET(E309,-V$5+1,0))</f>
        <v>6500.05</v>
      </c>
      <c r="W309" s="33">
        <f t="shared" ref="W309:W372" ca="1" si="61">V309+W$5*U309</f>
        <v>6591.7929132343579</v>
      </c>
      <c r="X309" s="33">
        <f t="shared" ref="X309:X372" ca="1" si="62">V309-W$5*U309</f>
        <v>6408.3070867656425</v>
      </c>
      <c r="Y309" s="32">
        <f t="shared" ca="1" si="55"/>
        <v>0</v>
      </c>
    </row>
    <row r="310" spans="1:25">
      <c r="A310" s="5">
        <v>38813</v>
      </c>
      <c r="B310" s="4">
        <v>6724.97</v>
      </c>
      <c r="C310" s="4">
        <v>6760.82</v>
      </c>
      <c r="D310" s="4">
        <v>6710.68</v>
      </c>
      <c r="E310" s="4">
        <v>6760.82</v>
      </c>
      <c r="F310" s="4">
        <v>3445600</v>
      </c>
      <c r="G310" s="8">
        <f t="shared" si="57"/>
        <v>59.369999999999891</v>
      </c>
      <c r="H310" s="8">
        <f t="shared" si="56"/>
        <v>35.849999999999454</v>
      </c>
      <c r="I310" s="20">
        <f t="shared" ref="I310:I373" ca="1" si="63">Y310</f>
        <v>0</v>
      </c>
      <c r="J310" s="8">
        <f t="shared" ref="J310:J373" ca="1" si="64">IF((J309+I309)&gt;=J$5,J$5,IF((J309+I309)&lt;=J$7,J$7,J309+I309))</f>
        <v>0</v>
      </c>
      <c r="K310" s="8">
        <f t="shared" ref="K310:K373" ca="1" si="65">J309*G310+J310*H310</f>
        <v>0</v>
      </c>
      <c r="L310" s="8">
        <f t="shared" ref="L310:L373" ca="1" si="66">L309+K310</f>
        <v>341.33000000000084</v>
      </c>
      <c r="M310" s="9">
        <f ca="1">AVERAGE(E310:OFFSET(E310,-M$5+1,0))</f>
        <v>6536.2159999999994</v>
      </c>
      <c r="N310" s="9">
        <f ca="1">AVERAGE(E310:OFFSET(E310,-N$5+1,0))</f>
        <v>6513.1005000000005</v>
      </c>
      <c r="O310" s="9">
        <f t="shared" ref="O310:O373" ca="1" si="67">IF(AND(M309&lt;=N309,M310&gt;N310),1,IF(AND(M309&gt;=N309,M310&lt;N310),-1,0))</f>
        <v>0</v>
      </c>
      <c r="P310" s="14">
        <f t="shared" si="58"/>
        <v>1.4184212389039299</v>
      </c>
      <c r="Q310" s="15">
        <f ca="1">STDEV(P310:OFFSET(P310,-$Q$5+1,0))</f>
        <v>0.51469282908603542</v>
      </c>
      <c r="R310" s="15">
        <f ca="1">STDEV(P310:OFFSET(P310,-$R$5+1,0))</f>
        <v>0.80754191724403157</v>
      </c>
      <c r="S310" s="18">
        <f t="shared" si="59"/>
        <v>50.139999999999418</v>
      </c>
      <c r="T310" s="18">
        <f t="shared" si="60"/>
        <v>95.219999999999345</v>
      </c>
      <c r="U310" s="18">
        <f t="shared" ref="U310:U373" si="68">$U$5*T310+(1-$U$5)*U309</f>
        <v>65.70301653540642</v>
      </c>
      <c r="V310" s="33">
        <f ca="1">AVERAGE(E310:OFFSET(E310,-V$5+1,0))</f>
        <v>6518.3242857142841</v>
      </c>
      <c r="W310" s="33">
        <f t="shared" ca="1" si="61"/>
        <v>6616.8788105173935</v>
      </c>
      <c r="X310" s="33">
        <f t="shared" ca="1" si="62"/>
        <v>6419.7697609111747</v>
      </c>
      <c r="Y310" s="32">
        <f t="shared" ref="Y310:Y373" ca="1" si="69">IF(AND(E309&gt;X309,E310&lt;X310),-1,IF(AND(E309&lt;W309,E310&gt;W310),1,0))</f>
        <v>0</v>
      </c>
    </row>
    <row r="311" spans="1:25">
      <c r="A311" s="5">
        <v>38814</v>
      </c>
      <c r="B311" s="4">
        <v>6758.82</v>
      </c>
      <c r="C311" s="4">
        <v>6802.94</v>
      </c>
      <c r="D311" s="4">
        <v>6722.39</v>
      </c>
      <c r="E311" s="4">
        <v>6781.94</v>
      </c>
      <c r="F311" s="4">
        <v>3417600</v>
      </c>
      <c r="G311" s="8">
        <f t="shared" si="57"/>
        <v>-2</v>
      </c>
      <c r="H311" s="8">
        <f t="shared" si="56"/>
        <v>23.119999999999891</v>
      </c>
      <c r="I311" s="20">
        <f t="shared" ca="1" si="63"/>
        <v>0</v>
      </c>
      <c r="J311" s="8">
        <f t="shared" ca="1" si="64"/>
        <v>0</v>
      </c>
      <c r="K311" s="8">
        <f t="shared" ca="1" si="65"/>
        <v>0</v>
      </c>
      <c r="L311" s="8">
        <f t="shared" ca="1" si="66"/>
        <v>341.33000000000084</v>
      </c>
      <c r="M311" s="9">
        <f ca="1">AVERAGE(E311:OFFSET(E311,-M$5+1,0))</f>
        <v>6577.95</v>
      </c>
      <c r="N311" s="9">
        <f ca="1">AVERAGE(E311:OFFSET(E311,-N$5+1,0))</f>
        <v>6527.8740000000007</v>
      </c>
      <c r="O311" s="9">
        <f t="shared" ca="1" si="67"/>
        <v>0</v>
      </c>
      <c r="P311" s="14">
        <f t="shared" si="58"/>
        <v>0.31190122429542333</v>
      </c>
      <c r="Q311" s="15">
        <f ca="1">STDEV(P311:OFFSET(P311,-$Q$5+1,0))</f>
        <v>0.39900660099395563</v>
      </c>
      <c r="R311" s="15">
        <f ca="1">STDEV(P311:OFFSET(P311,-$R$5+1,0))</f>
        <v>0.77346418462107147</v>
      </c>
      <c r="S311" s="18">
        <f t="shared" si="59"/>
        <v>80.549999999999272</v>
      </c>
      <c r="T311" s="18">
        <f t="shared" si="60"/>
        <v>80.549999999999272</v>
      </c>
      <c r="U311" s="18">
        <f t="shared" si="68"/>
        <v>67.682614330685468</v>
      </c>
      <c r="V311" s="33">
        <f ca="1">AVERAGE(E311:OFFSET(E311,-V$5+1,0))</f>
        <v>6536.4221428571427</v>
      </c>
      <c r="W311" s="33">
        <f t="shared" ca="1" si="61"/>
        <v>6637.9460643531711</v>
      </c>
      <c r="X311" s="33">
        <f t="shared" ca="1" si="62"/>
        <v>6434.8982213611143</v>
      </c>
      <c r="Y311" s="32">
        <f t="shared" ca="1" si="69"/>
        <v>0</v>
      </c>
    </row>
    <row r="312" spans="1:25">
      <c r="A312" s="5">
        <v>38817</v>
      </c>
      <c r="B312" s="4">
        <v>6759.38</v>
      </c>
      <c r="C312" s="4">
        <v>6815.73</v>
      </c>
      <c r="D312" s="4">
        <v>6758.07</v>
      </c>
      <c r="E312" s="4">
        <v>6780.64</v>
      </c>
      <c r="F312" s="4">
        <v>3157200</v>
      </c>
      <c r="G312" s="8">
        <f t="shared" si="57"/>
        <v>-22.559999999999491</v>
      </c>
      <c r="H312" s="8">
        <f t="shared" si="56"/>
        <v>21.260000000000218</v>
      </c>
      <c r="I312" s="20">
        <f t="shared" ca="1" si="63"/>
        <v>0</v>
      </c>
      <c r="J312" s="8">
        <f t="shared" ca="1" si="64"/>
        <v>0</v>
      </c>
      <c r="K312" s="8">
        <f t="shared" ca="1" si="65"/>
        <v>0</v>
      </c>
      <c r="L312" s="8">
        <f t="shared" ca="1" si="66"/>
        <v>341.33000000000084</v>
      </c>
      <c r="M312" s="9">
        <f ca="1">AVERAGE(E312:OFFSET(E312,-M$5+1,0))</f>
        <v>6618.3520000000008</v>
      </c>
      <c r="N312" s="9">
        <f ca="1">AVERAGE(E312:OFFSET(E312,-N$5+1,0))</f>
        <v>6542.3720000000012</v>
      </c>
      <c r="O312" s="9">
        <f t="shared" ca="1" si="67"/>
        <v>0</v>
      </c>
      <c r="P312" s="14">
        <f t="shared" si="58"/>
        <v>-1.9170393892319327E-2</v>
      </c>
      <c r="Q312" s="15">
        <f ca="1">STDEV(P312:OFFSET(P312,-$Q$5+1,0))</f>
        <v>0.42912337525687094</v>
      </c>
      <c r="R312" s="15">
        <f ca="1">STDEV(P312:OFFSET(P312,-$R$5+1,0))</f>
        <v>0.77354316737915474</v>
      </c>
      <c r="S312" s="18">
        <f t="shared" si="59"/>
        <v>57.659999999999854</v>
      </c>
      <c r="T312" s="18">
        <f t="shared" si="60"/>
        <v>57.659999999999854</v>
      </c>
      <c r="U312" s="18">
        <f t="shared" si="68"/>
        <v>66.346265753260724</v>
      </c>
      <c r="V312" s="33">
        <f ca="1">AVERAGE(E312:OFFSET(E312,-V$5+1,0))</f>
        <v>6555.2878571428582</v>
      </c>
      <c r="W312" s="33">
        <f t="shared" ca="1" si="61"/>
        <v>6654.8072557727492</v>
      </c>
      <c r="X312" s="33">
        <f t="shared" ca="1" si="62"/>
        <v>6455.7684585129673</v>
      </c>
      <c r="Y312" s="32">
        <f t="shared" ca="1" si="69"/>
        <v>0</v>
      </c>
    </row>
    <row r="313" spans="1:25">
      <c r="A313" s="5">
        <v>38818</v>
      </c>
      <c r="B313" s="4">
        <v>6772.96</v>
      </c>
      <c r="C313" s="4">
        <v>6775.65</v>
      </c>
      <c r="D313" s="4">
        <v>6723.23</v>
      </c>
      <c r="E313" s="4">
        <v>6757.17</v>
      </c>
      <c r="F313" s="4">
        <v>3114200</v>
      </c>
      <c r="G313" s="8">
        <f t="shared" si="57"/>
        <v>-7.680000000000291</v>
      </c>
      <c r="H313" s="8">
        <f t="shared" si="56"/>
        <v>-15.789999999999964</v>
      </c>
      <c r="I313" s="20">
        <f t="shared" ca="1" si="63"/>
        <v>0</v>
      </c>
      <c r="J313" s="8">
        <f t="shared" ca="1" si="64"/>
        <v>0</v>
      </c>
      <c r="K313" s="8">
        <f t="shared" ca="1" si="65"/>
        <v>0</v>
      </c>
      <c r="L313" s="8">
        <f t="shared" ca="1" si="66"/>
        <v>341.33000000000084</v>
      </c>
      <c r="M313" s="9">
        <f ca="1">AVERAGE(E313:OFFSET(E313,-M$5+1,0))</f>
        <v>6651.8840000000009</v>
      </c>
      <c r="N313" s="9">
        <f ca="1">AVERAGE(E313:OFFSET(E313,-N$5+1,0))</f>
        <v>6552.9990000000007</v>
      </c>
      <c r="O313" s="9">
        <f t="shared" ca="1" si="67"/>
        <v>0</v>
      </c>
      <c r="P313" s="14">
        <f t="shared" si="58"/>
        <v>-0.34673294297606644</v>
      </c>
      <c r="Q313" s="15">
        <f ca="1">STDEV(P313:OFFSET(P313,-$Q$5+1,0))</f>
        <v>0.52296421971772011</v>
      </c>
      <c r="R313" s="15">
        <f ca="1">STDEV(P313:OFFSET(P313,-$R$5+1,0))</f>
        <v>0.77047065669523318</v>
      </c>
      <c r="S313" s="18">
        <f t="shared" si="59"/>
        <v>52.420000000000073</v>
      </c>
      <c r="T313" s="18">
        <f t="shared" si="60"/>
        <v>57.410000000000764</v>
      </c>
      <c r="U313" s="18">
        <f t="shared" si="68"/>
        <v>65.154763652826063</v>
      </c>
      <c r="V313" s="33">
        <f ca="1">AVERAGE(E313:OFFSET(E313,-V$5+1,0))</f>
        <v>6576.6549999999997</v>
      </c>
      <c r="W313" s="33">
        <f t="shared" ca="1" si="61"/>
        <v>6674.3871454792388</v>
      </c>
      <c r="X313" s="33">
        <f t="shared" ca="1" si="62"/>
        <v>6478.9228545207607</v>
      </c>
      <c r="Y313" s="32">
        <f t="shared" ca="1" si="69"/>
        <v>0</v>
      </c>
    </row>
    <row r="314" spans="1:25">
      <c r="A314" s="5">
        <v>38819</v>
      </c>
      <c r="B314" s="4">
        <v>6710.62</v>
      </c>
      <c r="C314" s="4">
        <v>6813.66</v>
      </c>
      <c r="D314" s="4">
        <v>6709.83</v>
      </c>
      <c r="E314" s="4">
        <v>6808.5</v>
      </c>
      <c r="F314" s="4">
        <v>3854600</v>
      </c>
      <c r="G314" s="8">
        <f t="shared" si="57"/>
        <v>-46.550000000000182</v>
      </c>
      <c r="H314" s="8">
        <f t="shared" si="56"/>
        <v>97.880000000000109</v>
      </c>
      <c r="I314" s="20">
        <f t="shared" ca="1" si="63"/>
        <v>0</v>
      </c>
      <c r="J314" s="8">
        <f t="shared" ca="1" si="64"/>
        <v>0</v>
      </c>
      <c r="K314" s="8">
        <f t="shared" ca="1" si="65"/>
        <v>0</v>
      </c>
      <c r="L314" s="8">
        <f t="shared" ca="1" si="66"/>
        <v>341.33000000000084</v>
      </c>
      <c r="M314" s="9">
        <f ca="1">AVERAGE(E314:OFFSET(E314,-M$5+1,0))</f>
        <v>6687.3489999999993</v>
      </c>
      <c r="N314" s="9">
        <f ca="1">AVERAGE(E314:OFFSET(E314,-N$5+1,0))</f>
        <v>6570.4234999999999</v>
      </c>
      <c r="O314" s="9">
        <f t="shared" ca="1" si="67"/>
        <v>0</v>
      </c>
      <c r="P314" s="14">
        <f t="shared" si="58"/>
        <v>0.75676682346675639</v>
      </c>
      <c r="Q314" s="15">
        <f ca="1">STDEV(P314:OFFSET(P314,-$Q$5+1,0))</f>
        <v>0.52872342371925007</v>
      </c>
      <c r="R314" s="15">
        <f ca="1">STDEV(P314:OFFSET(P314,-$R$5+1,0))</f>
        <v>0.7727171167158331</v>
      </c>
      <c r="S314" s="18">
        <f t="shared" si="59"/>
        <v>103.82999999999993</v>
      </c>
      <c r="T314" s="18">
        <f t="shared" si="60"/>
        <v>103.82999999999993</v>
      </c>
      <c r="U314" s="18">
        <f t="shared" si="68"/>
        <v>70.31146183244924</v>
      </c>
      <c r="V314" s="33">
        <f ca="1">AVERAGE(E314:OFFSET(E314,-V$5+1,0))</f>
        <v>6606.4578571428565</v>
      </c>
      <c r="W314" s="33">
        <f t="shared" ca="1" si="61"/>
        <v>6711.9250498915308</v>
      </c>
      <c r="X314" s="33">
        <f t="shared" ca="1" si="62"/>
        <v>6500.9906643941822</v>
      </c>
      <c r="Y314" s="32">
        <f t="shared" ca="1" si="69"/>
        <v>0</v>
      </c>
    </row>
    <row r="315" spans="1:25">
      <c r="A315" s="5">
        <v>38820</v>
      </c>
      <c r="B315" s="4">
        <v>6850.19</v>
      </c>
      <c r="C315" s="4">
        <v>6868.74</v>
      </c>
      <c r="D315" s="4">
        <v>6828.95</v>
      </c>
      <c r="E315" s="4">
        <v>6855.74</v>
      </c>
      <c r="F315" s="4">
        <v>4511400</v>
      </c>
      <c r="G315" s="8">
        <f t="shared" si="57"/>
        <v>41.6899999999996</v>
      </c>
      <c r="H315" s="8">
        <f t="shared" si="56"/>
        <v>5.5500000000001819</v>
      </c>
      <c r="I315" s="20">
        <f t="shared" ca="1" si="63"/>
        <v>0</v>
      </c>
      <c r="J315" s="8">
        <f t="shared" ca="1" si="64"/>
        <v>0</v>
      </c>
      <c r="K315" s="8">
        <f t="shared" ca="1" si="65"/>
        <v>0</v>
      </c>
      <c r="L315" s="8">
        <f t="shared" ca="1" si="66"/>
        <v>341.33000000000084</v>
      </c>
      <c r="M315" s="9">
        <f ca="1">AVERAGE(E315:OFFSET(E315,-M$5+1,0))</f>
        <v>6723.12</v>
      </c>
      <c r="N315" s="9">
        <f ca="1">AVERAGE(E315:OFFSET(E315,-N$5+1,0))</f>
        <v>6587.2754999999988</v>
      </c>
      <c r="O315" s="9">
        <f t="shared" ca="1" si="67"/>
        <v>0</v>
      </c>
      <c r="P315" s="14">
        <f t="shared" si="58"/>
        <v>0.69144260067264096</v>
      </c>
      <c r="Q315" s="15">
        <f ca="1">STDEV(P315:OFFSET(P315,-$Q$5+1,0))</f>
        <v>0.52901680790778838</v>
      </c>
      <c r="R315" s="15">
        <f ca="1">STDEV(P315:OFFSET(P315,-$R$5+1,0))</f>
        <v>0.77106323268511334</v>
      </c>
      <c r="S315" s="18">
        <f t="shared" si="59"/>
        <v>39.789999999999964</v>
      </c>
      <c r="T315" s="18">
        <f t="shared" si="60"/>
        <v>60.239999999999782</v>
      </c>
      <c r="U315" s="18">
        <f t="shared" si="68"/>
        <v>68.968600254789308</v>
      </c>
      <c r="V315" s="33">
        <f ca="1">AVERAGE(E315:OFFSET(E315,-V$5+1,0))</f>
        <v>6641.5392857142861</v>
      </c>
      <c r="W315" s="33">
        <f t="shared" ca="1" si="61"/>
        <v>6744.9921860964696</v>
      </c>
      <c r="X315" s="33">
        <f t="shared" ca="1" si="62"/>
        <v>6538.0863853321025</v>
      </c>
      <c r="Y315" s="32">
        <f t="shared" ca="1" si="69"/>
        <v>0</v>
      </c>
    </row>
    <row r="316" spans="1:25">
      <c r="A316" s="5">
        <v>38821</v>
      </c>
      <c r="B316" s="4">
        <v>6888.18</v>
      </c>
      <c r="C316" s="4">
        <v>6952.54</v>
      </c>
      <c r="D316" s="4">
        <v>6876.47</v>
      </c>
      <c r="E316" s="4">
        <v>6952.54</v>
      </c>
      <c r="F316" s="4">
        <v>4405200</v>
      </c>
      <c r="G316" s="8">
        <f t="shared" si="57"/>
        <v>32.440000000000509</v>
      </c>
      <c r="H316" s="8">
        <f t="shared" si="56"/>
        <v>64.359999999999673</v>
      </c>
      <c r="I316" s="20">
        <f t="shared" ca="1" si="63"/>
        <v>0</v>
      </c>
      <c r="J316" s="8">
        <f t="shared" ca="1" si="64"/>
        <v>0</v>
      </c>
      <c r="K316" s="8">
        <f t="shared" ca="1" si="65"/>
        <v>0</v>
      </c>
      <c r="L316" s="8">
        <f t="shared" ca="1" si="66"/>
        <v>341.33000000000084</v>
      </c>
      <c r="M316" s="9">
        <f ca="1">AVERAGE(E316:OFFSET(E316,-M$5+1,0))</f>
        <v>6763.7679999999991</v>
      </c>
      <c r="N316" s="9">
        <f ca="1">AVERAGE(E316:OFFSET(E316,-N$5+1,0))</f>
        <v>6609.6534999999985</v>
      </c>
      <c r="O316" s="9">
        <f t="shared" ca="1" si="67"/>
        <v>0</v>
      </c>
      <c r="P316" s="14">
        <f t="shared" si="58"/>
        <v>1.4020802846354823</v>
      </c>
      <c r="Q316" s="15">
        <f ca="1">STDEV(P316:OFFSET(P316,-$Q$5+1,0))</f>
        <v>0.59484018165259234</v>
      </c>
      <c r="R316" s="15">
        <f ca="1">STDEV(P316:OFFSET(P316,-$R$5+1,0))</f>
        <v>0.79657605052854108</v>
      </c>
      <c r="S316" s="18">
        <f t="shared" si="59"/>
        <v>76.069999999999709</v>
      </c>
      <c r="T316" s="18">
        <f t="shared" si="60"/>
        <v>96.800000000000182</v>
      </c>
      <c r="U316" s="18">
        <f t="shared" si="68"/>
        <v>72.679453554150754</v>
      </c>
      <c r="V316" s="33">
        <f ca="1">AVERAGE(E316:OFFSET(E316,-V$5+1,0))</f>
        <v>6682.6764285714289</v>
      </c>
      <c r="W316" s="33">
        <f t="shared" ca="1" si="61"/>
        <v>6791.6956089026553</v>
      </c>
      <c r="X316" s="33">
        <f t="shared" ca="1" si="62"/>
        <v>6573.6572482402025</v>
      </c>
      <c r="Y316" s="32">
        <f t="shared" ca="1" si="69"/>
        <v>0</v>
      </c>
    </row>
    <row r="317" spans="1:25">
      <c r="A317" s="5">
        <v>38824</v>
      </c>
      <c r="B317" s="4">
        <v>6982.47</v>
      </c>
      <c r="C317" s="4">
        <v>7015.91</v>
      </c>
      <c r="D317" s="4">
        <v>6950.58</v>
      </c>
      <c r="E317" s="4">
        <v>7000.09</v>
      </c>
      <c r="F317" s="4">
        <v>4893800</v>
      </c>
      <c r="G317" s="8">
        <f t="shared" si="57"/>
        <v>29.930000000000291</v>
      </c>
      <c r="H317" s="8">
        <f t="shared" si="56"/>
        <v>17.619999999999891</v>
      </c>
      <c r="I317" s="20">
        <f t="shared" ca="1" si="63"/>
        <v>0</v>
      </c>
      <c r="J317" s="8">
        <f t="shared" ca="1" si="64"/>
        <v>0</v>
      </c>
      <c r="K317" s="8">
        <f t="shared" ca="1" si="65"/>
        <v>0</v>
      </c>
      <c r="L317" s="8">
        <f t="shared" ca="1" si="66"/>
        <v>341.33000000000084</v>
      </c>
      <c r="M317" s="9">
        <f ca="1">AVERAGE(E317:OFFSET(E317,-M$5+1,0))</f>
        <v>6802.38</v>
      </c>
      <c r="N317" s="9">
        <f ca="1">AVERAGE(E317:OFFSET(E317,-N$5+1,0))</f>
        <v>6633.2294999999995</v>
      </c>
      <c r="O317" s="9">
        <f t="shared" ca="1" si="67"/>
        <v>0</v>
      </c>
      <c r="P317" s="14">
        <f t="shared" si="58"/>
        <v>0.68159456799439977</v>
      </c>
      <c r="Q317" s="15">
        <f ca="1">STDEV(P317:OFFSET(P317,-$Q$5+1,0))</f>
        <v>0.57676380590233134</v>
      </c>
      <c r="R317" s="15">
        <f ca="1">STDEV(P317:OFFSET(P317,-$R$5+1,0))</f>
        <v>0.77963097090974076</v>
      </c>
      <c r="S317" s="18">
        <f t="shared" si="59"/>
        <v>65.329999999999927</v>
      </c>
      <c r="T317" s="18">
        <f t="shared" si="60"/>
        <v>65.329999999999927</v>
      </c>
      <c r="U317" s="18">
        <f t="shared" si="68"/>
        <v>71.699526413597312</v>
      </c>
      <c r="V317" s="33">
        <f ca="1">AVERAGE(E317:OFFSET(E317,-V$5+1,0))</f>
        <v>6723.9792857142866</v>
      </c>
      <c r="W317" s="33">
        <f t="shared" ca="1" si="61"/>
        <v>6831.5285753346825</v>
      </c>
      <c r="X317" s="33">
        <f t="shared" ca="1" si="62"/>
        <v>6616.4299960938906</v>
      </c>
      <c r="Y317" s="32">
        <f t="shared" ca="1" si="69"/>
        <v>0</v>
      </c>
    </row>
    <row r="318" spans="1:25">
      <c r="A318" s="5">
        <v>38825</v>
      </c>
      <c r="B318" s="4">
        <v>7007.45</v>
      </c>
      <c r="C318" s="4">
        <v>7007.45</v>
      </c>
      <c r="D318" s="4">
        <v>6918.46</v>
      </c>
      <c r="E318" s="4">
        <v>6989.46</v>
      </c>
      <c r="F318" s="4">
        <v>3949000</v>
      </c>
      <c r="G318" s="8">
        <f t="shared" si="57"/>
        <v>7.3599999999996726</v>
      </c>
      <c r="H318" s="8">
        <f t="shared" si="56"/>
        <v>-17.989999999999782</v>
      </c>
      <c r="I318" s="20">
        <f t="shared" ca="1" si="63"/>
        <v>0</v>
      </c>
      <c r="J318" s="8">
        <f t="shared" ca="1" si="64"/>
        <v>0</v>
      </c>
      <c r="K318" s="8">
        <f t="shared" ca="1" si="65"/>
        <v>0</v>
      </c>
      <c r="L318" s="8">
        <f t="shared" ca="1" si="66"/>
        <v>341.33000000000084</v>
      </c>
      <c r="M318" s="9">
        <f ca="1">AVERAGE(E318:OFFSET(E318,-M$5+1,0))</f>
        <v>6835.25</v>
      </c>
      <c r="N318" s="9">
        <f ca="1">AVERAGE(E318:OFFSET(E318,-N$5+1,0))</f>
        <v>6656.8765000000003</v>
      </c>
      <c r="O318" s="9">
        <f t="shared" ca="1" si="67"/>
        <v>0</v>
      </c>
      <c r="P318" s="14">
        <f t="shared" si="58"/>
        <v>-0.1519706072866974</v>
      </c>
      <c r="Q318" s="15">
        <f ca="1">STDEV(P318:OFFSET(P318,-$Q$5+1,0))</f>
        <v>0.61635417152765626</v>
      </c>
      <c r="R318" s="15">
        <f ca="1">STDEV(P318:OFFSET(P318,-$R$5+1,0))</f>
        <v>0.77962699862688201</v>
      </c>
      <c r="S318" s="18">
        <f t="shared" si="59"/>
        <v>88.989999999999782</v>
      </c>
      <c r="T318" s="18">
        <f t="shared" si="60"/>
        <v>88.989999999999782</v>
      </c>
      <c r="U318" s="18">
        <f t="shared" si="68"/>
        <v>74.004922891784304</v>
      </c>
      <c r="V318" s="33">
        <f ca="1">AVERAGE(E318:OFFSET(E318,-V$5+1,0))</f>
        <v>6762.2371428571423</v>
      </c>
      <c r="W318" s="33">
        <f t="shared" ca="1" si="61"/>
        <v>6873.2445271948191</v>
      </c>
      <c r="X318" s="33">
        <f t="shared" ca="1" si="62"/>
        <v>6651.2297585194656</v>
      </c>
      <c r="Y318" s="32">
        <f t="shared" ca="1" si="69"/>
        <v>0</v>
      </c>
    </row>
    <row r="319" spans="1:25">
      <c r="A319" s="5">
        <v>38826</v>
      </c>
      <c r="B319" s="4">
        <v>7073.32</v>
      </c>
      <c r="C319" s="4">
        <v>7093.43</v>
      </c>
      <c r="D319" s="4">
        <v>7038.78</v>
      </c>
      <c r="E319" s="4">
        <v>7038.78</v>
      </c>
      <c r="F319" s="4">
        <v>4788200</v>
      </c>
      <c r="G319" s="8">
        <f t="shared" si="57"/>
        <v>83.859999999999673</v>
      </c>
      <c r="H319" s="8">
        <f t="shared" si="56"/>
        <v>-34.539999999999964</v>
      </c>
      <c r="I319" s="20">
        <f t="shared" ca="1" si="63"/>
        <v>0</v>
      </c>
      <c r="J319" s="8">
        <f t="shared" ca="1" si="64"/>
        <v>0</v>
      </c>
      <c r="K319" s="8">
        <f t="shared" ca="1" si="65"/>
        <v>0</v>
      </c>
      <c r="L319" s="8">
        <f t="shared" ca="1" si="66"/>
        <v>341.33000000000084</v>
      </c>
      <c r="M319" s="9">
        <f ca="1">AVERAGE(E319:OFFSET(E319,-M$5+1,0))</f>
        <v>6872.5680000000011</v>
      </c>
      <c r="N319" s="9">
        <f ca="1">AVERAGE(E319:OFFSET(E319,-N$5+1,0))</f>
        <v>6685.9139999999998</v>
      </c>
      <c r="O319" s="9">
        <f t="shared" ca="1" si="67"/>
        <v>0</v>
      </c>
      <c r="P319" s="14">
        <f t="shared" si="58"/>
        <v>0.70315596553620885</v>
      </c>
      <c r="Q319" s="15">
        <f ca="1">STDEV(P319:OFFSET(P319,-$Q$5+1,0))</f>
        <v>0.60194052807847365</v>
      </c>
      <c r="R319" s="15">
        <f ca="1">STDEV(P319:OFFSET(P319,-$R$5+1,0))</f>
        <v>0.78508307319643034</v>
      </c>
      <c r="S319" s="18">
        <f t="shared" si="59"/>
        <v>54.650000000000546</v>
      </c>
      <c r="T319" s="18">
        <f t="shared" si="60"/>
        <v>103.97000000000025</v>
      </c>
      <c r="U319" s="18">
        <f t="shared" si="68"/>
        <v>78.000266506213094</v>
      </c>
      <c r="V319" s="33">
        <f ca="1">AVERAGE(E319:OFFSET(E319,-V$5+1,0))</f>
        <v>6800.8621428571423</v>
      </c>
      <c r="W319" s="33">
        <f t="shared" ca="1" si="61"/>
        <v>6917.8625426164617</v>
      </c>
      <c r="X319" s="33">
        <f t="shared" ca="1" si="62"/>
        <v>6683.8617430978229</v>
      </c>
      <c r="Y319" s="32">
        <f t="shared" ca="1" si="69"/>
        <v>0</v>
      </c>
    </row>
    <row r="320" spans="1:25">
      <c r="A320" s="5">
        <v>38827</v>
      </c>
      <c r="B320" s="4">
        <v>7061.38</v>
      </c>
      <c r="C320" s="4">
        <v>7107.68</v>
      </c>
      <c r="D320" s="4">
        <v>7030.89</v>
      </c>
      <c r="E320" s="4">
        <v>7102.74</v>
      </c>
      <c r="F320" s="4">
        <v>4328400</v>
      </c>
      <c r="G320" s="8">
        <f t="shared" si="57"/>
        <v>22.600000000000364</v>
      </c>
      <c r="H320" s="8">
        <f t="shared" si="56"/>
        <v>41.359999999999673</v>
      </c>
      <c r="I320" s="20">
        <f t="shared" ca="1" si="63"/>
        <v>0</v>
      </c>
      <c r="J320" s="8">
        <f t="shared" ca="1" si="64"/>
        <v>0</v>
      </c>
      <c r="K320" s="8">
        <f t="shared" ca="1" si="65"/>
        <v>0</v>
      </c>
      <c r="L320" s="8">
        <f t="shared" ca="1" si="66"/>
        <v>341.33000000000084</v>
      </c>
      <c r="M320" s="9">
        <f ca="1">AVERAGE(E320:OFFSET(E320,-M$5+1,0))</f>
        <v>6906.7599999999993</v>
      </c>
      <c r="N320" s="9">
        <f ca="1">AVERAGE(E320:OFFSET(E320,-N$5+1,0))</f>
        <v>6721.4879999999994</v>
      </c>
      <c r="O320" s="9">
        <f t="shared" ca="1" si="67"/>
        <v>0</v>
      </c>
      <c r="P320" s="14">
        <f t="shared" si="58"/>
        <v>0.90457653959831152</v>
      </c>
      <c r="Q320" s="15">
        <f ca="1">STDEV(P320:OFFSET(P320,-$Q$5+1,0))</f>
        <v>0.53756245182586038</v>
      </c>
      <c r="R320" s="15">
        <f ca="1">STDEV(P320:OFFSET(P320,-$R$5+1,0))</f>
        <v>0.778783733675394</v>
      </c>
      <c r="S320" s="18">
        <f t="shared" si="59"/>
        <v>76.789999999999964</v>
      </c>
      <c r="T320" s="18">
        <f t="shared" si="60"/>
        <v>76.789999999999964</v>
      </c>
      <c r="U320" s="18">
        <f t="shared" si="68"/>
        <v>77.838897638718009</v>
      </c>
      <c r="V320" s="33">
        <f ca="1">AVERAGE(E320:OFFSET(E320,-V$5+1,0))</f>
        <v>6840.625</v>
      </c>
      <c r="W320" s="33">
        <f t="shared" ca="1" si="61"/>
        <v>6957.3833464580766</v>
      </c>
      <c r="X320" s="33">
        <f t="shared" ca="1" si="62"/>
        <v>6723.8666535419234</v>
      </c>
      <c r="Y320" s="32">
        <f t="shared" ca="1" si="69"/>
        <v>0</v>
      </c>
    </row>
    <row r="321" spans="1:25">
      <c r="A321" s="5">
        <v>38828</v>
      </c>
      <c r="B321" s="4">
        <v>7130.68</v>
      </c>
      <c r="C321" s="4">
        <v>7160.74</v>
      </c>
      <c r="D321" s="4">
        <v>7092.93</v>
      </c>
      <c r="E321" s="4">
        <v>7093.05</v>
      </c>
      <c r="F321" s="4">
        <v>5321000</v>
      </c>
      <c r="G321" s="8">
        <f t="shared" si="57"/>
        <v>27.940000000000509</v>
      </c>
      <c r="H321" s="8">
        <f t="shared" si="56"/>
        <v>-37.630000000000109</v>
      </c>
      <c r="I321" s="20">
        <f t="shared" ca="1" si="63"/>
        <v>0</v>
      </c>
      <c r="J321" s="8">
        <f t="shared" ca="1" si="64"/>
        <v>0</v>
      </c>
      <c r="K321" s="8">
        <f t="shared" ca="1" si="65"/>
        <v>0</v>
      </c>
      <c r="L321" s="8">
        <f t="shared" ca="1" si="66"/>
        <v>341.33000000000084</v>
      </c>
      <c r="M321" s="9">
        <f ca="1">AVERAGE(E321:OFFSET(E321,-M$5+1,0))</f>
        <v>6937.871000000001</v>
      </c>
      <c r="N321" s="9">
        <f ca="1">AVERAGE(E321:OFFSET(E321,-N$5+1,0))</f>
        <v>6757.9105</v>
      </c>
      <c r="O321" s="9">
        <f t="shared" ca="1" si="67"/>
        <v>0</v>
      </c>
      <c r="P321" s="14">
        <f t="shared" si="58"/>
        <v>-0.13651936954520288</v>
      </c>
      <c r="Q321" s="15">
        <f ca="1">STDEV(P321:OFFSET(P321,-$Q$5+1,0))</f>
        <v>0.57198262290847157</v>
      </c>
      <c r="R321" s="15">
        <f ca="1">STDEV(P321:OFFSET(P321,-$R$5+1,0))</f>
        <v>0.73026447187170973</v>
      </c>
      <c r="S321" s="18">
        <f t="shared" si="59"/>
        <v>67.809999999999491</v>
      </c>
      <c r="T321" s="18">
        <f t="shared" si="60"/>
        <v>67.809999999999491</v>
      </c>
      <c r="U321" s="18">
        <f t="shared" si="68"/>
        <v>76.501711286888877</v>
      </c>
      <c r="V321" s="33">
        <f ca="1">AVERAGE(E321:OFFSET(E321,-V$5+1,0))</f>
        <v>6874.8450000000012</v>
      </c>
      <c r="W321" s="33">
        <f t="shared" ca="1" si="61"/>
        <v>6989.5975669303343</v>
      </c>
      <c r="X321" s="33">
        <f t="shared" ca="1" si="62"/>
        <v>6760.092433069668</v>
      </c>
      <c r="Y321" s="32">
        <f t="shared" ca="1" si="69"/>
        <v>0</v>
      </c>
    </row>
    <row r="322" spans="1:25">
      <c r="A322" s="5">
        <v>38831</v>
      </c>
      <c r="B322" s="4">
        <v>7066.19</v>
      </c>
      <c r="C322" s="4">
        <v>7141.29</v>
      </c>
      <c r="D322" s="4">
        <v>7057.19</v>
      </c>
      <c r="E322" s="4">
        <v>7096.04</v>
      </c>
      <c r="F322" s="4">
        <v>3933400</v>
      </c>
      <c r="G322" s="8">
        <f t="shared" si="57"/>
        <v>-26.860000000000582</v>
      </c>
      <c r="H322" s="8">
        <f t="shared" si="56"/>
        <v>29.850000000000364</v>
      </c>
      <c r="I322" s="20">
        <f t="shared" ca="1" si="63"/>
        <v>0</v>
      </c>
      <c r="J322" s="8">
        <f t="shared" ca="1" si="64"/>
        <v>0</v>
      </c>
      <c r="K322" s="8">
        <f t="shared" ca="1" si="65"/>
        <v>0</v>
      </c>
      <c r="L322" s="8">
        <f t="shared" ca="1" si="66"/>
        <v>341.33000000000084</v>
      </c>
      <c r="M322" s="9">
        <f ca="1">AVERAGE(E322:OFFSET(E322,-M$5+1,0))</f>
        <v>6969.4110000000001</v>
      </c>
      <c r="N322" s="9">
        <f ca="1">AVERAGE(E322:OFFSET(E322,-N$5+1,0))</f>
        <v>6793.8815000000004</v>
      </c>
      <c r="O322" s="9">
        <f t="shared" ca="1" si="67"/>
        <v>0</v>
      </c>
      <c r="P322" s="14">
        <f t="shared" si="58"/>
        <v>4.2145057142598287E-2</v>
      </c>
      <c r="Q322" s="15">
        <f ca="1">STDEV(P322:OFFSET(P322,-$Q$5+1,0))</f>
        <v>0.5667163832680957</v>
      </c>
      <c r="R322" s="15">
        <f ca="1">STDEV(P322:OFFSET(P322,-$R$5+1,0))</f>
        <v>0.710082659294477</v>
      </c>
      <c r="S322" s="18">
        <f t="shared" si="59"/>
        <v>84.100000000000364</v>
      </c>
      <c r="T322" s="18">
        <f t="shared" si="60"/>
        <v>84.100000000000364</v>
      </c>
      <c r="U322" s="18">
        <f t="shared" si="68"/>
        <v>77.514816448637077</v>
      </c>
      <c r="V322" s="33">
        <f ca="1">AVERAGE(E322:OFFSET(E322,-V$5+1,0))</f>
        <v>6905.9364285714282</v>
      </c>
      <c r="W322" s="33">
        <f t="shared" ca="1" si="61"/>
        <v>7022.2086532443836</v>
      </c>
      <c r="X322" s="33">
        <f t="shared" ca="1" si="62"/>
        <v>6789.6642038984728</v>
      </c>
      <c r="Y322" s="32">
        <f t="shared" ca="1" si="69"/>
        <v>0</v>
      </c>
    </row>
    <row r="323" spans="1:25">
      <c r="A323" s="5">
        <v>38832</v>
      </c>
      <c r="B323" s="4">
        <v>7125.9</v>
      </c>
      <c r="C323" s="4">
        <v>7166.47</v>
      </c>
      <c r="D323" s="4">
        <v>7052.9</v>
      </c>
      <c r="E323" s="4">
        <v>7059.94</v>
      </c>
      <c r="F323" s="4">
        <v>4727400</v>
      </c>
      <c r="G323" s="8">
        <f t="shared" si="57"/>
        <v>29.859999999999673</v>
      </c>
      <c r="H323" s="8">
        <f t="shared" si="56"/>
        <v>-65.960000000000036</v>
      </c>
      <c r="I323" s="20">
        <f t="shared" ca="1" si="63"/>
        <v>0</v>
      </c>
      <c r="J323" s="8">
        <f t="shared" ca="1" si="64"/>
        <v>0</v>
      </c>
      <c r="K323" s="8">
        <f t="shared" ca="1" si="65"/>
        <v>0</v>
      </c>
      <c r="L323" s="8">
        <f t="shared" ca="1" si="66"/>
        <v>341.33000000000084</v>
      </c>
      <c r="M323" s="9">
        <f ca="1">AVERAGE(E323:OFFSET(E323,-M$5+1,0))</f>
        <v>6999.6880000000001</v>
      </c>
      <c r="N323" s="9">
        <f ca="1">AVERAGE(E323:OFFSET(E323,-N$5+1,0))</f>
        <v>6825.7860000000001</v>
      </c>
      <c r="O323" s="9">
        <f t="shared" ca="1" si="67"/>
        <v>0</v>
      </c>
      <c r="P323" s="14">
        <f t="shared" si="58"/>
        <v>-0.51003290845020821</v>
      </c>
      <c r="Q323" s="15">
        <f ca="1">STDEV(P323:OFFSET(P323,-$Q$5+1,0))</f>
        <v>0.59406698157445781</v>
      </c>
      <c r="R323" s="15">
        <f ca="1">STDEV(P323:OFFSET(P323,-$R$5+1,0))</f>
        <v>0.70886396641113292</v>
      </c>
      <c r="S323" s="18">
        <f t="shared" si="59"/>
        <v>113.57000000000062</v>
      </c>
      <c r="T323" s="18">
        <f t="shared" si="60"/>
        <v>113.57000000000062</v>
      </c>
      <c r="U323" s="18">
        <f t="shared" si="68"/>
        <v>82.32217425548555</v>
      </c>
      <c r="V323" s="33">
        <f ca="1">AVERAGE(E323:OFFSET(E323,-V$5+1,0))</f>
        <v>6934.1035714285726</v>
      </c>
      <c r="W323" s="33">
        <f t="shared" ca="1" si="61"/>
        <v>7057.5868328118013</v>
      </c>
      <c r="X323" s="33">
        <f t="shared" ca="1" si="62"/>
        <v>6810.620310045344</v>
      </c>
      <c r="Y323" s="32">
        <f t="shared" ca="1" si="69"/>
        <v>0</v>
      </c>
    </row>
    <row r="324" spans="1:25">
      <c r="A324" s="5">
        <v>38833</v>
      </c>
      <c r="B324" s="4">
        <v>7080.62</v>
      </c>
      <c r="C324" s="4">
        <v>7173.56</v>
      </c>
      <c r="D324" s="4">
        <v>7047.96</v>
      </c>
      <c r="E324" s="4">
        <v>7168.98</v>
      </c>
      <c r="F324" s="4">
        <v>4372800</v>
      </c>
      <c r="G324" s="8">
        <f t="shared" si="57"/>
        <v>20.680000000000291</v>
      </c>
      <c r="H324" s="8">
        <f t="shared" ref="H324:H387" si="70">E324-B324</f>
        <v>88.359999999999673</v>
      </c>
      <c r="I324" s="20">
        <f t="shared" ca="1" si="63"/>
        <v>0</v>
      </c>
      <c r="J324" s="8">
        <f t="shared" ca="1" si="64"/>
        <v>0</v>
      </c>
      <c r="K324" s="8">
        <f t="shared" ca="1" si="65"/>
        <v>0</v>
      </c>
      <c r="L324" s="8">
        <f t="shared" ca="1" si="66"/>
        <v>341.33000000000084</v>
      </c>
      <c r="M324" s="9">
        <f ca="1">AVERAGE(E324:OFFSET(E324,-M$5+1,0))</f>
        <v>7035.7359999999999</v>
      </c>
      <c r="N324" s="9">
        <f ca="1">AVERAGE(E324:OFFSET(E324,-N$5+1,0))</f>
        <v>6861.5425000000005</v>
      </c>
      <c r="O324" s="9">
        <f t="shared" ca="1" si="67"/>
        <v>0</v>
      </c>
      <c r="P324" s="14">
        <f t="shared" si="58"/>
        <v>1.5326832192004678</v>
      </c>
      <c r="Q324" s="15">
        <f ca="1">STDEV(P324:OFFSET(P324,-$Q$5+1,0))</f>
        <v>0.68412572051616927</v>
      </c>
      <c r="R324" s="15">
        <f ca="1">STDEV(P324:OFFSET(P324,-$R$5+1,0))</f>
        <v>0.73959003390032929</v>
      </c>
      <c r="S324" s="18">
        <f t="shared" si="59"/>
        <v>125.60000000000036</v>
      </c>
      <c r="T324" s="18">
        <f t="shared" si="60"/>
        <v>125.60000000000036</v>
      </c>
      <c r="U324" s="18">
        <f t="shared" si="68"/>
        <v>88.09255102142086</v>
      </c>
      <c r="V324" s="33">
        <f ca="1">AVERAGE(E324:OFFSET(E324,-V$5+1,0))</f>
        <v>6963.2578571428558</v>
      </c>
      <c r="W324" s="33">
        <f t="shared" ca="1" si="61"/>
        <v>7095.3966836749869</v>
      </c>
      <c r="X324" s="33">
        <f t="shared" ca="1" si="62"/>
        <v>6831.1190306107246</v>
      </c>
      <c r="Y324" s="32">
        <f t="shared" ca="1" si="69"/>
        <v>0</v>
      </c>
    </row>
    <row r="325" spans="1:25">
      <c r="A325" s="5">
        <v>38834</v>
      </c>
      <c r="B325" s="4">
        <v>7203.75</v>
      </c>
      <c r="C325" s="4">
        <v>7229.35</v>
      </c>
      <c r="D325" s="4">
        <v>7136.21</v>
      </c>
      <c r="E325" s="4">
        <v>7136.21</v>
      </c>
      <c r="F325" s="4">
        <v>6353400</v>
      </c>
      <c r="G325" s="8">
        <f t="shared" ref="G325:G388" si="71">B325-E324</f>
        <v>34.770000000000437</v>
      </c>
      <c r="H325" s="8">
        <f t="shared" si="70"/>
        <v>-67.539999999999964</v>
      </c>
      <c r="I325" s="20">
        <f t="shared" ca="1" si="63"/>
        <v>0</v>
      </c>
      <c r="J325" s="8">
        <f t="shared" ca="1" si="64"/>
        <v>0</v>
      </c>
      <c r="K325" s="8">
        <f t="shared" ca="1" si="65"/>
        <v>0</v>
      </c>
      <c r="L325" s="8">
        <f t="shared" ca="1" si="66"/>
        <v>341.33000000000084</v>
      </c>
      <c r="M325" s="9">
        <f ca="1">AVERAGE(E325:OFFSET(E325,-M$5+1,0))</f>
        <v>7063.7830000000013</v>
      </c>
      <c r="N325" s="9">
        <f ca="1">AVERAGE(E325:OFFSET(E325,-N$5+1,0))</f>
        <v>6893.4515000000001</v>
      </c>
      <c r="O325" s="9">
        <f t="shared" ca="1" si="67"/>
        <v>0</v>
      </c>
      <c r="P325" s="14">
        <f t="shared" ref="P325:P388" si="72">100*LN(E325/E324)</f>
        <v>-0.45815619816459302</v>
      </c>
      <c r="Q325" s="15">
        <f ca="1">STDEV(P325:OFFSET(P325,-$Q$5+1,0))</f>
        <v>0.74521438107644311</v>
      </c>
      <c r="R325" s="15">
        <f ca="1">STDEV(P325:OFFSET(P325,-$R$5+1,0))</f>
        <v>0.74139792451568054</v>
      </c>
      <c r="S325" s="18">
        <f t="shared" si="59"/>
        <v>93.140000000000327</v>
      </c>
      <c r="T325" s="18">
        <f t="shared" si="60"/>
        <v>93.140000000000327</v>
      </c>
      <c r="U325" s="18">
        <f t="shared" si="68"/>
        <v>88.765544218564784</v>
      </c>
      <c r="V325" s="33">
        <f ca="1">AVERAGE(E325:OFFSET(E325,-V$5+1,0))</f>
        <v>6988.5628571428579</v>
      </c>
      <c r="W325" s="33">
        <f t="shared" ca="1" si="61"/>
        <v>7121.711173470705</v>
      </c>
      <c r="X325" s="33">
        <f t="shared" ca="1" si="62"/>
        <v>6855.4145408150107</v>
      </c>
      <c r="Y325" s="32">
        <f t="shared" ca="1" si="69"/>
        <v>0</v>
      </c>
    </row>
    <row r="326" spans="1:25">
      <c r="A326" s="5">
        <v>38835</v>
      </c>
      <c r="B326" s="4">
        <v>7172.31</v>
      </c>
      <c r="C326" s="4">
        <v>7184.37</v>
      </c>
      <c r="D326" s="4">
        <v>7103.87</v>
      </c>
      <c r="E326" s="4">
        <v>7171.77</v>
      </c>
      <c r="F326" s="4">
        <v>4622400</v>
      </c>
      <c r="G326" s="8">
        <f t="shared" si="71"/>
        <v>36.100000000000364</v>
      </c>
      <c r="H326" s="8">
        <f t="shared" si="70"/>
        <v>-0.53999999999996362</v>
      </c>
      <c r="I326" s="20">
        <f t="shared" ca="1" si="63"/>
        <v>0</v>
      </c>
      <c r="J326" s="8">
        <f t="shared" ca="1" si="64"/>
        <v>0</v>
      </c>
      <c r="K326" s="8">
        <f t="shared" ca="1" si="65"/>
        <v>0</v>
      </c>
      <c r="L326" s="8">
        <f t="shared" ca="1" si="66"/>
        <v>341.33000000000084</v>
      </c>
      <c r="M326" s="9">
        <f ca="1">AVERAGE(E326:OFFSET(E326,-M$5+1,0))</f>
        <v>7085.7060000000001</v>
      </c>
      <c r="N326" s="9">
        <f ca="1">AVERAGE(E326:OFFSET(E326,-N$5+1,0))</f>
        <v>6924.7369999999992</v>
      </c>
      <c r="O326" s="9">
        <f t="shared" ca="1" si="67"/>
        <v>0</v>
      </c>
      <c r="P326" s="14">
        <f t="shared" si="72"/>
        <v>0.49706629749971054</v>
      </c>
      <c r="Q326" s="15">
        <f ca="1">STDEV(P326:OFFSET(P326,-$Q$5+1,0))</f>
        <v>0.66023413051193891</v>
      </c>
      <c r="R326" s="15">
        <f ca="1">STDEV(P326:OFFSET(P326,-$R$5+1,0))</f>
        <v>0.74189236001732173</v>
      </c>
      <c r="S326" s="18">
        <f t="shared" si="59"/>
        <v>80.5</v>
      </c>
      <c r="T326" s="18">
        <f t="shared" si="60"/>
        <v>80.5</v>
      </c>
      <c r="U326" s="18">
        <f t="shared" si="68"/>
        <v>87.663471656089484</v>
      </c>
      <c r="V326" s="33">
        <f ca="1">AVERAGE(E326:OFFSET(E326,-V$5+1,0))</f>
        <v>7016.5007142857148</v>
      </c>
      <c r="W326" s="33">
        <f t="shared" ca="1" si="61"/>
        <v>7147.9959217698488</v>
      </c>
      <c r="X326" s="33">
        <f t="shared" ca="1" si="62"/>
        <v>6885.0055068015809</v>
      </c>
      <c r="Y326" s="32">
        <f t="shared" ca="1" si="69"/>
        <v>0</v>
      </c>
    </row>
    <row r="327" spans="1:25">
      <c r="A327" s="5">
        <v>38839</v>
      </c>
      <c r="B327" s="4">
        <v>7174.93</v>
      </c>
      <c r="C327" s="4">
        <v>7217.37</v>
      </c>
      <c r="D327" s="4">
        <v>7141.91</v>
      </c>
      <c r="E327" s="4">
        <v>7199.6</v>
      </c>
      <c r="F327" s="4">
        <v>4970800</v>
      </c>
      <c r="G327" s="8">
        <f t="shared" si="71"/>
        <v>3.1599999999998545</v>
      </c>
      <c r="H327" s="8">
        <f t="shared" si="70"/>
        <v>24.670000000000073</v>
      </c>
      <c r="I327" s="20">
        <f t="shared" ca="1" si="63"/>
        <v>0</v>
      </c>
      <c r="J327" s="8">
        <f t="shared" ca="1" si="64"/>
        <v>0</v>
      </c>
      <c r="K327" s="8">
        <f t="shared" ca="1" si="65"/>
        <v>0</v>
      </c>
      <c r="L327" s="8">
        <f t="shared" ca="1" si="66"/>
        <v>341.33000000000084</v>
      </c>
      <c r="M327" s="9">
        <f ca="1">AVERAGE(E327:OFFSET(E327,-M$5+1,0))</f>
        <v>7105.6570000000011</v>
      </c>
      <c r="N327" s="9">
        <f ca="1">AVERAGE(E327:OFFSET(E327,-N$5+1,0))</f>
        <v>6954.018500000001</v>
      </c>
      <c r="O327" s="9">
        <f t="shared" ca="1" si="67"/>
        <v>0</v>
      </c>
      <c r="P327" s="14">
        <f t="shared" si="72"/>
        <v>0.38729828523630117</v>
      </c>
      <c r="Q327" s="15">
        <f ca="1">STDEV(P327:OFFSET(P327,-$Q$5+1,0))</f>
        <v>0.64830383887329213</v>
      </c>
      <c r="R327" s="15">
        <f ca="1">STDEV(P327:OFFSET(P327,-$R$5+1,0))</f>
        <v>0.69874777582612635</v>
      </c>
      <c r="S327" s="18">
        <f t="shared" si="59"/>
        <v>75.460000000000036</v>
      </c>
      <c r="T327" s="18">
        <f t="shared" si="60"/>
        <v>75.460000000000036</v>
      </c>
      <c r="U327" s="18">
        <f t="shared" si="68"/>
        <v>86.036342101944228</v>
      </c>
      <c r="V327" s="33">
        <f ca="1">AVERAGE(E327:OFFSET(E327,-V$5+1,0))</f>
        <v>7048.1028571428587</v>
      </c>
      <c r="W327" s="33">
        <f t="shared" ca="1" si="61"/>
        <v>7177.1573702957749</v>
      </c>
      <c r="X327" s="33">
        <f t="shared" ca="1" si="62"/>
        <v>6919.0483439899426</v>
      </c>
      <c r="Y327" s="32">
        <f t="shared" ca="1" si="69"/>
        <v>0</v>
      </c>
    </row>
    <row r="328" spans="1:25">
      <c r="A328" s="5">
        <v>38840</v>
      </c>
      <c r="B328" s="4">
        <v>7242.04</v>
      </c>
      <c r="C328" s="4">
        <v>7265.17</v>
      </c>
      <c r="D328" s="4">
        <v>7233.84</v>
      </c>
      <c r="E328" s="4">
        <v>7242.37</v>
      </c>
      <c r="F328" s="4">
        <v>5332200</v>
      </c>
      <c r="G328" s="8">
        <f t="shared" si="71"/>
        <v>42.4399999999996</v>
      </c>
      <c r="H328" s="8">
        <f t="shared" si="70"/>
        <v>0.32999999999992724</v>
      </c>
      <c r="I328" s="20">
        <f t="shared" ca="1" si="63"/>
        <v>0</v>
      </c>
      <c r="J328" s="8">
        <f t="shared" ca="1" si="64"/>
        <v>0</v>
      </c>
      <c r="K328" s="8">
        <f t="shared" ca="1" si="65"/>
        <v>0</v>
      </c>
      <c r="L328" s="8">
        <f t="shared" ca="1" si="66"/>
        <v>341.33000000000084</v>
      </c>
      <c r="M328" s="9">
        <f ca="1">AVERAGE(E328:OFFSET(E328,-M$5+1,0))</f>
        <v>7130.9479999999994</v>
      </c>
      <c r="N328" s="9">
        <f ca="1">AVERAGE(E328:OFFSET(E328,-N$5+1,0))</f>
        <v>6983.0990000000002</v>
      </c>
      <c r="O328" s="9">
        <f t="shared" ca="1" si="67"/>
        <v>0</v>
      </c>
      <c r="P328" s="14">
        <f t="shared" si="72"/>
        <v>0.59230319740475423</v>
      </c>
      <c r="Q328" s="15">
        <f ca="1">STDEV(P328:OFFSET(P328,-$Q$5+1,0))</f>
        <v>0.63567076835953118</v>
      </c>
      <c r="R328" s="15">
        <f ca="1">STDEV(P328:OFFSET(P328,-$R$5+1,0))</f>
        <v>0.7008662860958268</v>
      </c>
      <c r="S328" s="18">
        <f t="shared" si="59"/>
        <v>31.329999999999927</v>
      </c>
      <c r="T328" s="18">
        <f t="shared" si="60"/>
        <v>65.569999999999709</v>
      </c>
      <c r="U328" s="18">
        <f t="shared" si="68"/>
        <v>83.307496488351617</v>
      </c>
      <c r="V328" s="33">
        <f ca="1">AVERAGE(E328:OFFSET(E328,-V$5+1,0))</f>
        <v>7079.0935714285724</v>
      </c>
      <c r="W328" s="33">
        <f t="shared" ca="1" si="61"/>
        <v>7204.0548161610996</v>
      </c>
      <c r="X328" s="33">
        <f t="shared" ca="1" si="62"/>
        <v>6954.1323266960453</v>
      </c>
      <c r="Y328" s="32">
        <f t="shared" ca="1" si="69"/>
        <v>0</v>
      </c>
    </row>
    <row r="329" spans="1:25">
      <c r="A329" s="5">
        <v>38841</v>
      </c>
      <c r="B329" s="4">
        <v>7280.82</v>
      </c>
      <c r="C329" s="4">
        <v>7351.87</v>
      </c>
      <c r="D329" s="4">
        <v>7278.49</v>
      </c>
      <c r="E329" s="4">
        <v>7345.04</v>
      </c>
      <c r="F329" s="4">
        <v>6041000</v>
      </c>
      <c r="G329" s="8">
        <f t="shared" si="71"/>
        <v>38.449999999999818</v>
      </c>
      <c r="H329" s="8">
        <f t="shared" si="70"/>
        <v>64.220000000000255</v>
      </c>
      <c r="I329" s="20">
        <f t="shared" ca="1" si="63"/>
        <v>0</v>
      </c>
      <c r="J329" s="8">
        <f t="shared" ca="1" si="64"/>
        <v>0</v>
      </c>
      <c r="K329" s="8">
        <f t="shared" ca="1" si="65"/>
        <v>0</v>
      </c>
      <c r="L329" s="8">
        <f t="shared" ca="1" si="66"/>
        <v>341.33000000000084</v>
      </c>
      <c r="M329" s="9">
        <f ca="1">AVERAGE(E329:OFFSET(E329,-M$5+1,0))</f>
        <v>7161.5739999999987</v>
      </c>
      <c r="N329" s="9">
        <f ca="1">AVERAGE(E329:OFFSET(E329,-N$5+1,0))</f>
        <v>7017.0710000000017</v>
      </c>
      <c r="O329" s="9">
        <f t="shared" ca="1" si="67"/>
        <v>0</v>
      </c>
      <c r="P329" s="14">
        <f t="shared" si="72"/>
        <v>1.4076754595329313</v>
      </c>
      <c r="Q329" s="15">
        <f ca="1">STDEV(P329:OFFSET(P329,-$Q$5+1,0))</f>
        <v>0.71284541795379308</v>
      </c>
      <c r="R329" s="15">
        <f ca="1">STDEV(P329:OFFSET(P329,-$R$5+1,0))</f>
        <v>0.6816157966396369</v>
      </c>
      <c r="S329" s="18">
        <f t="shared" si="59"/>
        <v>73.380000000000109</v>
      </c>
      <c r="T329" s="18">
        <f t="shared" si="60"/>
        <v>109.5</v>
      </c>
      <c r="U329" s="18">
        <f t="shared" si="68"/>
        <v>86.799830289904733</v>
      </c>
      <c r="V329" s="33">
        <f ca="1">AVERAGE(E329:OFFSET(E329,-V$5+1,0))</f>
        <v>7114.0435714285722</v>
      </c>
      <c r="W329" s="33">
        <f t="shared" ca="1" si="61"/>
        <v>7244.2433168634298</v>
      </c>
      <c r="X329" s="33">
        <f t="shared" ca="1" si="62"/>
        <v>6983.8438259937147</v>
      </c>
      <c r="Y329" s="32">
        <f t="shared" ca="1" si="69"/>
        <v>0</v>
      </c>
    </row>
    <row r="330" spans="1:25">
      <c r="A330" s="5">
        <v>38842</v>
      </c>
      <c r="B330" s="4">
        <v>7409.65</v>
      </c>
      <c r="C330" s="4">
        <v>7455.83</v>
      </c>
      <c r="D330" s="4">
        <v>7355.42</v>
      </c>
      <c r="E330" s="4">
        <v>7370.44</v>
      </c>
      <c r="F330" s="4">
        <v>6998600</v>
      </c>
      <c r="G330" s="8">
        <f t="shared" si="71"/>
        <v>64.609999999999673</v>
      </c>
      <c r="H330" s="8">
        <f t="shared" si="70"/>
        <v>-39.210000000000036</v>
      </c>
      <c r="I330" s="20">
        <f t="shared" ca="1" si="63"/>
        <v>0</v>
      </c>
      <c r="J330" s="8">
        <f t="shared" ca="1" si="64"/>
        <v>0</v>
      </c>
      <c r="K330" s="8">
        <f t="shared" ca="1" si="65"/>
        <v>0</v>
      </c>
      <c r="L330" s="8">
        <f t="shared" ca="1" si="66"/>
        <v>341.33000000000084</v>
      </c>
      <c r="M330" s="9">
        <f ca="1">AVERAGE(E330:OFFSET(E330,-M$5+1,0))</f>
        <v>7188.3440000000001</v>
      </c>
      <c r="N330" s="9">
        <f ca="1">AVERAGE(E330:OFFSET(E330,-N$5+1,0))</f>
        <v>7047.5520000000006</v>
      </c>
      <c r="O330" s="9">
        <f t="shared" ca="1" si="67"/>
        <v>0</v>
      </c>
      <c r="P330" s="14">
        <f t="shared" si="72"/>
        <v>0.34521504191553204</v>
      </c>
      <c r="Q330" s="15">
        <f ca="1">STDEV(P330:OFFSET(P330,-$Q$5+1,0))</f>
        <v>0.69277477832220324</v>
      </c>
      <c r="R330" s="15">
        <f ca="1">STDEV(P330:OFFSET(P330,-$R$5+1,0))</f>
        <v>0.6678132108515632</v>
      </c>
      <c r="S330" s="18">
        <f t="shared" si="59"/>
        <v>100.40999999999985</v>
      </c>
      <c r="T330" s="18">
        <f t="shared" si="60"/>
        <v>110.78999999999996</v>
      </c>
      <c r="U330" s="18">
        <f t="shared" si="68"/>
        <v>89.998519584584102</v>
      </c>
      <c r="V330" s="33">
        <f ca="1">AVERAGE(E330:OFFSET(E330,-V$5+1,0))</f>
        <v>7143.8935714285708</v>
      </c>
      <c r="W330" s="33">
        <f t="shared" ca="1" si="61"/>
        <v>7278.8913508054466</v>
      </c>
      <c r="X330" s="33">
        <f t="shared" ca="1" si="62"/>
        <v>7008.895792051695</v>
      </c>
      <c r="Y330" s="32">
        <f t="shared" ca="1" si="69"/>
        <v>0</v>
      </c>
    </row>
    <row r="331" spans="1:25">
      <c r="A331" s="5">
        <v>38845</v>
      </c>
      <c r="B331" s="4">
        <v>7438.41</v>
      </c>
      <c r="C331" s="4">
        <v>7474.05</v>
      </c>
      <c r="D331" s="4">
        <v>7401.99</v>
      </c>
      <c r="E331" s="4">
        <v>7474.05</v>
      </c>
      <c r="F331" s="4">
        <v>5677000</v>
      </c>
      <c r="G331" s="8">
        <f t="shared" si="71"/>
        <v>67.970000000000255</v>
      </c>
      <c r="H331" s="8">
        <f t="shared" si="70"/>
        <v>35.640000000000327</v>
      </c>
      <c r="I331" s="20">
        <f t="shared" ca="1" si="63"/>
        <v>0</v>
      </c>
      <c r="J331" s="8">
        <f t="shared" ca="1" si="64"/>
        <v>0</v>
      </c>
      <c r="K331" s="8">
        <f t="shared" ca="1" si="65"/>
        <v>0</v>
      </c>
      <c r="L331" s="8">
        <f t="shared" ca="1" si="66"/>
        <v>341.33000000000084</v>
      </c>
      <c r="M331" s="9">
        <f ca="1">AVERAGE(E331:OFFSET(E331,-M$5+1,0))</f>
        <v>7226.4440000000004</v>
      </c>
      <c r="N331" s="9">
        <f ca="1">AVERAGE(E331:OFFSET(E331,-N$5+1,0))</f>
        <v>7082.1574999999993</v>
      </c>
      <c r="O331" s="9">
        <f t="shared" ca="1" si="67"/>
        <v>0</v>
      </c>
      <c r="P331" s="14">
        <f t="shared" si="72"/>
        <v>1.3959614987370907</v>
      </c>
      <c r="Q331" s="15">
        <f ca="1">STDEV(P331:OFFSET(P331,-$Q$5+1,0))</f>
        <v>0.73641142425961603</v>
      </c>
      <c r="R331" s="15">
        <f ca="1">STDEV(P331:OFFSET(P331,-$R$5+1,0))</f>
        <v>0.68870643442064616</v>
      </c>
      <c r="S331" s="18">
        <f t="shared" si="59"/>
        <v>72.0600000000004</v>
      </c>
      <c r="T331" s="18">
        <f t="shared" si="60"/>
        <v>103.61000000000058</v>
      </c>
      <c r="U331" s="18">
        <f t="shared" si="68"/>
        <v>91.813383639972969</v>
      </c>
      <c r="V331" s="33">
        <f ca="1">AVERAGE(E331:OFFSET(E331,-V$5+1,0))</f>
        <v>7177.7478571428574</v>
      </c>
      <c r="W331" s="33">
        <f t="shared" ca="1" si="61"/>
        <v>7315.4679326028172</v>
      </c>
      <c r="X331" s="33">
        <f t="shared" ca="1" si="62"/>
        <v>7040.0277816828975</v>
      </c>
      <c r="Y331" s="32">
        <f t="shared" ca="1" si="69"/>
        <v>0</v>
      </c>
    </row>
    <row r="332" spans="1:25">
      <c r="A332" s="5">
        <v>38846</v>
      </c>
      <c r="B332" s="4">
        <v>7470.01</v>
      </c>
      <c r="C332" s="4">
        <v>7476.07</v>
      </c>
      <c r="D332" s="4">
        <v>7364.19</v>
      </c>
      <c r="E332" s="4">
        <v>7388.94</v>
      </c>
      <c r="F332" s="4">
        <v>6234000</v>
      </c>
      <c r="G332" s="8">
        <f t="shared" si="71"/>
        <v>-4.0399999999999636</v>
      </c>
      <c r="H332" s="8">
        <f t="shared" si="70"/>
        <v>-81.070000000000618</v>
      </c>
      <c r="I332" s="20">
        <f t="shared" ca="1" si="63"/>
        <v>0</v>
      </c>
      <c r="J332" s="8">
        <f t="shared" ca="1" si="64"/>
        <v>0</v>
      </c>
      <c r="K332" s="8">
        <f t="shared" ca="1" si="65"/>
        <v>0</v>
      </c>
      <c r="L332" s="8">
        <f t="shared" ca="1" si="66"/>
        <v>341.33000000000084</v>
      </c>
      <c r="M332" s="9">
        <f ca="1">AVERAGE(E332:OFFSET(E332,-M$5+1,0))</f>
        <v>7255.7340000000013</v>
      </c>
      <c r="N332" s="9">
        <f ca="1">AVERAGE(E332:OFFSET(E332,-N$5+1,0))</f>
        <v>7112.5725000000002</v>
      </c>
      <c r="O332" s="9">
        <f t="shared" ca="1" si="67"/>
        <v>0</v>
      </c>
      <c r="P332" s="14">
        <f t="shared" si="72"/>
        <v>-1.1452733304192431</v>
      </c>
      <c r="Q332" s="15">
        <f ca="1">STDEV(P332:OFFSET(P332,-$Q$5+1,0))</f>
        <v>0.90013251947976691</v>
      </c>
      <c r="R332" s="15">
        <f ca="1">STDEV(P332:OFFSET(P332,-$R$5+1,0))</f>
        <v>0.72724776147450043</v>
      </c>
      <c r="S332" s="18">
        <f t="shared" si="59"/>
        <v>111.88000000000011</v>
      </c>
      <c r="T332" s="18">
        <f t="shared" si="60"/>
        <v>111.88000000000011</v>
      </c>
      <c r="U332" s="18">
        <f t="shared" si="68"/>
        <v>94.488932487976584</v>
      </c>
      <c r="V332" s="33">
        <f ca="1">AVERAGE(E332:OFFSET(E332,-V$5+1,0))</f>
        <v>7206.2821428571424</v>
      </c>
      <c r="W332" s="33">
        <f t="shared" ca="1" si="61"/>
        <v>7348.0155415891077</v>
      </c>
      <c r="X332" s="33">
        <f t="shared" ca="1" si="62"/>
        <v>7064.5487441251771</v>
      </c>
      <c r="Y332" s="32">
        <f t="shared" ca="1" si="69"/>
        <v>0</v>
      </c>
    </row>
    <row r="333" spans="1:25">
      <c r="A333" s="5">
        <v>38847</v>
      </c>
      <c r="B333" s="4">
        <v>7398.27</v>
      </c>
      <c r="C333" s="4">
        <v>7426.37</v>
      </c>
      <c r="D333" s="4">
        <v>7272.39</v>
      </c>
      <c r="E333" s="4">
        <v>7324.71</v>
      </c>
      <c r="F333" s="4">
        <v>6624600</v>
      </c>
      <c r="G333" s="8">
        <f t="shared" si="71"/>
        <v>9.3300000000008367</v>
      </c>
      <c r="H333" s="8">
        <f t="shared" si="70"/>
        <v>-73.5600000000004</v>
      </c>
      <c r="I333" s="20">
        <f t="shared" ca="1" si="63"/>
        <v>0</v>
      </c>
      <c r="J333" s="8">
        <f t="shared" ca="1" si="64"/>
        <v>0</v>
      </c>
      <c r="K333" s="8">
        <f t="shared" ca="1" si="65"/>
        <v>0</v>
      </c>
      <c r="L333" s="8">
        <f t="shared" ca="1" si="66"/>
        <v>341.33000000000084</v>
      </c>
      <c r="M333" s="9">
        <f ca="1">AVERAGE(E333:OFFSET(E333,-M$5+1,0))</f>
        <v>7282.2110000000011</v>
      </c>
      <c r="N333" s="9">
        <f ca="1">AVERAGE(E333:OFFSET(E333,-N$5+1,0))</f>
        <v>7140.9494999999997</v>
      </c>
      <c r="O333" s="9">
        <f t="shared" ca="1" si="67"/>
        <v>0</v>
      </c>
      <c r="P333" s="14">
        <f t="shared" si="72"/>
        <v>-0.87307239191750474</v>
      </c>
      <c r="Q333" s="15">
        <f ca="1">STDEV(P333:OFFSET(P333,-$Q$5+1,0))</f>
        <v>0.94720460922941319</v>
      </c>
      <c r="R333" s="15">
        <f ca="1">STDEV(P333:OFFSET(P333,-$R$5+1,0))</f>
        <v>0.74650843185789428</v>
      </c>
      <c r="S333" s="18">
        <f t="shared" si="59"/>
        <v>153.97999999999956</v>
      </c>
      <c r="T333" s="18">
        <f t="shared" si="60"/>
        <v>153.97999999999956</v>
      </c>
      <c r="U333" s="18">
        <f t="shared" si="68"/>
        <v>102.42107482291298</v>
      </c>
      <c r="V333" s="33">
        <f ca="1">AVERAGE(E333:OFFSET(E333,-V$5+1,0))</f>
        <v>7226.7057142857147</v>
      </c>
      <c r="W333" s="33">
        <f t="shared" ca="1" si="61"/>
        <v>7380.3373265200844</v>
      </c>
      <c r="X333" s="33">
        <f t="shared" ca="1" si="62"/>
        <v>7073.0741020513451</v>
      </c>
      <c r="Y333" s="32">
        <f t="shared" ca="1" si="69"/>
        <v>0</v>
      </c>
    </row>
    <row r="334" spans="1:25">
      <c r="A334" s="5">
        <v>38848</v>
      </c>
      <c r="B334" s="4">
        <v>7271.75</v>
      </c>
      <c r="C334" s="4">
        <v>7361.45</v>
      </c>
      <c r="D334" s="4">
        <v>7254.97</v>
      </c>
      <c r="E334" s="4">
        <v>7361.45</v>
      </c>
      <c r="F334" s="4">
        <v>4911200</v>
      </c>
      <c r="G334" s="8">
        <f t="shared" si="71"/>
        <v>-52.960000000000036</v>
      </c>
      <c r="H334" s="8">
        <f t="shared" si="70"/>
        <v>89.699999999999818</v>
      </c>
      <c r="I334" s="20">
        <f t="shared" ca="1" si="63"/>
        <v>0</v>
      </c>
      <c r="J334" s="8">
        <f t="shared" ca="1" si="64"/>
        <v>0</v>
      </c>
      <c r="K334" s="8">
        <f t="shared" ca="1" si="65"/>
        <v>0</v>
      </c>
      <c r="L334" s="8">
        <f t="shared" ca="1" si="66"/>
        <v>341.33000000000084</v>
      </c>
      <c r="M334" s="9">
        <f ca="1">AVERAGE(E334:OFFSET(E334,-M$5+1,0))</f>
        <v>7301.4580000000005</v>
      </c>
      <c r="N334" s="9">
        <f ca="1">AVERAGE(E334:OFFSET(E334,-N$5+1,0))</f>
        <v>7168.5970000000016</v>
      </c>
      <c r="O334" s="9">
        <f t="shared" ca="1" si="67"/>
        <v>0</v>
      </c>
      <c r="P334" s="14">
        <f t="shared" si="72"/>
        <v>0.50033605305345186</v>
      </c>
      <c r="Q334" s="15">
        <f ca="1">STDEV(P334:OFFSET(P334,-$Q$5+1,0))</f>
        <v>0.85826518365289861</v>
      </c>
      <c r="R334" s="15">
        <f ca="1">STDEV(P334:OFFSET(P334,-$R$5+1,0))</f>
        <v>0.70155140823675699</v>
      </c>
      <c r="S334" s="18">
        <f t="shared" si="59"/>
        <v>106.47999999999956</v>
      </c>
      <c r="T334" s="18">
        <f t="shared" si="60"/>
        <v>106.47999999999956</v>
      </c>
      <c r="U334" s="18">
        <f t="shared" si="68"/>
        <v>102.96226484652453</v>
      </c>
      <c r="V334" s="33">
        <f ca="1">AVERAGE(E334:OFFSET(E334,-V$5+1,0))</f>
        <v>7245.1850000000004</v>
      </c>
      <c r="W334" s="33">
        <f t="shared" ca="1" si="61"/>
        <v>7399.6283972697875</v>
      </c>
      <c r="X334" s="33">
        <f t="shared" ca="1" si="62"/>
        <v>7090.7416027302133</v>
      </c>
      <c r="Y334" s="32">
        <f t="shared" ca="1" si="69"/>
        <v>0</v>
      </c>
    </row>
    <row r="335" spans="1:25">
      <c r="A335" s="5">
        <v>38849</v>
      </c>
      <c r="B335" s="4">
        <v>7269.92</v>
      </c>
      <c r="C335" s="4">
        <v>7326.48</v>
      </c>
      <c r="D335" s="4">
        <v>7267.79</v>
      </c>
      <c r="E335" s="4">
        <v>7278.96</v>
      </c>
      <c r="F335" s="4">
        <v>4687600</v>
      </c>
      <c r="G335" s="8">
        <f t="shared" si="71"/>
        <v>-91.529999999999745</v>
      </c>
      <c r="H335" s="8">
        <f t="shared" si="70"/>
        <v>9.0399999999999636</v>
      </c>
      <c r="I335" s="20">
        <f t="shared" ca="1" si="63"/>
        <v>0</v>
      </c>
      <c r="J335" s="8">
        <f t="shared" ca="1" si="64"/>
        <v>0</v>
      </c>
      <c r="K335" s="8">
        <f t="shared" ca="1" si="65"/>
        <v>0</v>
      </c>
      <c r="L335" s="8">
        <f t="shared" ca="1" si="66"/>
        <v>341.33000000000084</v>
      </c>
      <c r="M335" s="9">
        <f ca="1">AVERAGE(E335:OFFSET(E335,-M$5+1,0))</f>
        <v>7315.733000000002</v>
      </c>
      <c r="N335" s="9">
        <f ca="1">AVERAGE(E335:OFFSET(E335,-N$5+1,0))</f>
        <v>7189.7580000000016</v>
      </c>
      <c r="O335" s="9">
        <f t="shared" ca="1" si="67"/>
        <v>0</v>
      </c>
      <c r="P335" s="14">
        <f t="shared" si="72"/>
        <v>-1.1268929345573253</v>
      </c>
      <c r="Q335" s="15">
        <f ca="1">STDEV(P335:OFFSET(P335,-$Q$5+1,0))</f>
        <v>0.94276047911702654</v>
      </c>
      <c r="R335" s="15">
        <f ca="1">STDEV(P335:OFFSET(P335,-$R$5+1,0))</f>
        <v>0.73152950427939789</v>
      </c>
      <c r="S335" s="18">
        <f t="shared" si="59"/>
        <v>58.6899999999996</v>
      </c>
      <c r="T335" s="18">
        <f t="shared" si="60"/>
        <v>93.659999999999854</v>
      </c>
      <c r="U335" s="18">
        <f t="shared" si="68"/>
        <v>101.72196286698792</v>
      </c>
      <c r="V335" s="33">
        <f ca="1">AVERAGE(E335:OFFSET(E335,-V$5+1,0))</f>
        <v>7258.4642857142871</v>
      </c>
      <c r="W335" s="33">
        <f t="shared" ca="1" si="61"/>
        <v>7411.0472300147694</v>
      </c>
      <c r="X335" s="33">
        <f t="shared" ca="1" si="62"/>
        <v>7105.8813414138049</v>
      </c>
      <c r="Y335" s="32">
        <f t="shared" ca="1" si="69"/>
        <v>0</v>
      </c>
    </row>
    <row r="336" spans="1:25">
      <c r="A336" s="5">
        <v>38852</v>
      </c>
      <c r="B336" s="4">
        <v>7225.8</v>
      </c>
      <c r="C336" s="4">
        <v>7240.92</v>
      </c>
      <c r="D336" s="4">
        <v>7167.03</v>
      </c>
      <c r="E336" s="4">
        <v>7176.35</v>
      </c>
      <c r="F336" s="4">
        <v>4617000</v>
      </c>
      <c r="G336" s="8">
        <f t="shared" si="71"/>
        <v>-53.159999999999854</v>
      </c>
      <c r="H336" s="8">
        <f t="shared" si="70"/>
        <v>-49.449999999999818</v>
      </c>
      <c r="I336" s="20">
        <f t="shared" ca="1" si="63"/>
        <v>0</v>
      </c>
      <c r="J336" s="8">
        <f t="shared" ca="1" si="64"/>
        <v>0</v>
      </c>
      <c r="K336" s="8">
        <f t="shared" ca="1" si="65"/>
        <v>0</v>
      </c>
      <c r="L336" s="8">
        <f t="shared" ca="1" si="66"/>
        <v>341.33000000000084</v>
      </c>
      <c r="M336" s="9">
        <f ca="1">AVERAGE(E336:OFFSET(E336,-M$5+1,0))</f>
        <v>7316.1910000000007</v>
      </c>
      <c r="N336" s="9">
        <f ca="1">AVERAGE(E336:OFFSET(E336,-N$5+1,0))</f>
        <v>7200.9485000000004</v>
      </c>
      <c r="O336" s="9">
        <f t="shared" ca="1" si="67"/>
        <v>0</v>
      </c>
      <c r="P336" s="14">
        <f t="shared" si="72"/>
        <v>-1.4197097603508519</v>
      </c>
      <c r="Q336" s="15">
        <f ca="1">STDEV(P336:OFFSET(P336,-$Q$5+1,0))</f>
        <v>1.0624684915341802</v>
      </c>
      <c r="R336" s="15">
        <f ca="1">STDEV(P336:OFFSET(P336,-$R$5+1,0))</f>
        <v>0.7757837016933794</v>
      </c>
      <c r="S336" s="18">
        <f t="shared" si="59"/>
        <v>73.890000000000327</v>
      </c>
      <c r="T336" s="18">
        <f t="shared" si="60"/>
        <v>111.93000000000029</v>
      </c>
      <c r="U336" s="18">
        <f t="shared" si="68"/>
        <v>103.0830344847229</v>
      </c>
      <c r="V336" s="33">
        <f ca="1">AVERAGE(E336:OFFSET(E336,-V$5+1,0))</f>
        <v>7264.2007142857165</v>
      </c>
      <c r="W336" s="33">
        <f t="shared" ca="1" si="61"/>
        <v>7418.825266012801</v>
      </c>
      <c r="X336" s="33">
        <f t="shared" ca="1" si="62"/>
        <v>7109.5761625586319</v>
      </c>
      <c r="Y336" s="32">
        <f t="shared" ca="1" si="69"/>
        <v>0</v>
      </c>
    </row>
    <row r="337" spans="1:25">
      <c r="A337" s="5">
        <v>38853</v>
      </c>
      <c r="B337" s="4">
        <v>7202.35</v>
      </c>
      <c r="C337" s="4">
        <v>7202.9</v>
      </c>
      <c r="D337" s="4">
        <v>7069.9</v>
      </c>
      <c r="E337" s="4">
        <v>7069.9</v>
      </c>
      <c r="F337" s="4">
        <v>4663000</v>
      </c>
      <c r="G337" s="8">
        <f t="shared" si="71"/>
        <v>26</v>
      </c>
      <c r="H337" s="8">
        <f t="shared" si="70"/>
        <v>-132.45000000000073</v>
      </c>
      <c r="I337" s="20">
        <f t="shared" ca="1" si="63"/>
        <v>-1</v>
      </c>
      <c r="J337" s="8">
        <f t="shared" ca="1" si="64"/>
        <v>0</v>
      </c>
      <c r="K337" s="8">
        <f t="shared" ca="1" si="65"/>
        <v>0</v>
      </c>
      <c r="L337" s="8">
        <f t="shared" ca="1" si="66"/>
        <v>341.33000000000084</v>
      </c>
      <c r="M337" s="9">
        <f ca="1">AVERAGE(E337:OFFSET(E337,-M$5+1,0))</f>
        <v>7303.2209999999995</v>
      </c>
      <c r="N337" s="9">
        <f ca="1">AVERAGE(E337:OFFSET(E337,-N$5+1,0))</f>
        <v>7204.4390000000003</v>
      </c>
      <c r="O337" s="9">
        <f t="shared" ca="1" si="67"/>
        <v>0</v>
      </c>
      <c r="P337" s="14">
        <f t="shared" si="72"/>
        <v>-1.4944561720295122</v>
      </c>
      <c r="Q337" s="15">
        <f ca="1">STDEV(P337:OFFSET(P337,-$Q$5+1,0))</f>
        <v>1.150501321939561</v>
      </c>
      <c r="R337" s="15">
        <f ca="1">STDEV(P337:OFFSET(P337,-$R$5+1,0))</f>
        <v>0.82274873726401465</v>
      </c>
      <c r="S337" s="18">
        <f t="shared" si="59"/>
        <v>133</v>
      </c>
      <c r="T337" s="18">
        <f t="shared" si="60"/>
        <v>133</v>
      </c>
      <c r="U337" s="18">
        <f t="shared" si="68"/>
        <v>107.07196322009318</v>
      </c>
      <c r="V337" s="33">
        <f ca="1">AVERAGE(E337:OFFSET(E337,-V$5+1,0))</f>
        <v>7264.9121428571443</v>
      </c>
      <c r="W337" s="33">
        <f t="shared" ca="1" si="61"/>
        <v>7425.5200876872841</v>
      </c>
      <c r="X337" s="33">
        <f t="shared" ca="1" si="62"/>
        <v>7104.3041980270045</v>
      </c>
      <c r="Y337" s="32">
        <f t="shared" ca="1" si="69"/>
        <v>-1</v>
      </c>
    </row>
    <row r="338" spans="1:25">
      <c r="A338" s="5">
        <v>38854</v>
      </c>
      <c r="B338" s="4">
        <v>7116.75</v>
      </c>
      <c r="C338" s="4">
        <v>7144.28</v>
      </c>
      <c r="D338" s="4">
        <v>7057.99</v>
      </c>
      <c r="E338" s="4">
        <v>7116.83</v>
      </c>
      <c r="F338" s="4">
        <v>3889200</v>
      </c>
      <c r="G338" s="8">
        <f t="shared" si="71"/>
        <v>46.850000000000364</v>
      </c>
      <c r="H338" s="8">
        <f t="shared" si="70"/>
        <v>7.999999999992724E-2</v>
      </c>
      <c r="I338" s="20">
        <f t="shared" ca="1" si="63"/>
        <v>0</v>
      </c>
      <c r="J338" s="8">
        <f t="shared" ca="1" si="64"/>
        <v>-1</v>
      </c>
      <c r="K338" s="8">
        <f t="shared" ca="1" si="65"/>
        <v>-7.999999999992724E-2</v>
      </c>
      <c r="L338" s="8">
        <f t="shared" ca="1" si="66"/>
        <v>341.25000000000091</v>
      </c>
      <c r="M338" s="9">
        <f ca="1">AVERAGE(E338:OFFSET(E338,-M$5+1,0))</f>
        <v>7290.6669999999995</v>
      </c>
      <c r="N338" s="9">
        <f ca="1">AVERAGE(E338:OFFSET(E338,-N$5+1,0))</f>
        <v>7210.8074999999999</v>
      </c>
      <c r="O338" s="9">
        <f t="shared" ca="1" si="67"/>
        <v>0</v>
      </c>
      <c r="P338" s="14">
        <f t="shared" si="72"/>
        <v>0.66160660259497983</v>
      </c>
      <c r="Q338" s="15">
        <f ca="1">STDEV(P338:OFFSET(P338,-$Q$5+1,0))</f>
        <v>1.1558785531047584</v>
      </c>
      <c r="R338" s="15">
        <f ca="1">STDEV(P338:OFFSET(P338,-$R$5+1,0))</f>
        <v>0.82350555414125048</v>
      </c>
      <c r="S338" s="18">
        <f t="shared" si="59"/>
        <v>86.289999999999964</v>
      </c>
      <c r="T338" s="18">
        <f t="shared" si="60"/>
        <v>86.289999999999964</v>
      </c>
      <c r="U338" s="18">
        <f t="shared" si="68"/>
        <v>104.30103479074742</v>
      </c>
      <c r="V338" s="33">
        <f ca="1">AVERAGE(E338:OFFSET(E338,-V$5+1,0))</f>
        <v>7261.187142857144</v>
      </c>
      <c r="W338" s="33">
        <f t="shared" ca="1" si="61"/>
        <v>7417.6386950432652</v>
      </c>
      <c r="X338" s="33">
        <f t="shared" ca="1" si="62"/>
        <v>7104.7355906710227</v>
      </c>
      <c r="Y338" s="32">
        <f t="shared" ca="1" si="69"/>
        <v>0</v>
      </c>
    </row>
    <row r="339" spans="1:25">
      <c r="A339" s="5">
        <v>38855</v>
      </c>
      <c r="B339" s="4">
        <v>6989.48</v>
      </c>
      <c r="C339" s="4">
        <v>7045.87</v>
      </c>
      <c r="D339" s="4">
        <v>6987.65</v>
      </c>
      <c r="E339" s="4">
        <v>7034.03</v>
      </c>
      <c r="F339" s="4">
        <v>3889200</v>
      </c>
      <c r="G339" s="8">
        <f t="shared" si="71"/>
        <v>-127.35000000000036</v>
      </c>
      <c r="H339" s="8">
        <f t="shared" si="70"/>
        <v>44.550000000000182</v>
      </c>
      <c r="I339" s="20">
        <f t="shared" ca="1" si="63"/>
        <v>-1</v>
      </c>
      <c r="J339" s="8">
        <f t="shared" ca="1" si="64"/>
        <v>-1</v>
      </c>
      <c r="K339" s="8">
        <f t="shared" ca="1" si="65"/>
        <v>82.800000000000182</v>
      </c>
      <c r="L339" s="8">
        <f t="shared" ca="1" si="66"/>
        <v>424.05000000000109</v>
      </c>
      <c r="M339" s="9">
        <f ca="1">AVERAGE(E339:OFFSET(E339,-M$5+1,0))</f>
        <v>7259.5659999999989</v>
      </c>
      <c r="N339" s="9">
        <f ca="1">AVERAGE(E339:OFFSET(E339,-N$5+1,0))</f>
        <v>7210.57</v>
      </c>
      <c r="O339" s="9">
        <f t="shared" ca="1" si="67"/>
        <v>0</v>
      </c>
      <c r="P339" s="14">
        <f t="shared" si="72"/>
        <v>-1.1702602521556</v>
      </c>
      <c r="Q339" s="15">
        <f ca="1">STDEV(P339:OFFSET(P339,-$Q$5+1,0))</f>
        <v>1.045961539134961</v>
      </c>
      <c r="R339" s="15">
        <f ca="1">STDEV(P339:OFFSET(P339,-$R$5+1,0))</f>
        <v>0.83391957047000975</v>
      </c>
      <c r="S339" s="18">
        <f t="shared" si="59"/>
        <v>58.220000000000255</v>
      </c>
      <c r="T339" s="18">
        <f t="shared" si="60"/>
        <v>129.18000000000029</v>
      </c>
      <c r="U339" s="18">
        <f t="shared" si="68"/>
        <v>107.61823015198115</v>
      </c>
      <c r="V339" s="33">
        <f ca="1">AVERAGE(E339:OFFSET(E339,-V$5+1,0))</f>
        <v>7253.8885714285725</v>
      </c>
      <c r="W339" s="33">
        <f t="shared" ca="1" si="61"/>
        <v>7415.3159166565438</v>
      </c>
      <c r="X339" s="33">
        <f t="shared" ca="1" si="62"/>
        <v>7092.4612262006012</v>
      </c>
      <c r="Y339" s="32">
        <f t="shared" ca="1" si="69"/>
        <v>-1</v>
      </c>
    </row>
    <row r="340" spans="1:25">
      <c r="A340" s="5">
        <v>38856</v>
      </c>
      <c r="B340" s="4">
        <v>7040.42</v>
      </c>
      <c r="C340" s="4">
        <v>7097.27</v>
      </c>
      <c r="D340" s="4">
        <v>7010.69</v>
      </c>
      <c r="E340" s="4">
        <v>7074.15</v>
      </c>
      <c r="F340" s="4">
        <v>3370800</v>
      </c>
      <c r="G340" s="8">
        <f t="shared" si="71"/>
        <v>6.3900000000003274</v>
      </c>
      <c r="H340" s="8">
        <f t="shared" si="70"/>
        <v>33.729999999999563</v>
      </c>
      <c r="I340" s="20">
        <f t="shared" ca="1" si="63"/>
        <v>0</v>
      </c>
      <c r="J340" s="8">
        <f t="shared" ca="1" si="64"/>
        <v>-2</v>
      </c>
      <c r="K340" s="8">
        <f t="shared" ca="1" si="65"/>
        <v>-73.849999999999454</v>
      </c>
      <c r="L340" s="8">
        <f t="shared" ca="1" si="66"/>
        <v>350.20000000000164</v>
      </c>
      <c r="M340" s="9">
        <f ca="1">AVERAGE(E340:OFFSET(E340,-M$5+1,0))</f>
        <v>7229.9369999999999</v>
      </c>
      <c r="N340" s="9">
        <f ca="1">AVERAGE(E340:OFFSET(E340,-N$5+1,0))</f>
        <v>7209.1405000000013</v>
      </c>
      <c r="O340" s="9">
        <f t="shared" ca="1" si="67"/>
        <v>0</v>
      </c>
      <c r="P340" s="14">
        <f t="shared" si="72"/>
        <v>0.5687495927721844</v>
      </c>
      <c r="Q340" s="15">
        <f ca="1">STDEV(P340:OFFSET(P340,-$Q$5+1,0))</f>
        <v>1.0666173042862732</v>
      </c>
      <c r="R340" s="15">
        <f ca="1">STDEV(P340:OFFSET(P340,-$R$5+1,0))</f>
        <v>0.81040106063091855</v>
      </c>
      <c r="S340" s="18">
        <f t="shared" si="59"/>
        <v>86.580000000000837</v>
      </c>
      <c r="T340" s="18">
        <f t="shared" si="60"/>
        <v>86.580000000000837</v>
      </c>
      <c r="U340" s="18">
        <f t="shared" si="68"/>
        <v>104.81313279838378</v>
      </c>
      <c r="V340" s="33">
        <f ca="1">AVERAGE(E340:OFFSET(E340,-V$5+1,0))</f>
        <v>7246.9157142857139</v>
      </c>
      <c r="W340" s="33">
        <f t="shared" ca="1" si="61"/>
        <v>7404.1354134832891</v>
      </c>
      <c r="X340" s="33">
        <f t="shared" ca="1" si="62"/>
        <v>7089.6960150881387</v>
      </c>
      <c r="Y340" s="32">
        <f t="shared" ca="1" si="69"/>
        <v>0</v>
      </c>
    </row>
    <row r="341" spans="1:25">
      <c r="A341" s="5">
        <v>38859</v>
      </c>
      <c r="B341" s="4">
        <v>7111.42</v>
      </c>
      <c r="C341" s="4">
        <v>7112.42</v>
      </c>
      <c r="D341" s="4">
        <v>6938.26</v>
      </c>
      <c r="E341" s="4">
        <v>6938.26</v>
      </c>
      <c r="F341" s="4">
        <v>3904600</v>
      </c>
      <c r="G341" s="8">
        <f t="shared" si="71"/>
        <v>37.270000000000437</v>
      </c>
      <c r="H341" s="8">
        <f t="shared" si="70"/>
        <v>-173.15999999999985</v>
      </c>
      <c r="I341" s="20">
        <f t="shared" ca="1" si="63"/>
        <v>0</v>
      </c>
      <c r="J341" s="8">
        <f t="shared" ca="1" si="64"/>
        <v>-2</v>
      </c>
      <c r="K341" s="8">
        <f t="shared" ca="1" si="65"/>
        <v>271.77999999999884</v>
      </c>
      <c r="L341" s="8">
        <f t="shared" ca="1" si="66"/>
        <v>621.98000000000047</v>
      </c>
      <c r="M341" s="9">
        <f ca="1">AVERAGE(E341:OFFSET(E341,-M$5+1,0))</f>
        <v>7176.3580000000002</v>
      </c>
      <c r="N341" s="9">
        <f ca="1">AVERAGE(E341:OFFSET(E341,-N$5+1,0))</f>
        <v>7201.4010000000007</v>
      </c>
      <c r="O341" s="9">
        <f t="shared" ca="1" si="67"/>
        <v>-1</v>
      </c>
      <c r="P341" s="14">
        <f t="shared" si="72"/>
        <v>-1.9396272347007057</v>
      </c>
      <c r="Q341" s="15">
        <f ca="1">STDEV(P341:OFFSET(P341,-$Q$5+1,0))</f>
        <v>0.95467800459712437</v>
      </c>
      <c r="R341" s="15">
        <f ca="1">STDEV(P341:OFFSET(P341,-$R$5+1,0))</f>
        <v>0.87581657245336009</v>
      </c>
      <c r="S341" s="18">
        <f t="shared" si="59"/>
        <v>174.15999999999985</v>
      </c>
      <c r="T341" s="18">
        <f t="shared" si="60"/>
        <v>174.15999999999985</v>
      </c>
      <c r="U341" s="18">
        <f t="shared" si="68"/>
        <v>114.05938175859924</v>
      </c>
      <c r="V341" s="33">
        <f ca="1">AVERAGE(E341:OFFSET(E341,-V$5+1,0))</f>
        <v>7228.2485714285704</v>
      </c>
      <c r="W341" s="33">
        <f t="shared" ca="1" si="61"/>
        <v>7399.3376440664688</v>
      </c>
      <c r="X341" s="33">
        <f t="shared" ca="1" si="62"/>
        <v>7057.1594987906719</v>
      </c>
      <c r="Y341" s="32">
        <f t="shared" ca="1" si="69"/>
        <v>0</v>
      </c>
    </row>
    <row r="342" spans="1:25">
      <c r="A342" s="5">
        <v>38860</v>
      </c>
      <c r="B342" s="4">
        <v>6874.09</v>
      </c>
      <c r="C342" s="4">
        <v>6909.58</v>
      </c>
      <c r="D342" s="4">
        <v>6833.98</v>
      </c>
      <c r="E342" s="4">
        <v>6843.98</v>
      </c>
      <c r="F342" s="4">
        <v>3420800</v>
      </c>
      <c r="G342" s="8">
        <f t="shared" si="71"/>
        <v>-64.170000000000073</v>
      </c>
      <c r="H342" s="8">
        <f t="shared" si="70"/>
        <v>-30.110000000000582</v>
      </c>
      <c r="I342" s="20">
        <f t="shared" ca="1" si="63"/>
        <v>0</v>
      </c>
      <c r="J342" s="8">
        <f t="shared" ca="1" si="64"/>
        <v>-2</v>
      </c>
      <c r="K342" s="8">
        <f t="shared" ca="1" si="65"/>
        <v>188.56000000000131</v>
      </c>
      <c r="L342" s="8">
        <f t="shared" ca="1" si="66"/>
        <v>810.54000000000178</v>
      </c>
      <c r="M342" s="9">
        <f ca="1">AVERAGE(E342:OFFSET(E342,-M$5+1,0))</f>
        <v>7121.862000000001</v>
      </c>
      <c r="N342" s="9">
        <f ca="1">AVERAGE(E342:OFFSET(E342,-N$5+1,0))</f>
        <v>7188.7980000000007</v>
      </c>
      <c r="O342" s="9">
        <f t="shared" ca="1" si="67"/>
        <v>0</v>
      </c>
      <c r="P342" s="14">
        <f t="shared" si="72"/>
        <v>-1.3681588863991356</v>
      </c>
      <c r="Q342" s="15">
        <f ca="1">STDEV(P342:OFFSET(P342,-$Q$5+1,0))</f>
        <v>0.96760526159796478</v>
      </c>
      <c r="R342" s="15">
        <f ca="1">STDEV(P342:OFFSET(P342,-$R$5+1,0))</f>
        <v>0.91093879666516564</v>
      </c>
      <c r="S342" s="18">
        <f t="shared" si="59"/>
        <v>75.600000000000364</v>
      </c>
      <c r="T342" s="18">
        <f t="shared" si="60"/>
        <v>104.28000000000065</v>
      </c>
      <c r="U342" s="18">
        <f t="shared" si="68"/>
        <v>112.7554641907861</v>
      </c>
      <c r="V342" s="33">
        <f ca="1">AVERAGE(E342:OFFSET(E342,-V$5+1,0))</f>
        <v>7199.7921428571417</v>
      </c>
      <c r="W342" s="33">
        <f t="shared" ca="1" si="61"/>
        <v>7368.9253391433213</v>
      </c>
      <c r="X342" s="33">
        <f t="shared" ca="1" si="62"/>
        <v>7030.6589465709621</v>
      </c>
      <c r="Y342" s="32">
        <f t="shared" ca="1" si="69"/>
        <v>0</v>
      </c>
    </row>
    <row r="343" spans="1:25">
      <c r="A343" s="5">
        <v>38861</v>
      </c>
      <c r="B343" s="4">
        <v>6904.28</v>
      </c>
      <c r="C343" s="4">
        <v>6932.28</v>
      </c>
      <c r="D343" s="4">
        <v>6791.11</v>
      </c>
      <c r="E343" s="4">
        <v>6877.01</v>
      </c>
      <c r="F343" s="4">
        <v>3786400</v>
      </c>
      <c r="G343" s="8">
        <f t="shared" si="71"/>
        <v>60.300000000000182</v>
      </c>
      <c r="H343" s="8">
        <f t="shared" si="70"/>
        <v>-27.269999999999527</v>
      </c>
      <c r="I343" s="20">
        <f t="shared" ca="1" si="63"/>
        <v>0</v>
      </c>
      <c r="J343" s="8">
        <f t="shared" ca="1" si="64"/>
        <v>-2</v>
      </c>
      <c r="K343" s="8">
        <f t="shared" ca="1" si="65"/>
        <v>-66.06000000000131</v>
      </c>
      <c r="L343" s="8">
        <f t="shared" ca="1" si="66"/>
        <v>744.48000000000047</v>
      </c>
      <c r="M343" s="9">
        <f ca="1">AVERAGE(E343:OFFSET(E343,-M$5+1,0))</f>
        <v>7077.0919999999996</v>
      </c>
      <c r="N343" s="9">
        <f ca="1">AVERAGE(E343:OFFSET(E343,-N$5+1,0))</f>
        <v>7179.6515000000018</v>
      </c>
      <c r="O343" s="9">
        <f t="shared" ca="1" si="67"/>
        <v>0</v>
      </c>
      <c r="P343" s="14">
        <f t="shared" si="72"/>
        <v>0.48145307010815702</v>
      </c>
      <c r="Q343" s="15">
        <f ca="1">STDEV(P343:OFFSET(P343,-$Q$5+1,0))</f>
        <v>1.0428562605086165</v>
      </c>
      <c r="R343" s="15">
        <f ca="1">STDEV(P343:OFFSET(P343,-$R$5+1,0))</f>
        <v>0.90826998398038505</v>
      </c>
      <c r="S343" s="18">
        <f t="shared" si="59"/>
        <v>141.17000000000007</v>
      </c>
      <c r="T343" s="18">
        <f t="shared" si="60"/>
        <v>141.17000000000007</v>
      </c>
      <c r="U343" s="18">
        <f t="shared" si="68"/>
        <v>116.54406896534796</v>
      </c>
      <c r="V343" s="33">
        <f ca="1">AVERAGE(E343:OFFSET(E343,-V$5+1,0))</f>
        <v>7166.3614285714266</v>
      </c>
      <c r="W343" s="33">
        <f t="shared" ca="1" si="61"/>
        <v>7341.1775320194483</v>
      </c>
      <c r="X343" s="33">
        <f t="shared" ca="1" si="62"/>
        <v>6991.5453251234048</v>
      </c>
      <c r="Y343" s="32">
        <f t="shared" ca="1" si="69"/>
        <v>0</v>
      </c>
    </row>
    <row r="344" spans="1:25">
      <c r="A344" s="5">
        <v>38862</v>
      </c>
      <c r="B344" s="4">
        <v>6892.27</v>
      </c>
      <c r="C344" s="4">
        <v>6914.45</v>
      </c>
      <c r="D344" s="4">
        <v>6842.92</v>
      </c>
      <c r="E344" s="4">
        <v>6861.65</v>
      </c>
      <c r="F344" s="4">
        <v>3559400</v>
      </c>
      <c r="G344" s="8">
        <f t="shared" si="71"/>
        <v>15.260000000000218</v>
      </c>
      <c r="H344" s="8">
        <f t="shared" si="70"/>
        <v>-30.6200000000008</v>
      </c>
      <c r="I344" s="20">
        <f t="shared" ca="1" si="63"/>
        <v>0</v>
      </c>
      <c r="J344" s="8">
        <f t="shared" ca="1" si="64"/>
        <v>-2</v>
      </c>
      <c r="K344" s="8">
        <f t="shared" ca="1" si="65"/>
        <v>30.720000000001164</v>
      </c>
      <c r="L344" s="8">
        <f t="shared" ca="1" si="66"/>
        <v>775.20000000000164</v>
      </c>
      <c r="M344" s="9">
        <f ca="1">AVERAGE(E344:OFFSET(E344,-M$5+1,0))</f>
        <v>7027.112000000001</v>
      </c>
      <c r="N344" s="9">
        <f ca="1">AVERAGE(E344:OFFSET(E344,-N$5+1,0))</f>
        <v>7164.2849999999989</v>
      </c>
      <c r="O344" s="9">
        <f t="shared" ca="1" si="67"/>
        <v>0</v>
      </c>
      <c r="P344" s="14">
        <f t="shared" si="72"/>
        <v>-0.22360268613918455</v>
      </c>
      <c r="Q344" s="15">
        <f ca="1">STDEV(P344:OFFSET(P344,-$Q$5+1,0))</f>
        <v>0.97877618389415677</v>
      </c>
      <c r="R344" s="15">
        <f ca="1">STDEV(P344:OFFSET(P344,-$R$5+1,0))</f>
        <v>0.9087877470961635</v>
      </c>
      <c r="S344" s="18">
        <f t="shared" si="59"/>
        <v>71.529999999999745</v>
      </c>
      <c r="T344" s="18">
        <f t="shared" si="60"/>
        <v>71.529999999999745</v>
      </c>
      <c r="U344" s="18">
        <f t="shared" si="68"/>
        <v>110.54219310330153</v>
      </c>
      <c r="V344" s="33">
        <f ca="1">AVERAGE(E344:OFFSET(E344,-V$5+1,0))</f>
        <v>7130.0192857142838</v>
      </c>
      <c r="W344" s="33">
        <f t="shared" ca="1" si="61"/>
        <v>7295.8325753692361</v>
      </c>
      <c r="X344" s="33">
        <f t="shared" ca="1" si="62"/>
        <v>6964.2059960593315</v>
      </c>
      <c r="Y344" s="32">
        <f t="shared" ca="1" si="69"/>
        <v>0</v>
      </c>
    </row>
    <row r="345" spans="1:25">
      <c r="A345" s="5">
        <v>38863</v>
      </c>
      <c r="B345" s="4">
        <v>6951.76</v>
      </c>
      <c r="C345" s="4">
        <v>6976.33</v>
      </c>
      <c r="D345" s="4">
        <v>6856.55</v>
      </c>
      <c r="E345" s="4">
        <v>6879.51</v>
      </c>
      <c r="F345" s="4">
        <v>4331000</v>
      </c>
      <c r="G345" s="8">
        <f t="shared" si="71"/>
        <v>90.110000000000582</v>
      </c>
      <c r="H345" s="8">
        <f t="shared" si="70"/>
        <v>-72.25</v>
      </c>
      <c r="I345" s="20">
        <f t="shared" ca="1" si="63"/>
        <v>0</v>
      </c>
      <c r="J345" s="8">
        <f t="shared" ca="1" si="64"/>
        <v>-2</v>
      </c>
      <c r="K345" s="8">
        <f t="shared" ca="1" si="65"/>
        <v>-35.720000000001164</v>
      </c>
      <c r="L345" s="8">
        <f t="shared" ca="1" si="66"/>
        <v>739.48000000000047</v>
      </c>
      <c r="M345" s="9">
        <f ca="1">AVERAGE(E345:OFFSET(E345,-M$5+1,0))</f>
        <v>6987.1669999999995</v>
      </c>
      <c r="N345" s="9">
        <f ca="1">AVERAGE(E345:OFFSET(E345,-N$5+1,0))</f>
        <v>7151.45</v>
      </c>
      <c r="O345" s="9">
        <f t="shared" ca="1" si="67"/>
        <v>0</v>
      </c>
      <c r="P345" s="14">
        <f t="shared" si="72"/>
        <v>0.25994908810018486</v>
      </c>
      <c r="Q345" s="15">
        <f ca="1">STDEV(P345:OFFSET(P345,-$Q$5+1,0))</f>
        <v>1.0098144642720965</v>
      </c>
      <c r="R345" s="15">
        <f ca="1">STDEV(P345:OFFSET(P345,-$R$5+1,0))</f>
        <v>0.90492906571185738</v>
      </c>
      <c r="S345" s="18">
        <f t="shared" si="59"/>
        <v>119.77999999999975</v>
      </c>
      <c r="T345" s="18">
        <f t="shared" si="60"/>
        <v>119.77999999999975</v>
      </c>
      <c r="U345" s="18">
        <f t="shared" si="68"/>
        <v>111.77390068952796</v>
      </c>
      <c r="V345" s="33">
        <f ca="1">AVERAGE(E345:OFFSET(E345,-V$5+1,0))</f>
        <v>7087.5521428571419</v>
      </c>
      <c r="W345" s="33">
        <f t="shared" ca="1" si="61"/>
        <v>7255.2129938914341</v>
      </c>
      <c r="X345" s="33">
        <f t="shared" ca="1" si="62"/>
        <v>6919.8912918228498</v>
      </c>
      <c r="Y345" s="32">
        <f t="shared" ca="1" si="69"/>
        <v>0</v>
      </c>
    </row>
    <row r="346" spans="1:25">
      <c r="A346" s="5">
        <v>38866</v>
      </c>
      <c r="B346" s="4">
        <v>6913.1</v>
      </c>
      <c r="C346" s="4">
        <v>6919.96</v>
      </c>
      <c r="D346" s="4">
        <v>6864.76</v>
      </c>
      <c r="E346" s="4">
        <v>6878.88</v>
      </c>
      <c r="F346" s="4">
        <v>2647400</v>
      </c>
      <c r="G346" s="8">
        <f t="shared" si="71"/>
        <v>33.590000000000146</v>
      </c>
      <c r="H346" s="8">
        <f t="shared" si="70"/>
        <v>-34.220000000000255</v>
      </c>
      <c r="I346" s="20">
        <f t="shared" ca="1" si="63"/>
        <v>0</v>
      </c>
      <c r="J346" s="8">
        <f t="shared" ca="1" si="64"/>
        <v>-2</v>
      </c>
      <c r="K346" s="8">
        <f t="shared" ca="1" si="65"/>
        <v>1.2600000000002183</v>
      </c>
      <c r="L346" s="8">
        <f t="shared" ca="1" si="66"/>
        <v>740.74000000000069</v>
      </c>
      <c r="M346" s="9">
        <f ca="1">AVERAGE(E346:OFFSET(E346,-M$5+1,0))</f>
        <v>6957.42</v>
      </c>
      <c r="N346" s="9">
        <f ca="1">AVERAGE(E346:OFFSET(E346,-N$5+1,0))</f>
        <v>7136.8054999999995</v>
      </c>
      <c r="O346" s="9">
        <f t="shared" ca="1" si="67"/>
        <v>0</v>
      </c>
      <c r="P346" s="14">
        <f t="shared" si="72"/>
        <v>-9.1580482954862867E-3</v>
      </c>
      <c r="Q346" s="15">
        <f ca="1">STDEV(P346:OFFSET(P346,-$Q$5+1,0))</f>
        <v>0.97498242001490554</v>
      </c>
      <c r="R346" s="15">
        <f ca="1">STDEV(P346:OFFSET(P346,-$R$5+1,0))</f>
        <v>0.90004984967978674</v>
      </c>
      <c r="S346" s="18">
        <f t="shared" si="59"/>
        <v>55.199999999999818</v>
      </c>
      <c r="T346" s="18">
        <f t="shared" si="60"/>
        <v>55.199999999999818</v>
      </c>
      <c r="U346" s="18">
        <f t="shared" si="68"/>
        <v>104.23071393092421</v>
      </c>
      <c r="V346" s="33">
        <f ca="1">AVERAGE(E346:OFFSET(E346,-V$5+1,0))</f>
        <v>7051.119285714286</v>
      </c>
      <c r="W346" s="33">
        <f t="shared" ca="1" si="61"/>
        <v>7207.4653566106726</v>
      </c>
      <c r="X346" s="33">
        <f t="shared" ca="1" si="62"/>
        <v>6894.7732148178993</v>
      </c>
      <c r="Y346" s="32">
        <f t="shared" ca="1" si="69"/>
        <v>0</v>
      </c>
    </row>
    <row r="347" spans="1:25">
      <c r="A347" s="5">
        <v>38867</v>
      </c>
      <c r="B347" s="4">
        <v>6910.3</v>
      </c>
      <c r="C347" s="4">
        <v>6912.95</v>
      </c>
      <c r="D347" s="4">
        <v>6829.4</v>
      </c>
      <c r="E347" s="4">
        <v>6846.95</v>
      </c>
      <c r="F347" s="4">
        <v>3387400</v>
      </c>
      <c r="G347" s="8">
        <f t="shared" si="71"/>
        <v>31.420000000000073</v>
      </c>
      <c r="H347" s="8">
        <f t="shared" si="70"/>
        <v>-63.350000000000364</v>
      </c>
      <c r="I347" s="20">
        <f t="shared" ca="1" si="63"/>
        <v>0</v>
      </c>
      <c r="J347" s="8">
        <f t="shared" ca="1" si="64"/>
        <v>-2</v>
      </c>
      <c r="K347" s="8">
        <f t="shared" ca="1" si="65"/>
        <v>63.860000000000582</v>
      </c>
      <c r="L347" s="8">
        <f t="shared" ca="1" si="66"/>
        <v>804.60000000000127</v>
      </c>
      <c r="M347" s="9">
        <f ca="1">AVERAGE(E347:OFFSET(E347,-M$5+1,0))</f>
        <v>6935.125</v>
      </c>
      <c r="N347" s="9">
        <f ca="1">AVERAGE(E347:OFFSET(E347,-N$5+1,0))</f>
        <v>7119.172999999998</v>
      </c>
      <c r="O347" s="9">
        <f t="shared" ca="1" si="67"/>
        <v>0</v>
      </c>
      <c r="P347" s="14">
        <f t="shared" si="72"/>
        <v>-0.46525503517056821</v>
      </c>
      <c r="Q347" s="15">
        <f ca="1">STDEV(P347:OFFSET(P347,-$Q$5+1,0))</f>
        <v>0.90085635741427716</v>
      </c>
      <c r="R347" s="15">
        <f ca="1">STDEV(P347:OFFSET(P347,-$R$5+1,0))</f>
        <v>0.89241845566633671</v>
      </c>
      <c r="S347" s="18">
        <f t="shared" si="59"/>
        <v>83.550000000000182</v>
      </c>
      <c r="T347" s="18">
        <f t="shared" si="60"/>
        <v>83.550000000000182</v>
      </c>
      <c r="U347" s="18">
        <f t="shared" si="68"/>
        <v>101.47328540680101</v>
      </c>
      <c r="V347" s="33">
        <f ca="1">AVERAGE(E347:OFFSET(E347,-V$5+1,0))</f>
        <v>7016.9935714285702</v>
      </c>
      <c r="W347" s="33">
        <f t="shared" ca="1" si="61"/>
        <v>7169.2034995387721</v>
      </c>
      <c r="X347" s="33">
        <f t="shared" ca="1" si="62"/>
        <v>6864.7836433183684</v>
      </c>
      <c r="Y347" s="32">
        <f t="shared" ca="1" si="69"/>
        <v>0</v>
      </c>
    </row>
    <row r="348" spans="1:25">
      <c r="A348" s="5">
        <v>38869</v>
      </c>
      <c r="B348" s="4">
        <v>6874.66</v>
      </c>
      <c r="C348" s="4">
        <v>6922.34</v>
      </c>
      <c r="D348" s="4">
        <v>6868.42</v>
      </c>
      <c r="E348" s="4">
        <v>6872.84</v>
      </c>
      <c r="F348" s="4">
        <v>2712400</v>
      </c>
      <c r="G348" s="8">
        <f t="shared" si="71"/>
        <v>27.710000000000036</v>
      </c>
      <c r="H348" s="8">
        <f t="shared" si="70"/>
        <v>-1.819999999999709</v>
      </c>
      <c r="I348" s="20">
        <f t="shared" ca="1" si="63"/>
        <v>0</v>
      </c>
      <c r="J348" s="8">
        <f t="shared" ca="1" si="64"/>
        <v>-2</v>
      </c>
      <c r="K348" s="8">
        <f t="shared" ca="1" si="65"/>
        <v>-51.780000000000655</v>
      </c>
      <c r="L348" s="8">
        <f t="shared" ca="1" si="66"/>
        <v>752.82000000000062</v>
      </c>
      <c r="M348" s="9">
        <f ca="1">AVERAGE(E348:OFFSET(E348,-M$5+1,0))</f>
        <v>6910.7259999999997</v>
      </c>
      <c r="N348" s="9">
        <f ca="1">AVERAGE(E348:OFFSET(E348,-N$5+1,0))</f>
        <v>7100.6964999999982</v>
      </c>
      <c r="O348" s="9">
        <f t="shared" ca="1" si="67"/>
        <v>0</v>
      </c>
      <c r="P348" s="14">
        <f t="shared" si="72"/>
        <v>0.37741147249773405</v>
      </c>
      <c r="Q348" s="15">
        <f ca="1">STDEV(P348:OFFSET(P348,-$Q$5+1,0))</f>
        <v>0.87040153694006295</v>
      </c>
      <c r="R348" s="15">
        <f ca="1">STDEV(P348:OFFSET(P348,-$R$5+1,0))</f>
        <v>0.88809092477671892</v>
      </c>
      <c r="S348" s="18">
        <f t="shared" si="59"/>
        <v>53.920000000000073</v>
      </c>
      <c r="T348" s="18">
        <f t="shared" si="60"/>
        <v>75.390000000000327</v>
      </c>
      <c r="U348" s="18">
        <f t="shared" si="68"/>
        <v>97.995514019227599</v>
      </c>
      <c r="V348" s="33">
        <f ca="1">AVERAGE(E348:OFFSET(E348,-V$5+1,0))</f>
        <v>6982.0928571428576</v>
      </c>
      <c r="W348" s="33">
        <f t="shared" ca="1" si="61"/>
        <v>7129.0861281716989</v>
      </c>
      <c r="X348" s="33">
        <f t="shared" ca="1" si="62"/>
        <v>6835.0995861140163</v>
      </c>
      <c r="Y348" s="32">
        <f t="shared" ca="1" si="69"/>
        <v>0</v>
      </c>
    </row>
    <row r="349" spans="1:25">
      <c r="A349" s="5">
        <v>38870</v>
      </c>
      <c r="B349" s="4">
        <v>6951.42</v>
      </c>
      <c r="C349" s="4">
        <v>6967.09</v>
      </c>
      <c r="D349" s="4">
        <v>6885.39</v>
      </c>
      <c r="E349" s="4">
        <v>6959.64</v>
      </c>
      <c r="F349" s="4">
        <v>2893400</v>
      </c>
      <c r="G349" s="8">
        <f t="shared" si="71"/>
        <v>78.579999999999927</v>
      </c>
      <c r="H349" s="8">
        <f t="shared" si="70"/>
        <v>8.2200000000002547</v>
      </c>
      <c r="I349" s="20">
        <f t="shared" ca="1" si="63"/>
        <v>0</v>
      </c>
      <c r="J349" s="8">
        <f t="shared" ca="1" si="64"/>
        <v>-2</v>
      </c>
      <c r="K349" s="8">
        <f t="shared" ca="1" si="65"/>
        <v>-173.60000000000036</v>
      </c>
      <c r="L349" s="8">
        <f t="shared" ca="1" si="66"/>
        <v>579.22000000000025</v>
      </c>
      <c r="M349" s="9">
        <f ca="1">AVERAGE(E349:OFFSET(E349,-M$5+1,0))</f>
        <v>6903.2869999999994</v>
      </c>
      <c r="N349" s="9">
        <f ca="1">AVERAGE(E349:OFFSET(E349,-N$5+1,0))</f>
        <v>7081.4264999999987</v>
      </c>
      <c r="O349" s="9">
        <f t="shared" ca="1" si="67"/>
        <v>0</v>
      </c>
      <c r="P349" s="14">
        <f t="shared" si="72"/>
        <v>1.2550336501652253</v>
      </c>
      <c r="Q349" s="15">
        <f ca="1">STDEV(P349:OFFSET(P349,-$Q$5+1,0))</f>
        <v>0.95031643297629564</v>
      </c>
      <c r="R349" s="15">
        <f ca="1">STDEV(P349:OFFSET(P349,-$R$5+1,0))</f>
        <v>0.90736434105661878</v>
      </c>
      <c r="S349" s="18">
        <f t="shared" si="59"/>
        <v>81.699999999999818</v>
      </c>
      <c r="T349" s="18">
        <f t="shared" si="60"/>
        <v>94.25</v>
      </c>
      <c r="U349" s="18">
        <f t="shared" si="68"/>
        <v>97.496112149997245</v>
      </c>
      <c r="V349" s="33">
        <f ca="1">AVERAGE(E349:OFFSET(E349,-V$5+1,0))</f>
        <v>6959.284285714285</v>
      </c>
      <c r="W349" s="33">
        <f t="shared" ca="1" si="61"/>
        <v>7105.5284539392806</v>
      </c>
      <c r="X349" s="33">
        <f t="shared" ca="1" si="62"/>
        <v>6813.0401174892895</v>
      </c>
      <c r="Y349" s="32">
        <f t="shared" ca="1" si="69"/>
        <v>0</v>
      </c>
    </row>
    <row r="350" spans="1:25">
      <c r="A350" s="5">
        <v>38873</v>
      </c>
      <c r="B350" s="4">
        <v>6956.77</v>
      </c>
      <c r="C350" s="4">
        <v>6967.38</v>
      </c>
      <c r="D350" s="4">
        <v>6700.47</v>
      </c>
      <c r="E350" s="4">
        <v>6715.27</v>
      </c>
      <c r="F350" s="4">
        <v>3368200</v>
      </c>
      <c r="G350" s="8">
        <f t="shared" si="71"/>
        <v>-2.8699999999998909</v>
      </c>
      <c r="H350" s="8">
        <f t="shared" si="70"/>
        <v>-241.5</v>
      </c>
      <c r="I350" s="20">
        <f t="shared" ca="1" si="63"/>
        <v>-1</v>
      </c>
      <c r="J350" s="8">
        <f t="shared" ca="1" si="64"/>
        <v>-2</v>
      </c>
      <c r="K350" s="8">
        <f t="shared" ca="1" si="65"/>
        <v>488.73999999999978</v>
      </c>
      <c r="L350" s="8">
        <f t="shared" ca="1" si="66"/>
        <v>1067.96</v>
      </c>
      <c r="M350" s="9">
        <f ca="1">AVERAGE(E350:OFFSET(E350,-M$5+1,0))</f>
        <v>6867.3990000000003</v>
      </c>
      <c r="N350" s="9">
        <f ca="1">AVERAGE(E350:OFFSET(E350,-N$5+1,0))</f>
        <v>7048.6679999999978</v>
      </c>
      <c r="O350" s="9">
        <f t="shared" ca="1" si="67"/>
        <v>0</v>
      </c>
      <c r="P350" s="14">
        <f t="shared" si="72"/>
        <v>-3.5743711215337939</v>
      </c>
      <c r="Q350" s="15">
        <f ca="1">STDEV(P350:OFFSET(P350,-$Q$5+1,0))</f>
        <v>1.4135464638419142</v>
      </c>
      <c r="R350" s="15">
        <f ca="1">STDEV(P350:OFFSET(P350,-$R$5+1,0))</f>
        <v>1.0540245374317199</v>
      </c>
      <c r="S350" s="18">
        <f t="shared" si="59"/>
        <v>266.90999999999985</v>
      </c>
      <c r="T350" s="18">
        <f t="shared" si="60"/>
        <v>266.90999999999985</v>
      </c>
      <c r="U350" s="18">
        <f t="shared" si="68"/>
        <v>120.0846305299976</v>
      </c>
      <c r="V350" s="33">
        <f ca="1">AVERAGE(E350:OFFSET(E350,-V$5+1,0))</f>
        <v>6926.3499999999995</v>
      </c>
      <c r="W350" s="33">
        <f t="shared" ca="1" si="61"/>
        <v>7106.476945794996</v>
      </c>
      <c r="X350" s="33">
        <f t="shared" ca="1" si="62"/>
        <v>6746.2230542050029</v>
      </c>
      <c r="Y350" s="32">
        <f t="shared" ca="1" si="69"/>
        <v>-1</v>
      </c>
    </row>
    <row r="351" spans="1:25">
      <c r="A351" s="5">
        <v>38874</v>
      </c>
      <c r="B351" s="4">
        <v>6684.58</v>
      </c>
      <c r="C351" s="4">
        <v>6738.78</v>
      </c>
      <c r="D351" s="4">
        <v>6621.17</v>
      </c>
      <c r="E351" s="4">
        <v>6730.27</v>
      </c>
      <c r="F351" s="4">
        <v>3033000</v>
      </c>
      <c r="G351" s="8">
        <f t="shared" si="71"/>
        <v>-30.690000000000509</v>
      </c>
      <c r="H351" s="8">
        <f t="shared" si="70"/>
        <v>45.690000000000509</v>
      </c>
      <c r="I351" s="20">
        <f t="shared" ca="1" si="63"/>
        <v>0</v>
      </c>
      <c r="J351" s="8">
        <f t="shared" ca="1" si="64"/>
        <v>-3</v>
      </c>
      <c r="K351" s="8">
        <f t="shared" ca="1" si="65"/>
        <v>-75.690000000000509</v>
      </c>
      <c r="L351" s="8">
        <f t="shared" ca="1" si="66"/>
        <v>992.26999999999953</v>
      </c>
      <c r="M351" s="9">
        <f ca="1">AVERAGE(E351:OFFSET(E351,-M$5+1,0))</f>
        <v>6846.6</v>
      </c>
      <c r="N351" s="9">
        <f ca="1">AVERAGE(E351:OFFSET(E351,-N$5+1,0))</f>
        <v>7011.4789999999975</v>
      </c>
      <c r="O351" s="9">
        <f t="shared" ca="1" si="67"/>
        <v>0</v>
      </c>
      <c r="P351" s="14">
        <f t="shared" si="72"/>
        <v>0.22312240673042846</v>
      </c>
      <c r="Q351" s="15">
        <f ca="1">STDEV(P351:OFFSET(P351,-$Q$5+1,0))</f>
        <v>1.335618852331883</v>
      </c>
      <c r="R351" s="15">
        <f ca="1">STDEV(P351:OFFSET(P351,-$R$5+1,0))</f>
        <v>1.053407714409488</v>
      </c>
      <c r="S351" s="18">
        <f t="shared" si="59"/>
        <v>117.60999999999967</v>
      </c>
      <c r="T351" s="18">
        <f t="shared" si="60"/>
        <v>117.60999999999967</v>
      </c>
      <c r="U351" s="18">
        <f t="shared" si="68"/>
        <v>119.75467979266453</v>
      </c>
      <c r="V351" s="33">
        <f ca="1">AVERAGE(E351:OFFSET(E351,-V$5+1,0))</f>
        <v>6902.090714285715</v>
      </c>
      <c r="W351" s="33">
        <f t="shared" ca="1" si="61"/>
        <v>7081.7227339747114</v>
      </c>
      <c r="X351" s="33">
        <f t="shared" ca="1" si="62"/>
        <v>6722.4586945967185</v>
      </c>
      <c r="Y351" s="32">
        <f t="shared" ca="1" si="69"/>
        <v>0</v>
      </c>
    </row>
    <row r="352" spans="1:25">
      <c r="A352" s="5">
        <v>38875</v>
      </c>
      <c r="B352" s="4">
        <v>6691.5</v>
      </c>
      <c r="C352" s="4">
        <v>6699.54</v>
      </c>
      <c r="D352" s="4">
        <v>6612.74</v>
      </c>
      <c r="E352" s="4">
        <v>6612.74</v>
      </c>
      <c r="F352" s="4">
        <v>2512200</v>
      </c>
      <c r="G352" s="8">
        <f t="shared" si="71"/>
        <v>-38.770000000000437</v>
      </c>
      <c r="H352" s="8">
        <f t="shared" si="70"/>
        <v>-78.760000000000218</v>
      </c>
      <c r="I352" s="20">
        <f t="shared" ca="1" si="63"/>
        <v>-1</v>
      </c>
      <c r="J352" s="8">
        <f t="shared" ca="1" si="64"/>
        <v>-3</v>
      </c>
      <c r="K352" s="8">
        <f t="shared" ca="1" si="65"/>
        <v>352.59000000000196</v>
      </c>
      <c r="L352" s="8">
        <f t="shared" ca="1" si="66"/>
        <v>1344.8600000000015</v>
      </c>
      <c r="M352" s="9">
        <f ca="1">AVERAGE(E352:OFFSET(E352,-M$5+1,0))</f>
        <v>6823.4760000000006</v>
      </c>
      <c r="N352" s="9">
        <f ca="1">AVERAGE(E352:OFFSET(E352,-N$5+1,0))</f>
        <v>6972.668999999999</v>
      </c>
      <c r="O352" s="9">
        <f t="shared" ca="1" si="67"/>
        <v>0</v>
      </c>
      <c r="P352" s="14">
        <f t="shared" si="72"/>
        <v>-1.7617170300819984</v>
      </c>
      <c r="Q352" s="15">
        <f ca="1">STDEV(P352:OFFSET(P352,-$Q$5+1,0))</f>
        <v>1.3756466758711678</v>
      </c>
      <c r="R352" s="15">
        <f ca="1">STDEV(P352:OFFSET(P352,-$R$5+1,0))</f>
        <v>1.0888452828797406</v>
      </c>
      <c r="S352" s="18">
        <f t="shared" si="59"/>
        <v>86.800000000000182</v>
      </c>
      <c r="T352" s="18">
        <f t="shared" si="60"/>
        <v>117.53000000000065</v>
      </c>
      <c r="U352" s="18">
        <f t="shared" si="68"/>
        <v>119.45805582030934</v>
      </c>
      <c r="V352" s="33">
        <f ca="1">AVERAGE(E352:OFFSET(E352,-V$5+1,0))</f>
        <v>6866.0842857142861</v>
      </c>
      <c r="W352" s="33">
        <f t="shared" ca="1" si="61"/>
        <v>7045.2713694447502</v>
      </c>
      <c r="X352" s="33">
        <f t="shared" ca="1" si="62"/>
        <v>6686.897201983822</v>
      </c>
      <c r="Y352" s="32">
        <f t="shared" ca="1" si="69"/>
        <v>-1</v>
      </c>
    </row>
    <row r="353" spans="1:25">
      <c r="A353" s="5">
        <v>38876</v>
      </c>
      <c r="B353" s="4">
        <v>6562.1</v>
      </c>
      <c r="C353" s="4">
        <v>6564.1</v>
      </c>
      <c r="D353" s="4">
        <v>6331.81</v>
      </c>
      <c r="E353" s="4">
        <v>6331.81</v>
      </c>
      <c r="F353" s="4">
        <v>3904600</v>
      </c>
      <c r="G353" s="8">
        <f t="shared" si="71"/>
        <v>-50.639999999999418</v>
      </c>
      <c r="H353" s="8">
        <f t="shared" si="70"/>
        <v>-230.28999999999996</v>
      </c>
      <c r="I353" s="20">
        <f t="shared" ca="1" si="63"/>
        <v>0</v>
      </c>
      <c r="J353" s="8">
        <f t="shared" ca="1" si="64"/>
        <v>-3</v>
      </c>
      <c r="K353" s="8">
        <f t="shared" ca="1" si="65"/>
        <v>842.78999999999814</v>
      </c>
      <c r="L353" s="8">
        <f t="shared" ca="1" si="66"/>
        <v>2187.6499999999996</v>
      </c>
      <c r="M353" s="9">
        <f ca="1">AVERAGE(E353:OFFSET(E353,-M$5+1,0))</f>
        <v>6768.956000000001</v>
      </c>
      <c r="N353" s="9">
        <f ca="1">AVERAGE(E353:OFFSET(E353,-N$5+1,0))</f>
        <v>6923.0239999999994</v>
      </c>
      <c r="O353" s="9">
        <f t="shared" ca="1" si="67"/>
        <v>0</v>
      </c>
      <c r="P353" s="14">
        <f t="shared" si="72"/>
        <v>-4.3411956170356332</v>
      </c>
      <c r="Q353" s="15">
        <f ca="1">STDEV(P353:OFFSET(P353,-$Q$5+1,0))</f>
        <v>1.8258880366778663</v>
      </c>
      <c r="R353" s="15">
        <f ca="1">STDEV(P353:OFFSET(P353,-$R$5+1,0))</f>
        <v>1.2816642473358042</v>
      </c>
      <c r="S353" s="18">
        <f t="shared" si="59"/>
        <v>232.28999999999996</v>
      </c>
      <c r="T353" s="18">
        <f t="shared" si="60"/>
        <v>280.92999999999938</v>
      </c>
      <c r="U353" s="18">
        <f t="shared" si="68"/>
        <v>140.98764837760135</v>
      </c>
      <c r="V353" s="33">
        <f ca="1">AVERAGE(E353:OFFSET(E353,-V$5+1,0))</f>
        <v>6815.925714285715</v>
      </c>
      <c r="W353" s="33">
        <f t="shared" ca="1" si="61"/>
        <v>7027.4071868521169</v>
      </c>
      <c r="X353" s="33">
        <f t="shared" ca="1" si="62"/>
        <v>6604.4442417193131</v>
      </c>
      <c r="Y353" s="32">
        <f t="shared" ca="1" si="69"/>
        <v>0</v>
      </c>
    </row>
    <row r="354" spans="1:25">
      <c r="A354" s="5">
        <v>38877</v>
      </c>
      <c r="B354" s="4">
        <v>6389.98</v>
      </c>
      <c r="C354" s="4">
        <v>6451.17</v>
      </c>
      <c r="D354" s="4">
        <v>6268.92</v>
      </c>
      <c r="E354" s="4">
        <v>6444.63</v>
      </c>
      <c r="F354" s="4">
        <v>3532400</v>
      </c>
      <c r="G354" s="8">
        <f t="shared" si="71"/>
        <v>58.169999999999163</v>
      </c>
      <c r="H354" s="8">
        <f t="shared" si="70"/>
        <v>54.650000000000546</v>
      </c>
      <c r="I354" s="20">
        <f t="shared" ca="1" si="63"/>
        <v>0</v>
      </c>
      <c r="J354" s="8">
        <f t="shared" ca="1" si="64"/>
        <v>-3</v>
      </c>
      <c r="K354" s="8">
        <f t="shared" ca="1" si="65"/>
        <v>-338.45999999999913</v>
      </c>
      <c r="L354" s="8">
        <f t="shared" ca="1" si="66"/>
        <v>1849.1900000000005</v>
      </c>
      <c r="M354" s="9">
        <f ca="1">AVERAGE(E354:OFFSET(E354,-M$5+1,0))</f>
        <v>6727.253999999999</v>
      </c>
      <c r="N354" s="9">
        <f ca="1">AVERAGE(E354:OFFSET(E354,-N$5+1,0))</f>
        <v>6877.1830000000018</v>
      </c>
      <c r="O354" s="9">
        <f t="shared" ca="1" si="67"/>
        <v>0</v>
      </c>
      <c r="P354" s="14">
        <f t="shared" si="72"/>
        <v>1.766109064768685</v>
      </c>
      <c r="Q354" s="15">
        <f ca="1">STDEV(P354:OFFSET(P354,-$Q$5+1,0))</f>
        <v>1.9990266885013939</v>
      </c>
      <c r="R354" s="15">
        <f ca="1">STDEV(P354:OFFSET(P354,-$R$5+1,0))</f>
        <v>1.3098538731734366</v>
      </c>
      <c r="S354" s="18">
        <f t="shared" si="59"/>
        <v>182.25</v>
      </c>
      <c r="T354" s="18">
        <f t="shared" si="60"/>
        <v>182.25</v>
      </c>
      <c r="U354" s="18">
        <f t="shared" si="68"/>
        <v>146.48929526058785</v>
      </c>
      <c r="V354" s="33">
        <f ca="1">AVERAGE(E354:OFFSET(E354,-V$5+1,0))</f>
        <v>6770.9600000000009</v>
      </c>
      <c r="W354" s="33">
        <f t="shared" ca="1" si="61"/>
        <v>6990.6939428908827</v>
      </c>
      <c r="X354" s="33">
        <f t="shared" ca="1" si="62"/>
        <v>6551.2260571091192</v>
      </c>
      <c r="Y354" s="32">
        <f t="shared" ca="1" si="69"/>
        <v>0</v>
      </c>
    </row>
    <row r="355" spans="1:25">
      <c r="A355" s="5">
        <v>38880</v>
      </c>
      <c r="B355" s="4">
        <v>6384.32</v>
      </c>
      <c r="C355" s="4">
        <v>6443.21</v>
      </c>
      <c r="D355" s="4">
        <v>6339.24</v>
      </c>
      <c r="E355" s="4">
        <v>6442.9</v>
      </c>
      <c r="F355" s="4">
        <v>2227200</v>
      </c>
      <c r="G355" s="8">
        <f t="shared" si="71"/>
        <v>-60.3100000000004</v>
      </c>
      <c r="H355" s="8">
        <f t="shared" si="70"/>
        <v>58.579999999999927</v>
      </c>
      <c r="I355" s="20">
        <f t="shared" ca="1" si="63"/>
        <v>0</v>
      </c>
      <c r="J355" s="8">
        <f t="shared" ca="1" si="64"/>
        <v>-3</v>
      </c>
      <c r="K355" s="8">
        <f t="shared" ca="1" si="65"/>
        <v>5.1900000000014188</v>
      </c>
      <c r="L355" s="8">
        <f t="shared" ca="1" si="66"/>
        <v>1854.3800000000019</v>
      </c>
      <c r="M355" s="9">
        <f ca="1">AVERAGE(E355:OFFSET(E355,-M$5+1,0))</f>
        <v>6683.5929999999989</v>
      </c>
      <c r="N355" s="9">
        <f ca="1">AVERAGE(E355:OFFSET(E355,-N$5+1,0))</f>
        <v>6835.38</v>
      </c>
      <c r="O355" s="9">
        <f t="shared" ca="1" si="67"/>
        <v>0</v>
      </c>
      <c r="P355" s="14">
        <f t="shared" si="72"/>
        <v>-2.6847658323847608E-2</v>
      </c>
      <c r="Q355" s="15">
        <f ca="1">STDEV(P355:OFFSET(P355,-$Q$5+1,0))</f>
        <v>1.9869083784941632</v>
      </c>
      <c r="R355" s="15">
        <f ca="1">STDEV(P355:OFFSET(P355,-$R$5+1,0))</f>
        <v>1.3031071344640293</v>
      </c>
      <c r="S355" s="18">
        <f t="shared" si="59"/>
        <v>103.97000000000025</v>
      </c>
      <c r="T355" s="18">
        <f t="shared" si="60"/>
        <v>105.39000000000033</v>
      </c>
      <c r="U355" s="18">
        <f t="shared" si="68"/>
        <v>141.00938922584285</v>
      </c>
      <c r="V355" s="33">
        <f ca="1">AVERAGE(E355:OFFSET(E355,-V$5+1,0))</f>
        <v>6735.5771428571434</v>
      </c>
      <c r="W355" s="33">
        <f t="shared" ca="1" si="61"/>
        <v>6947.0912266959076</v>
      </c>
      <c r="X355" s="33">
        <f t="shared" ca="1" si="62"/>
        <v>6524.0630590183791</v>
      </c>
      <c r="Y355" s="32">
        <f t="shared" ca="1" si="69"/>
        <v>0</v>
      </c>
    </row>
    <row r="356" spans="1:25">
      <c r="A356" s="5">
        <v>38881</v>
      </c>
      <c r="B356" s="4">
        <v>6349.09</v>
      </c>
      <c r="C356" s="4">
        <v>6401.55</v>
      </c>
      <c r="D356" s="4">
        <v>6328.38</v>
      </c>
      <c r="E356" s="4">
        <v>6337.21</v>
      </c>
      <c r="F356" s="4">
        <v>2461200</v>
      </c>
      <c r="G356" s="8">
        <f t="shared" si="71"/>
        <v>-93.809999999999491</v>
      </c>
      <c r="H356" s="8">
        <f t="shared" si="70"/>
        <v>-11.880000000000109</v>
      </c>
      <c r="I356" s="20">
        <f t="shared" ca="1" si="63"/>
        <v>0</v>
      </c>
      <c r="J356" s="8">
        <f t="shared" ca="1" si="64"/>
        <v>-3</v>
      </c>
      <c r="K356" s="8">
        <f t="shared" ca="1" si="65"/>
        <v>317.0699999999988</v>
      </c>
      <c r="L356" s="8">
        <f t="shared" ca="1" si="66"/>
        <v>2171.4500000000007</v>
      </c>
      <c r="M356" s="9">
        <f ca="1">AVERAGE(E356:OFFSET(E356,-M$5+1,0))</f>
        <v>6629.4259999999995</v>
      </c>
      <c r="N356" s="9">
        <f ca="1">AVERAGE(E356:OFFSET(E356,-N$5+1,0))</f>
        <v>6793.4229999999998</v>
      </c>
      <c r="O356" s="9">
        <f t="shared" ca="1" si="67"/>
        <v>0</v>
      </c>
      <c r="P356" s="14">
        <f t="shared" si="72"/>
        <v>-1.6540140814422886</v>
      </c>
      <c r="Q356" s="15">
        <f ca="1">STDEV(P356:OFFSET(P356,-$Q$5+1,0))</f>
        <v>1.9955045857412124</v>
      </c>
      <c r="R356" s="15">
        <f ca="1">STDEV(P356:OFFSET(P356,-$R$5+1,0))</f>
        <v>1.2990415456810545</v>
      </c>
      <c r="S356" s="18">
        <f t="shared" si="59"/>
        <v>73.170000000000073</v>
      </c>
      <c r="T356" s="18">
        <f t="shared" si="60"/>
        <v>114.51999999999953</v>
      </c>
      <c r="U356" s="18">
        <f t="shared" si="68"/>
        <v>137.47747066239708</v>
      </c>
      <c r="V356" s="33">
        <f ca="1">AVERAGE(E356:OFFSET(E356,-V$5+1,0))</f>
        <v>6699.3792857142862</v>
      </c>
      <c r="W356" s="33">
        <f t="shared" ca="1" si="61"/>
        <v>6905.5954917078816</v>
      </c>
      <c r="X356" s="33">
        <f t="shared" ca="1" si="62"/>
        <v>6493.1630797206908</v>
      </c>
      <c r="Y356" s="32">
        <f t="shared" ca="1" si="69"/>
        <v>0</v>
      </c>
    </row>
    <row r="357" spans="1:25">
      <c r="A357" s="5">
        <v>38882</v>
      </c>
      <c r="B357" s="4">
        <v>6343.66</v>
      </c>
      <c r="C357" s="4">
        <v>6494.92</v>
      </c>
      <c r="D357" s="4">
        <v>6340.28</v>
      </c>
      <c r="E357" s="4">
        <v>6469.01</v>
      </c>
      <c r="F357" s="4">
        <v>3233600</v>
      </c>
      <c r="G357" s="8">
        <f t="shared" si="71"/>
        <v>6.4499999999998181</v>
      </c>
      <c r="H357" s="8">
        <f t="shared" si="70"/>
        <v>125.35000000000036</v>
      </c>
      <c r="I357" s="20">
        <f t="shared" ca="1" si="63"/>
        <v>0</v>
      </c>
      <c r="J357" s="8">
        <f t="shared" ca="1" si="64"/>
        <v>-3</v>
      </c>
      <c r="K357" s="8">
        <f t="shared" ca="1" si="65"/>
        <v>-395.40000000000055</v>
      </c>
      <c r="L357" s="8">
        <f t="shared" ca="1" si="66"/>
        <v>1776.0500000000002</v>
      </c>
      <c r="M357" s="9">
        <f ca="1">AVERAGE(E357:OFFSET(E357,-M$5+1,0))</f>
        <v>6591.6319999999996</v>
      </c>
      <c r="N357" s="9">
        <f ca="1">AVERAGE(E357:OFFSET(E357,-N$5+1,0))</f>
        <v>6763.3785000000007</v>
      </c>
      <c r="O357" s="9">
        <f t="shared" ca="1" si="67"/>
        <v>0</v>
      </c>
      <c r="P357" s="14">
        <f t="shared" si="72"/>
        <v>2.0584474393157737</v>
      </c>
      <c r="Q357" s="15">
        <f ca="1">STDEV(P357:OFFSET(P357,-$Q$5+1,0))</f>
        <v>2.194992416220086</v>
      </c>
      <c r="R357" s="15">
        <f ca="1">STDEV(P357:OFFSET(P357,-$R$5+1,0))</f>
        <v>1.3414118498807364</v>
      </c>
      <c r="S357" s="18">
        <f t="shared" si="59"/>
        <v>154.64000000000033</v>
      </c>
      <c r="T357" s="18">
        <f t="shared" si="60"/>
        <v>157.71000000000004</v>
      </c>
      <c r="U357" s="18">
        <f t="shared" si="68"/>
        <v>140.17514124074415</v>
      </c>
      <c r="V357" s="33">
        <f ca="1">AVERAGE(E357:OFFSET(E357,-V$5+1,0))</f>
        <v>6670.2364285714293</v>
      </c>
      <c r="W357" s="33">
        <f t="shared" ca="1" si="61"/>
        <v>6880.4991404325456</v>
      </c>
      <c r="X357" s="33">
        <f t="shared" ca="1" si="62"/>
        <v>6459.9737167103131</v>
      </c>
      <c r="Y357" s="32">
        <f t="shared" ca="1" si="69"/>
        <v>0</v>
      </c>
    </row>
    <row r="358" spans="1:25">
      <c r="A358" s="5">
        <v>38883</v>
      </c>
      <c r="B358" s="4">
        <v>6531.81</v>
      </c>
      <c r="C358" s="4">
        <v>6535.13</v>
      </c>
      <c r="D358" s="4">
        <v>6418.77</v>
      </c>
      <c r="E358" s="4">
        <v>6426.39</v>
      </c>
      <c r="F358" s="4">
        <v>3046800</v>
      </c>
      <c r="G358" s="8">
        <f t="shared" si="71"/>
        <v>62.800000000000182</v>
      </c>
      <c r="H358" s="8">
        <f t="shared" si="70"/>
        <v>-105.42000000000007</v>
      </c>
      <c r="I358" s="20">
        <f t="shared" ca="1" si="63"/>
        <v>-1</v>
      </c>
      <c r="J358" s="8">
        <f t="shared" ca="1" si="64"/>
        <v>-3</v>
      </c>
      <c r="K358" s="8">
        <f t="shared" ca="1" si="65"/>
        <v>127.85999999999967</v>
      </c>
      <c r="L358" s="8">
        <f t="shared" ca="1" si="66"/>
        <v>1903.9099999999999</v>
      </c>
      <c r="M358" s="9">
        <f ca="1">AVERAGE(E358:OFFSET(E358,-M$5+1,0))</f>
        <v>6546.9869999999992</v>
      </c>
      <c r="N358" s="9">
        <f ca="1">AVERAGE(E358:OFFSET(E358,-N$5+1,0))</f>
        <v>6728.8564999999999</v>
      </c>
      <c r="O358" s="9">
        <f t="shared" ca="1" si="67"/>
        <v>0</v>
      </c>
      <c r="P358" s="14">
        <f t="shared" si="72"/>
        <v>-0.66101330995411967</v>
      </c>
      <c r="Q358" s="15">
        <f ca="1">STDEV(P358:OFFSET(P358,-$Q$5+1,0))</f>
        <v>2.1697248237169395</v>
      </c>
      <c r="R358" s="15">
        <f ca="1">STDEV(P358:OFFSET(P358,-$R$5+1,0))</f>
        <v>1.3433844797497119</v>
      </c>
      <c r="S358" s="18">
        <f t="shared" si="59"/>
        <v>116.35999999999967</v>
      </c>
      <c r="T358" s="18">
        <f t="shared" si="60"/>
        <v>116.35999999999967</v>
      </c>
      <c r="U358" s="18">
        <f t="shared" si="68"/>
        <v>136.99978907531155</v>
      </c>
      <c r="V358" s="33">
        <f ca="1">AVERAGE(E358:OFFSET(E358,-V$5+1,0))</f>
        <v>6639.1464285714274</v>
      </c>
      <c r="W358" s="33">
        <f t="shared" ca="1" si="61"/>
        <v>6844.646112184395</v>
      </c>
      <c r="X358" s="33">
        <f t="shared" ca="1" si="62"/>
        <v>6433.6467449584597</v>
      </c>
      <c r="Y358" s="32">
        <f t="shared" ca="1" si="69"/>
        <v>-1</v>
      </c>
    </row>
    <row r="359" spans="1:25">
      <c r="A359" s="5">
        <v>38884</v>
      </c>
      <c r="B359" s="4">
        <v>6589.7</v>
      </c>
      <c r="C359" s="4">
        <v>6629.33</v>
      </c>
      <c r="D359" s="4">
        <v>6550.13</v>
      </c>
      <c r="E359" s="4">
        <v>6575.77</v>
      </c>
      <c r="F359" s="4">
        <v>3917800</v>
      </c>
      <c r="G359" s="8">
        <f t="shared" si="71"/>
        <v>163.30999999999949</v>
      </c>
      <c r="H359" s="8">
        <f t="shared" si="70"/>
        <v>-13.929999999999382</v>
      </c>
      <c r="I359" s="20">
        <f t="shared" ca="1" si="63"/>
        <v>0</v>
      </c>
      <c r="J359" s="8">
        <f t="shared" ca="1" si="64"/>
        <v>-3</v>
      </c>
      <c r="K359" s="8">
        <f t="shared" ca="1" si="65"/>
        <v>-448.14000000000033</v>
      </c>
      <c r="L359" s="8">
        <f t="shared" ca="1" si="66"/>
        <v>1455.7699999999995</v>
      </c>
      <c r="M359" s="9">
        <f ca="1">AVERAGE(E359:OFFSET(E359,-M$5+1,0))</f>
        <v>6508.6</v>
      </c>
      <c r="N359" s="9">
        <f ca="1">AVERAGE(E359:OFFSET(E359,-N$5+1,0))</f>
        <v>6705.9434999999994</v>
      </c>
      <c r="O359" s="9">
        <f t="shared" ca="1" si="67"/>
        <v>0</v>
      </c>
      <c r="P359" s="14">
        <f t="shared" si="72"/>
        <v>2.297873167802627</v>
      </c>
      <c r="Q359" s="15">
        <f ca="1">STDEV(P359:OFFSET(P359,-$Q$5+1,0))</f>
        <v>2.294111970948582</v>
      </c>
      <c r="R359" s="15">
        <f ca="1">STDEV(P359:OFFSET(P359,-$R$5+1,0))</f>
        <v>1.3938924612554164</v>
      </c>
      <c r="S359" s="18">
        <f t="shared" si="59"/>
        <v>79.199999999999818</v>
      </c>
      <c r="T359" s="18">
        <f t="shared" si="60"/>
        <v>202.9399999999996</v>
      </c>
      <c r="U359" s="18">
        <f t="shared" si="68"/>
        <v>145.7918171986033</v>
      </c>
      <c r="V359" s="33">
        <f ca="1">AVERAGE(E359:OFFSET(E359,-V$5+1,0))</f>
        <v>6617.4507142857137</v>
      </c>
      <c r="W359" s="33">
        <f t="shared" ca="1" si="61"/>
        <v>6836.1384400836187</v>
      </c>
      <c r="X359" s="33">
        <f t="shared" ca="1" si="62"/>
        <v>6398.7629884878088</v>
      </c>
      <c r="Y359" s="32">
        <f t="shared" ca="1" si="69"/>
        <v>0</v>
      </c>
    </row>
    <row r="360" spans="1:25">
      <c r="A360" s="5">
        <v>38887</v>
      </c>
      <c r="B360" s="4">
        <v>6576.55</v>
      </c>
      <c r="C360" s="4">
        <v>6603.98</v>
      </c>
      <c r="D360" s="4">
        <v>6541.33</v>
      </c>
      <c r="E360" s="4">
        <v>6583.04</v>
      </c>
      <c r="F360" s="4">
        <v>3014800</v>
      </c>
      <c r="G360" s="8">
        <f t="shared" si="71"/>
        <v>0.77999999999974534</v>
      </c>
      <c r="H360" s="8">
        <f t="shared" si="70"/>
        <v>6.4899999999997817</v>
      </c>
      <c r="I360" s="20">
        <f t="shared" ca="1" si="63"/>
        <v>0</v>
      </c>
      <c r="J360" s="8">
        <f t="shared" ca="1" si="64"/>
        <v>-3</v>
      </c>
      <c r="K360" s="8">
        <f t="shared" ca="1" si="65"/>
        <v>-21.809999999998581</v>
      </c>
      <c r="L360" s="8">
        <f t="shared" ca="1" si="66"/>
        <v>1433.9600000000009</v>
      </c>
      <c r="M360" s="9">
        <f ca="1">AVERAGE(E360:OFFSET(E360,-M$5+1,0))</f>
        <v>6495.3769999999995</v>
      </c>
      <c r="N360" s="9">
        <f ca="1">AVERAGE(E360:OFFSET(E360,-N$5+1,0))</f>
        <v>6681.3880000000008</v>
      </c>
      <c r="O360" s="9">
        <f t="shared" ca="1" si="67"/>
        <v>0</v>
      </c>
      <c r="P360" s="14">
        <f t="shared" si="72"/>
        <v>0.11049632511888972</v>
      </c>
      <c r="Q360" s="15">
        <f ca="1">STDEV(P360:OFFSET(P360,-$Q$5+1,0))</f>
        <v>2.0392291868035204</v>
      </c>
      <c r="R360" s="15">
        <f ca="1">STDEV(P360:OFFSET(P360,-$R$5+1,0))</f>
        <v>1.3838124546640149</v>
      </c>
      <c r="S360" s="18">
        <f t="shared" si="59"/>
        <v>62.649999999999636</v>
      </c>
      <c r="T360" s="18">
        <f t="shared" si="60"/>
        <v>62.649999999999636</v>
      </c>
      <c r="U360" s="18">
        <f t="shared" si="68"/>
        <v>134.70624157212282</v>
      </c>
      <c r="V360" s="33">
        <f ca="1">AVERAGE(E360:OFFSET(E360,-V$5+1,0))</f>
        <v>6596.3192857142849</v>
      </c>
      <c r="W360" s="33">
        <f t="shared" ca="1" si="61"/>
        <v>6798.3786480724693</v>
      </c>
      <c r="X360" s="33">
        <f t="shared" ca="1" si="62"/>
        <v>6394.2599233561004</v>
      </c>
      <c r="Y360" s="32">
        <f t="shared" ca="1" si="69"/>
        <v>0</v>
      </c>
    </row>
    <row r="361" spans="1:25">
      <c r="A361" s="5">
        <v>38888</v>
      </c>
      <c r="B361" s="4">
        <v>6536.11</v>
      </c>
      <c r="C361" s="4">
        <v>6552.17</v>
      </c>
      <c r="D361" s="4">
        <v>6324.69</v>
      </c>
      <c r="E361" s="4">
        <v>6363.55</v>
      </c>
      <c r="F361" s="4">
        <v>3614000</v>
      </c>
      <c r="G361" s="8">
        <f t="shared" si="71"/>
        <v>-46.930000000000291</v>
      </c>
      <c r="H361" s="8">
        <f t="shared" si="70"/>
        <v>-172.55999999999949</v>
      </c>
      <c r="I361" s="20">
        <f t="shared" ca="1" si="63"/>
        <v>0</v>
      </c>
      <c r="J361" s="8">
        <f t="shared" ca="1" si="64"/>
        <v>-3</v>
      </c>
      <c r="K361" s="8">
        <f t="shared" ca="1" si="65"/>
        <v>658.46999999999935</v>
      </c>
      <c r="L361" s="8">
        <f t="shared" ca="1" si="66"/>
        <v>2092.4300000000003</v>
      </c>
      <c r="M361" s="9">
        <f ca="1">AVERAGE(E361:OFFSET(E361,-M$5+1,0))</f>
        <v>6458.7050000000008</v>
      </c>
      <c r="N361" s="9">
        <f ca="1">AVERAGE(E361:OFFSET(E361,-N$5+1,0))</f>
        <v>6652.6524999999992</v>
      </c>
      <c r="O361" s="9">
        <f t="shared" ca="1" si="67"/>
        <v>0</v>
      </c>
      <c r="P361" s="14">
        <f t="shared" si="72"/>
        <v>-3.3910246993980571</v>
      </c>
      <c r="Q361" s="15">
        <f ca="1">STDEV(P361:OFFSET(P361,-$Q$5+1,0))</f>
        <v>2.2640092458505157</v>
      </c>
      <c r="R361" s="15">
        <f ca="1">STDEV(P361:OFFSET(P361,-$R$5+1,0))</f>
        <v>1.4733678843461147</v>
      </c>
      <c r="S361" s="18">
        <f t="shared" si="59"/>
        <v>227.48000000000047</v>
      </c>
      <c r="T361" s="18">
        <f t="shared" si="60"/>
        <v>258.35000000000036</v>
      </c>
      <c r="U361" s="18">
        <f t="shared" si="68"/>
        <v>151.19207602917317</v>
      </c>
      <c r="V361" s="33">
        <f ca="1">AVERAGE(E361:OFFSET(E361,-V$5+1,0))</f>
        <v>6561.7907142857139</v>
      </c>
      <c r="W361" s="33">
        <f t="shared" ca="1" si="61"/>
        <v>6788.5788283294733</v>
      </c>
      <c r="X361" s="33">
        <f t="shared" ca="1" si="62"/>
        <v>6335.0026002419545</v>
      </c>
      <c r="Y361" s="32">
        <f t="shared" ca="1" si="69"/>
        <v>0</v>
      </c>
    </row>
    <row r="362" spans="1:25">
      <c r="A362" s="5">
        <v>38889</v>
      </c>
      <c r="B362" s="4">
        <v>6354.43</v>
      </c>
      <c r="C362" s="4">
        <v>6399.22</v>
      </c>
      <c r="D362" s="4">
        <v>6290.63</v>
      </c>
      <c r="E362" s="4">
        <v>6299.59</v>
      </c>
      <c r="F362" s="4">
        <v>2992200</v>
      </c>
      <c r="G362" s="8">
        <f t="shared" si="71"/>
        <v>-9.1199999999998909</v>
      </c>
      <c r="H362" s="8">
        <f t="shared" si="70"/>
        <v>-54.840000000000146</v>
      </c>
      <c r="I362" s="20">
        <f t="shared" ca="1" si="63"/>
        <v>-1</v>
      </c>
      <c r="J362" s="8">
        <f t="shared" ca="1" si="64"/>
        <v>-3</v>
      </c>
      <c r="K362" s="8">
        <f t="shared" ca="1" si="65"/>
        <v>191.88000000000011</v>
      </c>
      <c r="L362" s="8">
        <f t="shared" ca="1" si="66"/>
        <v>2284.3100000000004</v>
      </c>
      <c r="M362" s="9">
        <f ca="1">AVERAGE(E362:OFFSET(E362,-M$5+1,0))</f>
        <v>6427.3900000000012</v>
      </c>
      <c r="N362" s="9">
        <f ca="1">AVERAGE(E362:OFFSET(E362,-N$5+1,0))</f>
        <v>6625.433</v>
      </c>
      <c r="O362" s="9">
        <f t="shared" ca="1" si="67"/>
        <v>0</v>
      </c>
      <c r="P362" s="14">
        <f t="shared" si="72"/>
        <v>-1.010184581567044</v>
      </c>
      <c r="Q362" s="15">
        <f ca="1">STDEV(P362:OFFSET(P362,-$Q$5+1,0))</f>
        <v>2.2319432705649187</v>
      </c>
      <c r="R362" s="15">
        <f ca="1">STDEV(P362:OFFSET(P362,-$R$5+1,0))</f>
        <v>1.4770177344699666</v>
      </c>
      <c r="S362" s="18">
        <f t="shared" si="59"/>
        <v>108.59000000000015</v>
      </c>
      <c r="T362" s="18">
        <f t="shared" si="60"/>
        <v>108.59000000000015</v>
      </c>
      <c r="U362" s="18">
        <f t="shared" si="68"/>
        <v>145.51179922528345</v>
      </c>
      <c r="V362" s="33">
        <f ca="1">AVERAGE(E362:OFFSET(E362,-V$5+1,0))</f>
        <v>6520.8442857142854</v>
      </c>
      <c r="W362" s="33">
        <f t="shared" ca="1" si="61"/>
        <v>6739.1119845522107</v>
      </c>
      <c r="X362" s="33">
        <f t="shared" ca="1" si="62"/>
        <v>6302.5765868763601</v>
      </c>
      <c r="Y362" s="32">
        <f t="shared" ca="1" si="69"/>
        <v>-1</v>
      </c>
    </row>
    <row r="363" spans="1:25">
      <c r="A363" s="5">
        <v>38890</v>
      </c>
      <c r="B363" s="4">
        <v>6427.71</v>
      </c>
      <c r="C363" s="4">
        <v>6487.91</v>
      </c>
      <c r="D363" s="4">
        <v>6397.13</v>
      </c>
      <c r="E363" s="4">
        <v>6485.15</v>
      </c>
      <c r="F363" s="4">
        <v>2961800</v>
      </c>
      <c r="G363" s="8">
        <f t="shared" si="71"/>
        <v>128.11999999999989</v>
      </c>
      <c r="H363" s="8">
        <f t="shared" si="70"/>
        <v>57.4399999999996</v>
      </c>
      <c r="I363" s="20">
        <f t="shared" ca="1" si="63"/>
        <v>0</v>
      </c>
      <c r="J363" s="8">
        <f t="shared" ca="1" si="64"/>
        <v>-3</v>
      </c>
      <c r="K363" s="8">
        <f t="shared" ca="1" si="65"/>
        <v>-556.67999999999847</v>
      </c>
      <c r="L363" s="8">
        <f t="shared" ca="1" si="66"/>
        <v>1727.6300000000019</v>
      </c>
      <c r="M363" s="9">
        <f ca="1">AVERAGE(E363:OFFSET(E363,-M$5+1,0))</f>
        <v>6442.7240000000011</v>
      </c>
      <c r="N363" s="9">
        <f ca="1">AVERAGE(E363:OFFSET(E363,-N$5+1,0))</f>
        <v>6605.8400000000011</v>
      </c>
      <c r="O363" s="9">
        <f t="shared" ca="1" si="67"/>
        <v>0</v>
      </c>
      <c r="P363" s="14">
        <f t="shared" si="72"/>
        <v>2.9030395886945795</v>
      </c>
      <c r="Q363" s="15">
        <f ca="1">STDEV(P363:OFFSET(P363,-$Q$5+1,0))</f>
        <v>2.0054584341738244</v>
      </c>
      <c r="R363" s="15">
        <f ca="1">STDEV(P363:OFFSET(P363,-$R$5+1,0))</f>
        <v>1.5606509488838765</v>
      </c>
      <c r="S363" s="18">
        <f t="shared" si="59"/>
        <v>90.779999999999745</v>
      </c>
      <c r="T363" s="18">
        <f t="shared" si="60"/>
        <v>188.31999999999971</v>
      </c>
      <c r="U363" s="18">
        <f t="shared" si="68"/>
        <v>151.21955932857895</v>
      </c>
      <c r="V363" s="33">
        <f ca="1">AVERAGE(E363:OFFSET(E363,-V$5+1,0))</f>
        <v>6486.9521428571416</v>
      </c>
      <c r="W363" s="33">
        <f t="shared" ca="1" si="61"/>
        <v>6713.7814818500101</v>
      </c>
      <c r="X363" s="33">
        <f t="shared" ca="1" si="62"/>
        <v>6260.122803864273</v>
      </c>
      <c r="Y363" s="32">
        <f t="shared" ca="1" si="69"/>
        <v>0</v>
      </c>
    </row>
    <row r="364" spans="1:25">
      <c r="A364" s="5">
        <v>38891</v>
      </c>
      <c r="B364" s="4">
        <v>6432.46</v>
      </c>
      <c r="C364" s="4">
        <v>6462.91</v>
      </c>
      <c r="D364" s="4">
        <v>6362.23</v>
      </c>
      <c r="E364" s="4">
        <v>6452.31</v>
      </c>
      <c r="F364" s="4">
        <v>2878200</v>
      </c>
      <c r="G364" s="8">
        <f t="shared" si="71"/>
        <v>-52.6899999999996</v>
      </c>
      <c r="H364" s="8">
        <f t="shared" si="70"/>
        <v>19.850000000000364</v>
      </c>
      <c r="I364" s="20">
        <f t="shared" ca="1" si="63"/>
        <v>0</v>
      </c>
      <c r="J364" s="8">
        <f t="shared" ca="1" si="64"/>
        <v>-3</v>
      </c>
      <c r="K364" s="8">
        <f t="shared" ca="1" si="65"/>
        <v>98.519999999997708</v>
      </c>
      <c r="L364" s="8">
        <f t="shared" ca="1" si="66"/>
        <v>1826.1499999999996</v>
      </c>
      <c r="M364" s="9">
        <f ca="1">AVERAGE(E364:OFFSET(E364,-M$5+1,0))</f>
        <v>6443.4920000000002</v>
      </c>
      <c r="N364" s="9">
        <f ca="1">AVERAGE(E364:OFFSET(E364,-N$5+1,0))</f>
        <v>6585.3729999999996</v>
      </c>
      <c r="O364" s="9">
        <f t="shared" ca="1" si="67"/>
        <v>0</v>
      </c>
      <c r="P364" s="14">
        <f t="shared" si="72"/>
        <v>-0.50767415756900469</v>
      </c>
      <c r="Q364" s="15">
        <f ca="1">STDEV(P364:OFFSET(P364,-$Q$5+1,0))</f>
        <v>1.9409772234715279</v>
      </c>
      <c r="R364" s="15">
        <f ca="1">STDEV(P364:OFFSET(P364,-$R$5+1,0))</f>
        <v>1.5352925939557112</v>
      </c>
      <c r="S364" s="18">
        <f t="shared" si="59"/>
        <v>100.68000000000029</v>
      </c>
      <c r="T364" s="18">
        <f t="shared" si="60"/>
        <v>122.92000000000007</v>
      </c>
      <c r="U364" s="18">
        <f t="shared" si="68"/>
        <v>147.44628475143512</v>
      </c>
      <c r="V364" s="33">
        <f ca="1">AVERAGE(E364:OFFSET(E364,-V$5+1,0))</f>
        <v>6468.1692857142843</v>
      </c>
      <c r="W364" s="33">
        <f t="shared" ca="1" si="61"/>
        <v>6689.338712841437</v>
      </c>
      <c r="X364" s="33">
        <f t="shared" ca="1" si="62"/>
        <v>6246.9998585871317</v>
      </c>
      <c r="Y364" s="32">
        <f t="shared" ca="1" si="69"/>
        <v>0</v>
      </c>
    </row>
    <row r="365" spans="1:25">
      <c r="A365" s="5">
        <v>38894</v>
      </c>
      <c r="B365" s="4">
        <v>6464.4</v>
      </c>
      <c r="C365" s="4">
        <v>6548.94</v>
      </c>
      <c r="D365" s="4">
        <v>6448.51</v>
      </c>
      <c r="E365" s="4">
        <v>6523.68</v>
      </c>
      <c r="F365" s="4">
        <v>2616600</v>
      </c>
      <c r="G365" s="8">
        <f t="shared" si="71"/>
        <v>12.089999999999236</v>
      </c>
      <c r="H365" s="8">
        <f t="shared" si="70"/>
        <v>59.280000000000655</v>
      </c>
      <c r="I365" s="20">
        <f t="shared" ca="1" si="63"/>
        <v>0</v>
      </c>
      <c r="J365" s="8">
        <f t="shared" ca="1" si="64"/>
        <v>-3</v>
      </c>
      <c r="K365" s="8">
        <f t="shared" ca="1" si="65"/>
        <v>-214.10999999999967</v>
      </c>
      <c r="L365" s="8">
        <f t="shared" ca="1" si="66"/>
        <v>1612.04</v>
      </c>
      <c r="M365" s="9">
        <f ca="1">AVERAGE(E365:OFFSET(E365,-M$5+1,0))</f>
        <v>6451.57</v>
      </c>
      <c r="N365" s="9">
        <f ca="1">AVERAGE(E365:OFFSET(E365,-N$5+1,0))</f>
        <v>6567.5814999999984</v>
      </c>
      <c r="O365" s="9">
        <f t="shared" ca="1" si="67"/>
        <v>0</v>
      </c>
      <c r="P365" s="14">
        <f t="shared" si="72"/>
        <v>1.1000427667100146</v>
      </c>
      <c r="Q365" s="15">
        <f ca="1">STDEV(P365:OFFSET(P365,-$Q$5+1,0))</f>
        <v>1.9709579239156918</v>
      </c>
      <c r="R365" s="15">
        <f ca="1">STDEV(P365:OFFSET(P365,-$R$5+1,0))</f>
        <v>1.5499204770566799</v>
      </c>
      <c r="S365" s="18">
        <f t="shared" si="59"/>
        <v>100.42999999999938</v>
      </c>
      <c r="T365" s="18">
        <f t="shared" si="60"/>
        <v>100.42999999999938</v>
      </c>
      <c r="U365" s="18">
        <f t="shared" si="68"/>
        <v>141.17744678457703</v>
      </c>
      <c r="V365" s="33">
        <f ca="1">AVERAGE(E365:OFFSET(E365,-V$5+1,0))</f>
        <v>6453.4128571428573</v>
      </c>
      <c r="W365" s="33">
        <f t="shared" ca="1" si="61"/>
        <v>6665.179027319723</v>
      </c>
      <c r="X365" s="33">
        <f t="shared" ca="1" si="62"/>
        <v>6241.6466869659916</v>
      </c>
      <c r="Y365" s="32">
        <f t="shared" ca="1" si="69"/>
        <v>0</v>
      </c>
    </row>
    <row r="366" spans="1:25">
      <c r="A366" s="5">
        <v>38895</v>
      </c>
      <c r="B366" s="4">
        <v>6520.77</v>
      </c>
      <c r="C366" s="4">
        <v>6622.81</v>
      </c>
      <c r="D366" s="4">
        <v>6513.03</v>
      </c>
      <c r="E366" s="4">
        <v>6572.39</v>
      </c>
      <c r="F366" s="4">
        <v>3366800</v>
      </c>
      <c r="G366" s="8">
        <f t="shared" si="71"/>
        <v>-2.9099999999998545</v>
      </c>
      <c r="H366" s="8">
        <f t="shared" si="70"/>
        <v>51.619999999999891</v>
      </c>
      <c r="I366" s="20">
        <f t="shared" ca="1" si="63"/>
        <v>0</v>
      </c>
      <c r="J366" s="8">
        <f t="shared" ca="1" si="64"/>
        <v>-3</v>
      </c>
      <c r="K366" s="8">
        <f t="shared" ca="1" si="65"/>
        <v>-146.13000000000011</v>
      </c>
      <c r="L366" s="8">
        <f t="shared" ca="1" si="66"/>
        <v>1465.9099999999999</v>
      </c>
      <c r="M366" s="9">
        <f ca="1">AVERAGE(E366:OFFSET(E366,-M$5+1,0))</f>
        <v>6475.0880000000006</v>
      </c>
      <c r="N366" s="9">
        <f ca="1">AVERAGE(E366:OFFSET(E366,-N$5+1,0))</f>
        <v>6552.2569999999987</v>
      </c>
      <c r="O366" s="9">
        <f t="shared" ca="1" si="67"/>
        <v>0</v>
      </c>
      <c r="P366" s="14">
        <f t="shared" si="72"/>
        <v>0.74389071871605594</v>
      </c>
      <c r="Q366" s="15">
        <f ca="1">STDEV(P366:OFFSET(P366,-$Q$5+1,0))</f>
        <v>1.874007588523624</v>
      </c>
      <c r="R366" s="15">
        <f ca="1">STDEV(P366:OFFSET(P366,-$R$5+1,0))</f>
        <v>1.5533538191921874</v>
      </c>
      <c r="S366" s="18">
        <f t="shared" si="59"/>
        <v>109.78000000000065</v>
      </c>
      <c r="T366" s="18">
        <f t="shared" si="60"/>
        <v>109.78000000000065</v>
      </c>
      <c r="U366" s="18">
        <f t="shared" si="68"/>
        <v>136.99112054663351</v>
      </c>
      <c r="V366" s="33">
        <f ca="1">AVERAGE(E366:OFFSET(E366,-V$5+1,0))</f>
        <v>6450.5307142857146</v>
      </c>
      <c r="W366" s="33">
        <f t="shared" ca="1" si="61"/>
        <v>6656.0173951056649</v>
      </c>
      <c r="X366" s="33">
        <f t="shared" ca="1" si="62"/>
        <v>6245.0440334657642</v>
      </c>
      <c r="Y366" s="32">
        <f t="shared" ca="1" si="69"/>
        <v>0</v>
      </c>
    </row>
    <row r="367" spans="1:25">
      <c r="A367" s="5">
        <v>38896</v>
      </c>
      <c r="B367" s="4">
        <v>6500.38</v>
      </c>
      <c r="C367" s="4">
        <v>6540.93</v>
      </c>
      <c r="D367" s="4">
        <v>6481.65</v>
      </c>
      <c r="E367" s="4">
        <v>6540.93</v>
      </c>
      <c r="F367" s="4">
        <v>2825600</v>
      </c>
      <c r="G367" s="8">
        <f t="shared" si="71"/>
        <v>-72.010000000000218</v>
      </c>
      <c r="H367" s="8">
        <f t="shared" si="70"/>
        <v>40.550000000000182</v>
      </c>
      <c r="I367" s="20">
        <f t="shared" ca="1" si="63"/>
        <v>0</v>
      </c>
      <c r="J367" s="8">
        <f t="shared" ca="1" si="64"/>
        <v>-3</v>
      </c>
      <c r="K367" s="8">
        <f t="shared" ca="1" si="65"/>
        <v>94.380000000000109</v>
      </c>
      <c r="L367" s="8">
        <f t="shared" ca="1" si="66"/>
        <v>1560.29</v>
      </c>
      <c r="M367" s="9">
        <f ca="1">AVERAGE(E367:OFFSET(E367,-M$5+1,0))</f>
        <v>6482.28</v>
      </c>
      <c r="N367" s="9">
        <f ca="1">AVERAGE(E367:OFFSET(E367,-N$5+1,0))</f>
        <v>6536.9560000000001</v>
      </c>
      <c r="O367" s="9">
        <f t="shared" ca="1" si="67"/>
        <v>0</v>
      </c>
      <c r="P367" s="14">
        <f t="shared" si="72"/>
        <v>-0.47981838859232695</v>
      </c>
      <c r="Q367" s="15">
        <f ca="1">STDEV(P367:OFFSET(P367,-$Q$5+1,0))</f>
        <v>1.7890318427167162</v>
      </c>
      <c r="R367" s="15">
        <f ca="1">STDEV(P367:OFFSET(P367,-$R$5+1,0))</f>
        <v>1.5507356075585419</v>
      </c>
      <c r="S367" s="18">
        <f t="shared" si="59"/>
        <v>59.280000000000655</v>
      </c>
      <c r="T367" s="18">
        <f t="shared" si="60"/>
        <v>90.740000000000691</v>
      </c>
      <c r="U367" s="18">
        <f t="shared" si="68"/>
        <v>130.82430447374912</v>
      </c>
      <c r="V367" s="33">
        <f ca="1">AVERAGE(E367:OFFSET(E367,-V$5+1,0))</f>
        <v>6465.4678571428585</v>
      </c>
      <c r="W367" s="33">
        <f t="shared" ca="1" si="61"/>
        <v>6661.7043138534818</v>
      </c>
      <c r="X367" s="33">
        <f t="shared" ca="1" si="62"/>
        <v>6269.2314004322352</v>
      </c>
      <c r="Y367" s="32">
        <f t="shared" ca="1" si="69"/>
        <v>0</v>
      </c>
    </row>
    <row r="368" spans="1:25">
      <c r="A368" s="5">
        <v>38897</v>
      </c>
      <c r="B368" s="4">
        <v>6578.58</v>
      </c>
      <c r="C368" s="4">
        <v>6623.39</v>
      </c>
      <c r="D368" s="4">
        <v>6574.4</v>
      </c>
      <c r="E368" s="4">
        <v>6607.39</v>
      </c>
      <c r="F368" s="4">
        <v>3457800</v>
      </c>
      <c r="G368" s="8">
        <f t="shared" si="71"/>
        <v>37.649999999999636</v>
      </c>
      <c r="H368" s="8">
        <f t="shared" si="70"/>
        <v>28.8100000000004</v>
      </c>
      <c r="I368" s="20">
        <f t="shared" ca="1" si="63"/>
        <v>0</v>
      </c>
      <c r="J368" s="8">
        <f t="shared" ca="1" si="64"/>
        <v>-3</v>
      </c>
      <c r="K368" s="8">
        <f t="shared" ca="1" si="65"/>
        <v>-199.38000000000011</v>
      </c>
      <c r="L368" s="8">
        <f t="shared" ca="1" si="66"/>
        <v>1360.9099999999999</v>
      </c>
      <c r="M368" s="9">
        <f ca="1">AVERAGE(E368:OFFSET(E368,-M$5+1,0))</f>
        <v>6500.3799999999992</v>
      </c>
      <c r="N368" s="9">
        <f ca="1">AVERAGE(E368:OFFSET(E368,-N$5+1,0))</f>
        <v>6523.6835000000001</v>
      </c>
      <c r="O368" s="9">
        <f t="shared" ca="1" si="67"/>
        <v>0</v>
      </c>
      <c r="P368" s="14">
        <f t="shared" si="72"/>
        <v>1.0109362414714445</v>
      </c>
      <c r="Q368" s="15">
        <f ca="1">STDEV(P368:OFFSET(P368,-$Q$5+1,0))</f>
        <v>1.7870371416058228</v>
      </c>
      <c r="R368" s="15">
        <f ca="1">STDEV(P368:OFFSET(P368,-$R$5+1,0))</f>
        <v>1.5578920240683101</v>
      </c>
      <c r="S368" s="18">
        <f t="shared" si="59"/>
        <v>48.990000000000691</v>
      </c>
      <c r="T368" s="18">
        <f t="shared" si="60"/>
        <v>82.460000000000036</v>
      </c>
      <c r="U368" s="18">
        <f t="shared" si="68"/>
        <v>124.37573054391592</v>
      </c>
      <c r="V368" s="33">
        <f ca="1">AVERAGE(E368:OFFSET(E368,-V$5+1,0))</f>
        <v>6477.0935714285724</v>
      </c>
      <c r="W368" s="33">
        <f t="shared" ca="1" si="61"/>
        <v>6663.6571672444461</v>
      </c>
      <c r="X368" s="33">
        <f t="shared" ca="1" si="62"/>
        <v>6290.5299756126988</v>
      </c>
      <c r="Y368" s="32">
        <f t="shared" ca="1" si="69"/>
        <v>0</v>
      </c>
    </row>
    <row r="369" spans="1:25">
      <c r="A369" s="5">
        <v>38898</v>
      </c>
      <c r="B369" s="4">
        <v>6731.07</v>
      </c>
      <c r="C369" s="4">
        <v>6731.07</v>
      </c>
      <c r="D369" s="4">
        <v>6682.38</v>
      </c>
      <c r="E369" s="4">
        <v>6704.41</v>
      </c>
      <c r="F369" s="4">
        <v>3862400</v>
      </c>
      <c r="G369" s="8">
        <f t="shared" si="71"/>
        <v>123.67999999999938</v>
      </c>
      <c r="H369" s="8">
        <f t="shared" si="70"/>
        <v>-26.659999999999854</v>
      </c>
      <c r="I369" s="20">
        <f t="shared" ca="1" si="63"/>
        <v>1</v>
      </c>
      <c r="J369" s="8">
        <f t="shared" ca="1" si="64"/>
        <v>-3</v>
      </c>
      <c r="K369" s="8">
        <f t="shared" ca="1" si="65"/>
        <v>-291.05999999999858</v>
      </c>
      <c r="L369" s="8">
        <f t="shared" ca="1" si="66"/>
        <v>1069.8500000000013</v>
      </c>
      <c r="M369" s="9">
        <f ca="1">AVERAGE(E369:OFFSET(E369,-M$5+1,0))</f>
        <v>6513.2440000000006</v>
      </c>
      <c r="N369" s="9">
        <f ca="1">AVERAGE(E369:OFFSET(E369,-N$5+1,0))</f>
        <v>6510.9219999999996</v>
      </c>
      <c r="O369" s="9">
        <f t="shared" ca="1" si="67"/>
        <v>1</v>
      </c>
      <c r="P369" s="14">
        <f t="shared" si="72"/>
        <v>1.4576799218675374</v>
      </c>
      <c r="Q369" s="15">
        <f ca="1">STDEV(P369:OFFSET(P369,-$Q$5+1,0))</f>
        <v>1.6990936532794514</v>
      </c>
      <c r="R369" s="15">
        <f ca="1">STDEV(P369:OFFSET(P369,-$R$5+1,0))</f>
        <v>1.5592588214975156</v>
      </c>
      <c r="S369" s="18">
        <f t="shared" si="59"/>
        <v>48.6899999999996</v>
      </c>
      <c r="T369" s="18">
        <f t="shared" si="60"/>
        <v>123.67999999999938</v>
      </c>
      <c r="U369" s="18">
        <f t="shared" si="68"/>
        <v>124.28296647139372</v>
      </c>
      <c r="V369" s="33">
        <f ca="1">AVERAGE(E369:OFFSET(E369,-V$5+1,0))</f>
        <v>6495.772857142857</v>
      </c>
      <c r="W369" s="33">
        <f t="shared" ca="1" si="61"/>
        <v>6682.1973068499474</v>
      </c>
      <c r="X369" s="33">
        <f t="shared" ca="1" si="62"/>
        <v>6309.3484074357666</v>
      </c>
      <c r="Y369" s="32">
        <f t="shared" ca="1" si="69"/>
        <v>1</v>
      </c>
    </row>
    <row r="370" spans="1:25">
      <c r="A370" s="5">
        <v>38901</v>
      </c>
      <c r="B370" s="4">
        <v>6727.23</v>
      </c>
      <c r="C370" s="4">
        <v>6735.34</v>
      </c>
      <c r="D370" s="4">
        <v>6705.25</v>
      </c>
      <c r="E370" s="4">
        <v>6718.5</v>
      </c>
      <c r="F370" s="4">
        <v>2609800</v>
      </c>
      <c r="G370" s="8">
        <f t="shared" si="71"/>
        <v>22.819999999999709</v>
      </c>
      <c r="H370" s="8">
        <f t="shared" si="70"/>
        <v>-8.7299999999995634</v>
      </c>
      <c r="I370" s="20">
        <f t="shared" ca="1" si="63"/>
        <v>0</v>
      </c>
      <c r="J370" s="8">
        <f t="shared" ca="1" si="64"/>
        <v>-2</v>
      </c>
      <c r="K370" s="8">
        <f t="shared" ca="1" si="65"/>
        <v>-51</v>
      </c>
      <c r="L370" s="8">
        <f t="shared" ca="1" si="66"/>
        <v>1018.8500000000013</v>
      </c>
      <c r="M370" s="9">
        <f ca="1">AVERAGE(E370:OFFSET(E370,-M$5+1,0))</f>
        <v>6526.7900000000009</v>
      </c>
      <c r="N370" s="9">
        <f ca="1">AVERAGE(E370:OFFSET(E370,-N$5+1,0))</f>
        <v>6511.0834999999997</v>
      </c>
      <c r="O370" s="9">
        <f t="shared" ca="1" si="67"/>
        <v>0</v>
      </c>
      <c r="P370" s="14">
        <f t="shared" si="72"/>
        <v>0.20993965056906072</v>
      </c>
      <c r="Q370" s="15">
        <f ca="1">STDEV(P370:OFFSET(P370,-$Q$5+1,0))</f>
        <v>1.6988433165861201</v>
      </c>
      <c r="R370" s="15">
        <f ca="1">STDEV(P370:OFFSET(P370,-$R$5+1,0))</f>
        <v>1.5581296528396174</v>
      </c>
      <c r="S370" s="18">
        <f t="shared" si="59"/>
        <v>30.090000000000146</v>
      </c>
      <c r="T370" s="18">
        <f t="shared" si="60"/>
        <v>30.930000000000291</v>
      </c>
      <c r="U370" s="18">
        <f t="shared" si="68"/>
        <v>111.83590427520794</v>
      </c>
      <c r="V370" s="33">
        <f ca="1">AVERAGE(E370:OFFSET(E370,-V$5+1,0))</f>
        <v>6523.0078571428576</v>
      </c>
      <c r="W370" s="33">
        <f t="shared" ca="1" si="61"/>
        <v>6690.7617135556693</v>
      </c>
      <c r="X370" s="33">
        <f t="shared" ca="1" si="62"/>
        <v>6355.2540007300458</v>
      </c>
      <c r="Y370" s="32">
        <f t="shared" ca="1" si="69"/>
        <v>0</v>
      </c>
    </row>
    <row r="371" spans="1:25">
      <c r="A371" s="5">
        <v>38902</v>
      </c>
      <c r="B371" s="4">
        <v>6748.47</v>
      </c>
      <c r="C371" s="4">
        <v>6789.55</v>
      </c>
      <c r="D371" s="4">
        <v>6722.39</v>
      </c>
      <c r="E371" s="4">
        <v>6734.51</v>
      </c>
      <c r="F371" s="4">
        <v>3220000</v>
      </c>
      <c r="G371" s="8">
        <f t="shared" si="71"/>
        <v>29.970000000000255</v>
      </c>
      <c r="H371" s="8">
        <f t="shared" si="70"/>
        <v>-13.960000000000036</v>
      </c>
      <c r="I371" s="20">
        <f t="shared" ca="1" si="63"/>
        <v>0</v>
      </c>
      <c r="J371" s="8">
        <f t="shared" ca="1" si="64"/>
        <v>-2</v>
      </c>
      <c r="K371" s="8">
        <f t="shared" ca="1" si="65"/>
        <v>-32.020000000000437</v>
      </c>
      <c r="L371" s="8">
        <f t="shared" ca="1" si="66"/>
        <v>986.83000000000084</v>
      </c>
      <c r="M371" s="9">
        <f ca="1">AVERAGE(E371:OFFSET(E371,-M$5+1,0))</f>
        <v>6563.8860000000004</v>
      </c>
      <c r="N371" s="9">
        <f ca="1">AVERAGE(E371:OFFSET(E371,-N$5+1,0))</f>
        <v>6511.2955000000002</v>
      </c>
      <c r="O371" s="9">
        <f t="shared" ca="1" si="67"/>
        <v>0</v>
      </c>
      <c r="P371" s="14">
        <f t="shared" si="72"/>
        <v>0.23801376135344882</v>
      </c>
      <c r="Q371" s="15">
        <f ca="1">STDEV(P371:OFFSET(P371,-$Q$5+1,0))</f>
        <v>1.1419711420806946</v>
      </c>
      <c r="R371" s="15">
        <f ca="1">STDEV(P371:OFFSET(P371,-$R$5+1,0))</f>
        <v>1.5377403621852148</v>
      </c>
      <c r="S371" s="18">
        <f t="shared" si="59"/>
        <v>67.159999999999854</v>
      </c>
      <c r="T371" s="18">
        <f t="shared" si="60"/>
        <v>71.050000000000182</v>
      </c>
      <c r="U371" s="18">
        <f t="shared" si="68"/>
        <v>106.39778370518025</v>
      </c>
      <c r="V371" s="33">
        <f ca="1">AVERAGE(E371:OFFSET(E371,-V$5+1,0))</f>
        <v>6541.9721428571429</v>
      </c>
      <c r="W371" s="33">
        <f t="shared" ca="1" si="61"/>
        <v>6701.568818414913</v>
      </c>
      <c r="X371" s="33">
        <f t="shared" ca="1" si="62"/>
        <v>6382.3754672993728</v>
      </c>
      <c r="Y371" s="32">
        <f t="shared" ca="1" si="69"/>
        <v>0</v>
      </c>
    </row>
    <row r="372" spans="1:25">
      <c r="A372" s="5">
        <v>38903</v>
      </c>
      <c r="B372" s="4">
        <v>6709.21</v>
      </c>
      <c r="C372" s="4">
        <v>6741.52</v>
      </c>
      <c r="D372" s="4">
        <v>6651.55</v>
      </c>
      <c r="E372" s="4">
        <v>6659.96</v>
      </c>
      <c r="F372" s="4">
        <v>3062600</v>
      </c>
      <c r="G372" s="8">
        <f t="shared" si="71"/>
        <v>-25.300000000000182</v>
      </c>
      <c r="H372" s="8">
        <f t="shared" si="70"/>
        <v>-49.25</v>
      </c>
      <c r="I372" s="20">
        <f t="shared" ca="1" si="63"/>
        <v>0</v>
      </c>
      <c r="J372" s="8">
        <f t="shared" ca="1" si="64"/>
        <v>-2</v>
      </c>
      <c r="K372" s="8">
        <f t="shared" ca="1" si="65"/>
        <v>149.10000000000036</v>
      </c>
      <c r="L372" s="8">
        <f t="shared" ca="1" si="66"/>
        <v>1135.9300000000012</v>
      </c>
      <c r="M372" s="9">
        <f ca="1">AVERAGE(E372:OFFSET(E372,-M$5+1,0))</f>
        <v>6599.9229999999998</v>
      </c>
      <c r="N372" s="9">
        <f ca="1">AVERAGE(E372:OFFSET(E372,-N$5+1,0))</f>
        <v>6513.656500000001</v>
      </c>
      <c r="O372" s="9">
        <f t="shared" ca="1" si="67"/>
        <v>0</v>
      </c>
      <c r="P372" s="14">
        <f t="shared" si="72"/>
        <v>-1.1131574418606185</v>
      </c>
      <c r="Q372" s="15">
        <f ca="1">STDEV(P372:OFFSET(P372,-$Q$5+1,0))</f>
        <v>1.1581189317358391</v>
      </c>
      <c r="R372" s="15">
        <f ca="1">STDEV(P372:OFFSET(P372,-$R$5+1,0))</f>
        <v>1.5372748551405373</v>
      </c>
      <c r="S372" s="18">
        <f t="shared" si="59"/>
        <v>89.970000000000255</v>
      </c>
      <c r="T372" s="18">
        <f t="shared" si="60"/>
        <v>89.970000000000255</v>
      </c>
      <c r="U372" s="18">
        <f t="shared" si="68"/>
        <v>104.20741254448959</v>
      </c>
      <c r="V372" s="33">
        <f ca="1">AVERAGE(E372:OFFSET(E372,-V$5+1,0))</f>
        <v>6558.6557142857137</v>
      </c>
      <c r="W372" s="33">
        <f t="shared" ca="1" si="61"/>
        <v>6714.9668331024477</v>
      </c>
      <c r="X372" s="33">
        <f t="shared" ca="1" si="62"/>
        <v>6402.3445954689796</v>
      </c>
      <c r="Y372" s="32">
        <f t="shared" ca="1" si="69"/>
        <v>0</v>
      </c>
    </row>
    <row r="373" spans="1:25">
      <c r="A373" s="5">
        <v>38904</v>
      </c>
      <c r="B373" s="4">
        <v>6630.04</v>
      </c>
      <c r="C373" s="4">
        <v>6659.07</v>
      </c>
      <c r="D373" s="4">
        <v>6608.49</v>
      </c>
      <c r="E373" s="4">
        <v>6659.07</v>
      </c>
      <c r="F373" s="4">
        <v>2611600</v>
      </c>
      <c r="G373" s="8">
        <f t="shared" si="71"/>
        <v>-29.920000000000073</v>
      </c>
      <c r="H373" s="8">
        <f t="shared" si="70"/>
        <v>29.029999999999745</v>
      </c>
      <c r="I373" s="20">
        <f t="shared" ca="1" si="63"/>
        <v>0</v>
      </c>
      <c r="J373" s="8">
        <f t="shared" ca="1" si="64"/>
        <v>-2</v>
      </c>
      <c r="K373" s="8">
        <f t="shared" ca="1" si="65"/>
        <v>1.7800000000006548</v>
      </c>
      <c r="L373" s="8">
        <f t="shared" ca="1" si="66"/>
        <v>1137.7100000000019</v>
      </c>
      <c r="M373" s="9">
        <f ca="1">AVERAGE(E373:OFFSET(E373,-M$5+1,0))</f>
        <v>6617.3149999999996</v>
      </c>
      <c r="N373" s="9">
        <f ca="1">AVERAGE(E373:OFFSET(E373,-N$5+1,0))</f>
        <v>6530.0195000000003</v>
      </c>
      <c r="O373" s="9">
        <f t="shared" ca="1" si="67"/>
        <v>0</v>
      </c>
      <c r="P373" s="14">
        <f t="shared" si="72"/>
        <v>-1.3364336611976748E-2</v>
      </c>
      <c r="Q373" s="15">
        <f ca="1">STDEV(P373:OFFSET(P373,-$Q$5+1,0))</f>
        <v>0.8190700760649483</v>
      </c>
      <c r="R373" s="15">
        <f ca="1">STDEV(P373:OFFSET(P373,-$R$5+1,0))</f>
        <v>1.5344863321732256</v>
      </c>
      <c r="S373" s="18">
        <f t="shared" ref="S373:S436" si="73">C373-D373</f>
        <v>50.579999999999927</v>
      </c>
      <c r="T373" s="18">
        <f t="shared" ref="T373:T436" si="74">MAX(C373,E372)-MIN(D373,E372)</f>
        <v>51.470000000000255</v>
      </c>
      <c r="U373" s="18">
        <f t="shared" si="68"/>
        <v>97.175757538557676</v>
      </c>
      <c r="V373" s="33">
        <f ca="1">AVERAGE(E373:OFFSET(E373,-V$5+1,0))</f>
        <v>6564.6057142857153</v>
      </c>
      <c r="W373" s="33">
        <f t="shared" ref="W373:W436" ca="1" si="75">V373+W$5*U373</f>
        <v>6710.3693505935516</v>
      </c>
      <c r="X373" s="33">
        <f t="shared" ref="X373:X436" ca="1" si="76">V373-W$5*U373</f>
        <v>6418.8420779778789</v>
      </c>
      <c r="Y373" s="32">
        <f t="shared" ca="1" si="69"/>
        <v>0</v>
      </c>
    </row>
    <row r="374" spans="1:25">
      <c r="A374" s="5">
        <v>38905</v>
      </c>
      <c r="B374" s="4">
        <v>6651.02</v>
      </c>
      <c r="C374" s="4">
        <v>6671.74</v>
      </c>
      <c r="D374" s="4">
        <v>6628.46</v>
      </c>
      <c r="E374" s="4">
        <v>6660.61</v>
      </c>
      <c r="F374" s="4">
        <v>2908400</v>
      </c>
      <c r="G374" s="8">
        <f t="shared" si="71"/>
        <v>-8.0499999999992724</v>
      </c>
      <c r="H374" s="8">
        <f t="shared" si="70"/>
        <v>9.589999999999236</v>
      </c>
      <c r="I374" s="20">
        <f t="shared" ref="I374:I437" ca="1" si="77">Y374</f>
        <v>0</v>
      </c>
      <c r="J374" s="8">
        <f t="shared" ref="J374:J437" ca="1" si="78">IF((J373+I373)&gt;=J$5,J$5,IF((J373+I373)&lt;=J$7,J$7,J373+I373))</f>
        <v>-2</v>
      </c>
      <c r="K374" s="8">
        <f t="shared" ref="K374:K437" ca="1" si="79">J373*G374+J374*H374</f>
        <v>-3.0799999999999272</v>
      </c>
      <c r="L374" s="8">
        <f t="shared" ref="L374:L437" ca="1" si="80">L373+K374</f>
        <v>1134.6300000000019</v>
      </c>
      <c r="M374" s="9">
        <f ca="1">AVERAGE(E374:OFFSET(E374,-M$5+1,0))</f>
        <v>6638.1449999999995</v>
      </c>
      <c r="N374" s="9">
        <f ca="1">AVERAGE(E374:OFFSET(E374,-N$5+1,0))</f>
        <v>6540.8185000000003</v>
      </c>
      <c r="O374" s="9">
        <f t="shared" ref="O374:O437" ca="1" si="81">IF(AND(M373&lt;=N373,M374&gt;N374),1,IF(AND(M373&gt;=N373,M374&lt;N374),-1,0))</f>
        <v>0</v>
      </c>
      <c r="P374" s="14">
        <f t="shared" si="72"/>
        <v>2.3123678749974081E-2</v>
      </c>
      <c r="Q374" s="15">
        <f ca="1">STDEV(P374:OFFSET(P374,-$Q$5+1,0))</f>
        <v>0.77971212825338732</v>
      </c>
      <c r="R374" s="15">
        <f ca="1">STDEV(P374:OFFSET(P374,-$R$5+1,0))</f>
        <v>1.5304470611954237</v>
      </c>
      <c r="S374" s="18">
        <f t="shared" si="73"/>
        <v>43.279999999999745</v>
      </c>
      <c r="T374" s="18">
        <f t="shared" si="74"/>
        <v>43.279999999999745</v>
      </c>
      <c r="U374" s="18">
        <f t="shared" ref="U374:U437" si="82">$U$5*T374+(1-$U$5)*U373</f>
        <v>89.989656533416621</v>
      </c>
      <c r="V374" s="33">
        <f ca="1">AVERAGE(E374:OFFSET(E374,-V$5+1,0))</f>
        <v>6570.1464285714292</v>
      </c>
      <c r="W374" s="33">
        <f t="shared" ca="1" si="75"/>
        <v>6705.130913371554</v>
      </c>
      <c r="X374" s="33">
        <f t="shared" ca="1" si="76"/>
        <v>6435.1619437713043</v>
      </c>
      <c r="Y374" s="32">
        <f t="shared" ref="Y374:Y437" ca="1" si="83">IF(AND(E373&gt;X373,E374&lt;X374),-1,IF(AND(E373&lt;W373,E374&gt;W374),1,0))</f>
        <v>0</v>
      </c>
    </row>
    <row r="375" spans="1:25">
      <c r="A375" s="5">
        <v>38908</v>
      </c>
      <c r="B375" s="4">
        <v>6609.86</v>
      </c>
      <c r="C375" s="4">
        <v>6694.75</v>
      </c>
      <c r="D375" s="4">
        <v>6588.55</v>
      </c>
      <c r="E375" s="4">
        <v>6682.46</v>
      </c>
      <c r="F375" s="4">
        <v>2465400</v>
      </c>
      <c r="G375" s="8">
        <f t="shared" si="71"/>
        <v>-50.75</v>
      </c>
      <c r="H375" s="8">
        <f t="shared" si="70"/>
        <v>72.600000000000364</v>
      </c>
      <c r="I375" s="20">
        <f t="shared" ca="1" si="77"/>
        <v>0</v>
      </c>
      <c r="J375" s="8">
        <f t="shared" ca="1" si="78"/>
        <v>-2</v>
      </c>
      <c r="K375" s="8">
        <f t="shared" ca="1" si="79"/>
        <v>-43.700000000000728</v>
      </c>
      <c r="L375" s="8">
        <f t="shared" ca="1" si="80"/>
        <v>1090.9300000000012</v>
      </c>
      <c r="M375" s="9">
        <f ca="1">AVERAGE(E375:OFFSET(E375,-M$5+1,0))</f>
        <v>6654.0229999999992</v>
      </c>
      <c r="N375" s="9">
        <f ca="1">AVERAGE(E375:OFFSET(E375,-N$5+1,0))</f>
        <v>6552.7964999999995</v>
      </c>
      <c r="O375" s="9">
        <f t="shared" ca="1" si="81"/>
        <v>0</v>
      </c>
      <c r="P375" s="14">
        <f t="shared" si="72"/>
        <v>0.32751112796230364</v>
      </c>
      <c r="Q375" s="15">
        <f ca="1">STDEV(P375:OFFSET(P375,-$Q$5+1,0))</f>
        <v>0.73029361249626157</v>
      </c>
      <c r="R375" s="15">
        <f ca="1">STDEV(P375:OFFSET(P375,-$R$5+1,0))</f>
        <v>1.526353868311797</v>
      </c>
      <c r="S375" s="18">
        <f t="shared" si="73"/>
        <v>106.19999999999982</v>
      </c>
      <c r="T375" s="18">
        <f t="shared" si="74"/>
        <v>106.19999999999982</v>
      </c>
      <c r="U375" s="18">
        <f t="shared" si="82"/>
        <v>92.15103566229439</v>
      </c>
      <c r="V375" s="33">
        <f ca="1">AVERAGE(E375:OFFSET(E375,-V$5+1,0))</f>
        <v>6592.9257142857159</v>
      </c>
      <c r="W375" s="33">
        <f t="shared" ca="1" si="75"/>
        <v>6731.1522677791572</v>
      </c>
      <c r="X375" s="33">
        <f t="shared" ca="1" si="76"/>
        <v>6454.6991607922746</v>
      </c>
      <c r="Y375" s="32">
        <f t="shared" ca="1" si="83"/>
        <v>0</v>
      </c>
    </row>
    <row r="376" spans="1:25">
      <c r="A376" s="5">
        <v>38909</v>
      </c>
      <c r="B376" s="4">
        <v>6672.32</v>
      </c>
      <c r="C376" s="4">
        <v>6702.64</v>
      </c>
      <c r="D376" s="4">
        <v>6639.13</v>
      </c>
      <c r="E376" s="4">
        <v>6639.13</v>
      </c>
      <c r="F376" s="4">
        <v>2405800</v>
      </c>
      <c r="G376" s="8">
        <f t="shared" si="71"/>
        <v>-10.140000000000327</v>
      </c>
      <c r="H376" s="8">
        <f t="shared" si="70"/>
        <v>-33.1899999999996</v>
      </c>
      <c r="I376" s="20">
        <f t="shared" ca="1" si="77"/>
        <v>0</v>
      </c>
      <c r="J376" s="8">
        <f t="shared" ca="1" si="78"/>
        <v>-2</v>
      </c>
      <c r="K376" s="8">
        <f t="shared" ca="1" si="79"/>
        <v>86.659999999999854</v>
      </c>
      <c r="L376" s="8">
        <f t="shared" ca="1" si="80"/>
        <v>1177.5900000000011</v>
      </c>
      <c r="M376" s="9">
        <f ca="1">AVERAGE(E376:OFFSET(E376,-M$5+1,0))</f>
        <v>6660.6970000000001</v>
      </c>
      <c r="N376" s="9">
        <f ca="1">AVERAGE(E376:OFFSET(E376,-N$5+1,0))</f>
        <v>6567.8924999999999</v>
      </c>
      <c r="O376" s="9">
        <f t="shared" ca="1" si="81"/>
        <v>0</v>
      </c>
      <c r="P376" s="14">
        <f t="shared" si="72"/>
        <v>-0.65052524217083507</v>
      </c>
      <c r="Q376" s="15">
        <f ca="1">STDEV(P376:OFFSET(P376,-$Q$5+1,0))</f>
        <v>0.75615802863930304</v>
      </c>
      <c r="R376" s="15">
        <f ca="1">STDEV(P376:OFFSET(P376,-$R$5+1,0))</f>
        <v>1.5155784089768232</v>
      </c>
      <c r="S376" s="18">
        <f t="shared" si="73"/>
        <v>63.510000000000218</v>
      </c>
      <c r="T376" s="18">
        <f t="shared" si="74"/>
        <v>63.510000000000218</v>
      </c>
      <c r="U376" s="18">
        <f t="shared" si="82"/>
        <v>88.332230907321843</v>
      </c>
      <c r="V376" s="33">
        <f ca="1">AVERAGE(E376:OFFSET(E376,-V$5+1,0))</f>
        <v>6617.1785714285716</v>
      </c>
      <c r="W376" s="33">
        <f t="shared" ca="1" si="75"/>
        <v>6749.676917789554</v>
      </c>
      <c r="X376" s="33">
        <f t="shared" ca="1" si="76"/>
        <v>6484.6802250675892</v>
      </c>
      <c r="Y376" s="32">
        <f t="shared" ca="1" si="83"/>
        <v>0</v>
      </c>
    </row>
    <row r="377" spans="1:25">
      <c r="A377" s="5">
        <v>38910</v>
      </c>
      <c r="B377" s="4">
        <v>6681.9</v>
      </c>
      <c r="C377" s="4">
        <v>6725.42</v>
      </c>
      <c r="D377" s="4">
        <v>6612.34</v>
      </c>
      <c r="E377" s="4">
        <v>6634.09</v>
      </c>
      <c r="F377" s="4">
        <v>3078200</v>
      </c>
      <c r="G377" s="8">
        <f t="shared" si="71"/>
        <v>42.769999999999527</v>
      </c>
      <c r="H377" s="8">
        <f t="shared" si="70"/>
        <v>-47.809999999999491</v>
      </c>
      <c r="I377" s="20">
        <f t="shared" ca="1" si="77"/>
        <v>0</v>
      </c>
      <c r="J377" s="8">
        <f t="shared" ca="1" si="78"/>
        <v>-2</v>
      </c>
      <c r="K377" s="8">
        <f t="shared" ca="1" si="79"/>
        <v>10.079999999999927</v>
      </c>
      <c r="L377" s="8">
        <f t="shared" ca="1" si="80"/>
        <v>1187.670000000001</v>
      </c>
      <c r="M377" s="9">
        <f ca="1">AVERAGE(E377:OFFSET(E377,-M$5+1,0))</f>
        <v>6670.012999999999</v>
      </c>
      <c r="N377" s="9">
        <f ca="1">AVERAGE(E377:OFFSET(E377,-N$5+1,0))</f>
        <v>6576.1465000000007</v>
      </c>
      <c r="O377" s="9">
        <f t="shared" ca="1" si="81"/>
        <v>0</v>
      </c>
      <c r="P377" s="14">
        <f t="shared" si="72"/>
        <v>-7.5942389898220067E-2</v>
      </c>
      <c r="Q377" s="15">
        <f ca="1">STDEV(P377:OFFSET(P377,-$Q$5+1,0))</f>
        <v>0.73208942414269651</v>
      </c>
      <c r="R377" s="15">
        <f ca="1">STDEV(P377:OFFSET(P377,-$R$5+1,0))</f>
        <v>1.5009063471031454</v>
      </c>
      <c r="S377" s="18">
        <f t="shared" si="73"/>
        <v>113.07999999999993</v>
      </c>
      <c r="T377" s="18">
        <f t="shared" si="74"/>
        <v>113.07999999999993</v>
      </c>
      <c r="U377" s="18">
        <f t="shared" si="82"/>
        <v>91.631933453012266</v>
      </c>
      <c r="V377" s="33">
        <f ca="1">AVERAGE(E377:OFFSET(E377,-V$5+1,0))</f>
        <v>6627.8171428571432</v>
      </c>
      <c r="W377" s="33">
        <f t="shared" ca="1" si="75"/>
        <v>6765.2650430366612</v>
      </c>
      <c r="X377" s="33">
        <f t="shared" ca="1" si="76"/>
        <v>6490.3692426776252</v>
      </c>
      <c r="Y377" s="32">
        <f t="shared" ca="1" si="83"/>
        <v>0</v>
      </c>
    </row>
    <row r="378" spans="1:25">
      <c r="A378" s="5">
        <v>38911</v>
      </c>
      <c r="B378" s="4">
        <v>6591.56</v>
      </c>
      <c r="C378" s="4">
        <v>6624.04</v>
      </c>
      <c r="D378" s="4">
        <v>6562.54</v>
      </c>
      <c r="E378" s="4">
        <v>6567.6</v>
      </c>
      <c r="F378" s="4">
        <v>2418000</v>
      </c>
      <c r="G378" s="8">
        <f t="shared" si="71"/>
        <v>-42.529999999999745</v>
      </c>
      <c r="H378" s="8">
        <f t="shared" si="70"/>
        <v>-23.960000000000036</v>
      </c>
      <c r="I378" s="20">
        <f t="shared" ca="1" si="77"/>
        <v>0</v>
      </c>
      <c r="J378" s="8">
        <f t="shared" ca="1" si="78"/>
        <v>-2</v>
      </c>
      <c r="K378" s="8">
        <f t="shared" ca="1" si="79"/>
        <v>132.97999999999956</v>
      </c>
      <c r="L378" s="8">
        <f t="shared" ca="1" si="80"/>
        <v>1320.6500000000005</v>
      </c>
      <c r="M378" s="9">
        <f ca="1">AVERAGE(E378:OFFSET(E378,-M$5+1,0))</f>
        <v>6666.0339999999997</v>
      </c>
      <c r="N378" s="9">
        <f ca="1">AVERAGE(E378:OFFSET(E378,-N$5+1,0))</f>
        <v>6583.2070000000003</v>
      </c>
      <c r="O378" s="9">
        <f t="shared" ca="1" si="81"/>
        <v>0</v>
      </c>
      <c r="P378" s="14">
        <f t="shared" si="72"/>
        <v>-1.0073037952832151</v>
      </c>
      <c r="Q378" s="15">
        <f ca="1">STDEV(P378:OFFSET(P378,-$Q$5+1,0))</f>
        <v>0.74384727724134858</v>
      </c>
      <c r="R378" s="15">
        <f ca="1">STDEV(P378:OFFSET(P378,-$R$5+1,0))</f>
        <v>1.5007046212499033</v>
      </c>
      <c r="S378" s="18">
        <f t="shared" si="73"/>
        <v>61.5</v>
      </c>
      <c r="T378" s="18">
        <f t="shared" si="74"/>
        <v>71.550000000000182</v>
      </c>
      <c r="U378" s="18">
        <f t="shared" si="82"/>
        <v>88.954342325943983</v>
      </c>
      <c r="V378" s="33">
        <f ca="1">AVERAGE(E378:OFFSET(E378,-V$5+1,0))</f>
        <v>6636.0521428571437</v>
      </c>
      <c r="W378" s="33">
        <f t="shared" ca="1" si="75"/>
        <v>6769.4836563460594</v>
      </c>
      <c r="X378" s="33">
        <f t="shared" ca="1" si="76"/>
        <v>6502.620629368228</v>
      </c>
      <c r="Y378" s="32">
        <f t="shared" ca="1" si="83"/>
        <v>0</v>
      </c>
    </row>
    <row r="379" spans="1:25">
      <c r="A379" s="5">
        <v>38912</v>
      </c>
      <c r="B379" s="4">
        <v>6472.29</v>
      </c>
      <c r="C379" s="4">
        <v>6489.65</v>
      </c>
      <c r="D379" s="4">
        <v>6413.92</v>
      </c>
      <c r="E379" s="4">
        <v>6428.03</v>
      </c>
      <c r="F379" s="4">
        <v>2973000</v>
      </c>
      <c r="G379" s="8">
        <f t="shared" si="71"/>
        <v>-95.3100000000004</v>
      </c>
      <c r="H379" s="8">
        <f t="shared" si="70"/>
        <v>-44.260000000000218</v>
      </c>
      <c r="I379" s="20">
        <f t="shared" ca="1" si="77"/>
        <v>-1</v>
      </c>
      <c r="J379" s="8">
        <f t="shared" ca="1" si="78"/>
        <v>-2</v>
      </c>
      <c r="K379" s="8">
        <f t="shared" ca="1" si="79"/>
        <v>279.14000000000124</v>
      </c>
      <c r="L379" s="8">
        <f t="shared" ca="1" si="80"/>
        <v>1599.7900000000018</v>
      </c>
      <c r="M379" s="9">
        <f ca="1">AVERAGE(E379:OFFSET(E379,-M$5+1,0))</f>
        <v>6638.3960000000006</v>
      </c>
      <c r="N379" s="9">
        <f ca="1">AVERAGE(E379:OFFSET(E379,-N$5+1,0))</f>
        <v>6575.8200000000015</v>
      </c>
      <c r="O379" s="9">
        <f t="shared" ca="1" si="81"/>
        <v>0</v>
      </c>
      <c r="P379" s="14">
        <f t="shared" si="72"/>
        <v>-2.1480354009842149</v>
      </c>
      <c r="Q379" s="15">
        <f ca="1">STDEV(P379:OFFSET(P379,-$Q$5+1,0))</f>
        <v>0.79814350494487318</v>
      </c>
      <c r="R379" s="15">
        <f ca="1">STDEV(P379:OFFSET(P379,-$R$5+1,0))</f>
        <v>1.524672820156346</v>
      </c>
      <c r="S379" s="18">
        <f t="shared" si="73"/>
        <v>75.729999999999563</v>
      </c>
      <c r="T379" s="18">
        <f t="shared" si="74"/>
        <v>153.68000000000029</v>
      </c>
      <c r="U379" s="18">
        <f t="shared" si="82"/>
        <v>97.584430015818157</v>
      </c>
      <c r="V379" s="33">
        <f ca="1">AVERAGE(E379:OFFSET(E379,-V$5+1,0))</f>
        <v>6629.22</v>
      </c>
      <c r="W379" s="33">
        <f t="shared" ca="1" si="75"/>
        <v>6775.5966450237274</v>
      </c>
      <c r="X379" s="33">
        <f t="shared" ca="1" si="76"/>
        <v>6482.8433549762731</v>
      </c>
      <c r="Y379" s="32">
        <f t="shared" ca="1" si="83"/>
        <v>-1</v>
      </c>
    </row>
    <row r="380" spans="1:25">
      <c r="A380" s="5">
        <v>38915</v>
      </c>
      <c r="B380" s="4">
        <v>6402.77</v>
      </c>
      <c r="C380" s="4">
        <v>6416.41</v>
      </c>
      <c r="D380" s="4">
        <v>6232.49</v>
      </c>
      <c r="E380" s="4">
        <v>6257.8</v>
      </c>
      <c r="F380" s="4">
        <v>2806600</v>
      </c>
      <c r="G380" s="8">
        <f t="shared" si="71"/>
        <v>-25.259999999999309</v>
      </c>
      <c r="H380" s="8">
        <f t="shared" si="70"/>
        <v>-144.97000000000025</v>
      </c>
      <c r="I380" s="20">
        <f t="shared" ca="1" si="77"/>
        <v>0</v>
      </c>
      <c r="J380" s="8">
        <f t="shared" ca="1" si="78"/>
        <v>-3</v>
      </c>
      <c r="K380" s="8">
        <f t="shared" ca="1" si="79"/>
        <v>485.42999999999938</v>
      </c>
      <c r="L380" s="8">
        <f t="shared" ca="1" si="80"/>
        <v>2085.2200000000012</v>
      </c>
      <c r="M380" s="9">
        <f ca="1">AVERAGE(E380:OFFSET(E380,-M$5+1,0))</f>
        <v>6592.3259999999991</v>
      </c>
      <c r="N380" s="9">
        <f ca="1">AVERAGE(E380:OFFSET(E380,-N$5+1,0))</f>
        <v>6559.558</v>
      </c>
      <c r="O380" s="9">
        <f t="shared" ca="1" si="81"/>
        <v>0</v>
      </c>
      <c r="P380" s="14">
        <f t="shared" si="72"/>
        <v>-2.6839429302267672</v>
      </c>
      <c r="Q380" s="15">
        <f ca="1">STDEV(P380:OFFSET(P380,-$Q$5+1,0))</f>
        <v>1.033807309106541</v>
      </c>
      <c r="R380" s="15">
        <f ca="1">STDEV(P380:OFFSET(P380,-$R$5+1,0))</f>
        <v>1.5673825293030774</v>
      </c>
      <c r="S380" s="18">
        <f t="shared" si="73"/>
        <v>183.92000000000007</v>
      </c>
      <c r="T380" s="18">
        <f t="shared" si="74"/>
        <v>195.53999999999996</v>
      </c>
      <c r="U380" s="18">
        <f t="shared" si="82"/>
        <v>110.64517268037574</v>
      </c>
      <c r="V380" s="33">
        <f ca="1">AVERAGE(E380:OFFSET(E380,-V$5+1,0))</f>
        <v>6606.7492857142861</v>
      </c>
      <c r="W380" s="33">
        <f t="shared" ca="1" si="75"/>
        <v>6772.7170447348499</v>
      </c>
      <c r="X380" s="33">
        <f t="shared" ca="1" si="76"/>
        <v>6440.7815266937223</v>
      </c>
      <c r="Y380" s="32">
        <f t="shared" ca="1" si="83"/>
        <v>0</v>
      </c>
    </row>
    <row r="381" spans="1:25">
      <c r="A381" s="5">
        <v>38916</v>
      </c>
      <c r="B381" s="4">
        <v>6257.45</v>
      </c>
      <c r="C381" s="4">
        <v>6293.12</v>
      </c>
      <c r="D381" s="4">
        <v>6244.15</v>
      </c>
      <c r="E381" s="4">
        <v>6285.31</v>
      </c>
      <c r="F381" s="4">
        <v>2340800</v>
      </c>
      <c r="G381" s="8">
        <f t="shared" si="71"/>
        <v>-0.3500000000003638</v>
      </c>
      <c r="H381" s="8">
        <f t="shared" si="70"/>
        <v>27.860000000000582</v>
      </c>
      <c r="I381" s="20">
        <f t="shared" ca="1" si="77"/>
        <v>0</v>
      </c>
      <c r="J381" s="8">
        <f t="shared" ca="1" si="78"/>
        <v>-3</v>
      </c>
      <c r="K381" s="8">
        <f t="shared" ca="1" si="79"/>
        <v>-82.530000000000655</v>
      </c>
      <c r="L381" s="8">
        <f t="shared" ca="1" si="80"/>
        <v>2002.6900000000005</v>
      </c>
      <c r="M381" s="9">
        <f ca="1">AVERAGE(E381:OFFSET(E381,-M$5+1,0))</f>
        <v>6547.405999999999</v>
      </c>
      <c r="N381" s="9">
        <f ca="1">AVERAGE(E381:OFFSET(E381,-N$5+1,0))</f>
        <v>6555.6460000000025</v>
      </c>
      <c r="O381" s="9">
        <f t="shared" ca="1" si="81"/>
        <v>-1</v>
      </c>
      <c r="P381" s="14">
        <f t="shared" si="72"/>
        <v>0.43864789690008638</v>
      </c>
      <c r="Q381" s="15">
        <f ca="1">STDEV(P381:OFFSET(P381,-$Q$5+1,0))</f>
        <v>1.0559671629580614</v>
      </c>
      <c r="R381" s="15">
        <f ca="1">STDEV(P381:OFFSET(P381,-$R$5+1,0))</f>
        <v>1.5488439777773413</v>
      </c>
      <c r="S381" s="18">
        <f t="shared" si="73"/>
        <v>48.970000000000255</v>
      </c>
      <c r="T381" s="18">
        <f t="shared" si="74"/>
        <v>48.970000000000255</v>
      </c>
      <c r="U381" s="18">
        <f t="shared" si="82"/>
        <v>102.42181632299234</v>
      </c>
      <c r="V381" s="33">
        <f ca="1">AVERAGE(E381:OFFSET(E381,-V$5+1,0))</f>
        <v>6588.4907142857137</v>
      </c>
      <c r="W381" s="33">
        <f t="shared" ca="1" si="75"/>
        <v>6742.1234387702025</v>
      </c>
      <c r="X381" s="33">
        <f t="shared" ca="1" si="76"/>
        <v>6434.8579898012249</v>
      </c>
      <c r="Y381" s="32">
        <f t="shared" ca="1" si="83"/>
        <v>0</v>
      </c>
    </row>
    <row r="382" spans="1:25">
      <c r="A382" s="5">
        <v>38917</v>
      </c>
      <c r="B382" s="4">
        <v>6317.58</v>
      </c>
      <c r="C382" s="4">
        <v>6359.82</v>
      </c>
      <c r="D382" s="4">
        <v>6277.24</v>
      </c>
      <c r="E382" s="4">
        <v>6277.24</v>
      </c>
      <c r="F382" s="4">
        <v>2397000</v>
      </c>
      <c r="G382" s="8">
        <f t="shared" si="71"/>
        <v>32.269999999999527</v>
      </c>
      <c r="H382" s="8">
        <f t="shared" si="70"/>
        <v>-40.340000000000146</v>
      </c>
      <c r="I382" s="20">
        <f t="shared" ca="1" si="77"/>
        <v>0</v>
      </c>
      <c r="J382" s="8">
        <f t="shared" ca="1" si="78"/>
        <v>-3</v>
      </c>
      <c r="K382" s="8">
        <f t="shared" ca="1" si="79"/>
        <v>24.210000000001855</v>
      </c>
      <c r="L382" s="8">
        <f t="shared" ca="1" si="80"/>
        <v>2026.9000000000024</v>
      </c>
      <c r="M382" s="9">
        <f ca="1">AVERAGE(E382:OFFSET(E382,-M$5+1,0))</f>
        <v>6509.134</v>
      </c>
      <c r="N382" s="9">
        <f ca="1">AVERAGE(E382:OFFSET(E382,-N$5+1,0))</f>
        <v>6554.5285000000003</v>
      </c>
      <c r="O382" s="9">
        <f t="shared" ca="1" si="81"/>
        <v>0</v>
      </c>
      <c r="P382" s="14">
        <f t="shared" si="72"/>
        <v>-0.12847711826108391</v>
      </c>
      <c r="Q382" s="15">
        <f ca="1">STDEV(P382:OFFSET(P382,-$Q$5+1,0))</f>
        <v>1.0580629389202885</v>
      </c>
      <c r="R382" s="15">
        <f ca="1">STDEV(P382:OFFSET(P382,-$R$5+1,0))</f>
        <v>1.5382027595314636</v>
      </c>
      <c r="S382" s="18">
        <f t="shared" si="73"/>
        <v>82.579999999999927</v>
      </c>
      <c r="T382" s="18">
        <f t="shared" si="74"/>
        <v>82.579999999999927</v>
      </c>
      <c r="U382" s="18">
        <f t="shared" si="82"/>
        <v>99.776240813260017</v>
      </c>
      <c r="V382" s="33">
        <f ca="1">AVERAGE(E382:OFFSET(E382,-V$5+1,0))</f>
        <v>6564.9085714285711</v>
      </c>
      <c r="W382" s="33">
        <f t="shared" ca="1" si="75"/>
        <v>6714.5729326484616</v>
      </c>
      <c r="X382" s="33">
        <f t="shared" ca="1" si="76"/>
        <v>6415.2442102086807</v>
      </c>
      <c r="Y382" s="32">
        <f t="shared" ca="1" si="83"/>
        <v>0</v>
      </c>
    </row>
    <row r="383" spans="1:25">
      <c r="A383" s="5">
        <v>38918</v>
      </c>
      <c r="B383" s="4">
        <v>6423.61</v>
      </c>
      <c r="C383" s="4">
        <v>6446.29</v>
      </c>
      <c r="D383" s="4">
        <v>6393.89</v>
      </c>
      <c r="E383" s="4">
        <v>6443.74</v>
      </c>
      <c r="F383" s="4">
        <v>2962800</v>
      </c>
      <c r="G383" s="8">
        <f t="shared" si="71"/>
        <v>146.36999999999989</v>
      </c>
      <c r="H383" s="8">
        <f t="shared" si="70"/>
        <v>20.130000000000109</v>
      </c>
      <c r="I383" s="20">
        <f t="shared" ca="1" si="77"/>
        <v>0</v>
      </c>
      <c r="J383" s="8">
        <f t="shared" ca="1" si="78"/>
        <v>-3</v>
      </c>
      <c r="K383" s="8">
        <f t="shared" ca="1" si="79"/>
        <v>-499.5</v>
      </c>
      <c r="L383" s="8">
        <f t="shared" ca="1" si="80"/>
        <v>1527.4000000000024</v>
      </c>
      <c r="M383" s="9">
        <f ca="1">AVERAGE(E383:OFFSET(E383,-M$5+1,0))</f>
        <v>6487.6009999999997</v>
      </c>
      <c r="N383" s="9">
        <f ca="1">AVERAGE(E383:OFFSET(E383,-N$5+1,0))</f>
        <v>6552.4580000000005</v>
      </c>
      <c r="O383" s="9">
        <f t="shared" ca="1" si="81"/>
        <v>0</v>
      </c>
      <c r="P383" s="14">
        <f t="shared" si="72"/>
        <v>2.6178723460545203</v>
      </c>
      <c r="Q383" s="15">
        <f ca="1">STDEV(P383:OFFSET(P383,-$Q$5+1,0))</f>
        <v>1.4663145448993276</v>
      </c>
      <c r="R383" s="15">
        <f ca="1">STDEV(P383:OFFSET(P383,-$R$5+1,0))</f>
        <v>1.5989366898355448</v>
      </c>
      <c r="S383" s="18">
        <f t="shared" si="73"/>
        <v>52.399999999999636</v>
      </c>
      <c r="T383" s="18">
        <f t="shared" si="74"/>
        <v>169.05000000000018</v>
      </c>
      <c r="U383" s="18">
        <f t="shared" si="82"/>
        <v>109.01274203815871</v>
      </c>
      <c r="V383" s="33">
        <f ca="1">AVERAGE(E383:OFFSET(E383,-V$5+1,0))</f>
        <v>6546.289285714287</v>
      </c>
      <c r="W383" s="33">
        <f t="shared" ca="1" si="75"/>
        <v>6709.8083987715254</v>
      </c>
      <c r="X383" s="33">
        <f t="shared" ca="1" si="76"/>
        <v>6382.7701726570485</v>
      </c>
      <c r="Y383" s="32">
        <f t="shared" ca="1" si="83"/>
        <v>0</v>
      </c>
    </row>
    <row r="384" spans="1:25">
      <c r="A384" s="5">
        <v>38919</v>
      </c>
      <c r="B384" s="4">
        <v>6396.7</v>
      </c>
      <c r="C384" s="4">
        <v>6423.52</v>
      </c>
      <c r="D384" s="4">
        <v>6373.59</v>
      </c>
      <c r="E384" s="4">
        <v>6420.01</v>
      </c>
      <c r="F384" s="4">
        <v>2504000</v>
      </c>
      <c r="G384" s="8">
        <f t="shared" si="71"/>
        <v>-47.039999999999964</v>
      </c>
      <c r="H384" s="8">
        <f t="shared" si="70"/>
        <v>23.3100000000004</v>
      </c>
      <c r="I384" s="20">
        <f t="shared" ca="1" si="77"/>
        <v>0</v>
      </c>
      <c r="J384" s="8">
        <f t="shared" ca="1" si="78"/>
        <v>-3</v>
      </c>
      <c r="K384" s="8">
        <f t="shared" ca="1" si="79"/>
        <v>71.18999999999869</v>
      </c>
      <c r="L384" s="8">
        <f t="shared" ca="1" si="80"/>
        <v>1598.5900000000011</v>
      </c>
      <c r="M384" s="9">
        <f ca="1">AVERAGE(E384:OFFSET(E384,-M$5+1,0))</f>
        <v>6463.5409999999993</v>
      </c>
      <c r="N384" s="9">
        <f ca="1">AVERAGE(E384:OFFSET(E384,-N$5+1,0))</f>
        <v>6550.8430000000008</v>
      </c>
      <c r="O384" s="9">
        <f t="shared" ca="1" si="81"/>
        <v>0</v>
      </c>
      <c r="P384" s="14">
        <f t="shared" si="72"/>
        <v>-0.3689441557505706</v>
      </c>
      <c r="Q384" s="15">
        <f ca="1">STDEV(P384:OFFSET(P384,-$Q$5+1,0))</f>
        <v>1.4610942414461614</v>
      </c>
      <c r="R384" s="15">
        <f ca="1">STDEV(P384:OFFSET(P384,-$R$5+1,0))</f>
        <v>1.5992437807571789</v>
      </c>
      <c r="S384" s="18">
        <f t="shared" si="73"/>
        <v>49.930000000000291</v>
      </c>
      <c r="T384" s="18">
        <f t="shared" si="74"/>
        <v>70.149999999999636</v>
      </c>
      <c r="U384" s="18">
        <f t="shared" si="82"/>
        <v>103.8310430997375</v>
      </c>
      <c r="V384" s="33">
        <f ca="1">AVERAGE(E384:OFFSET(E384,-V$5+1,0))</f>
        <v>6524.9685714285715</v>
      </c>
      <c r="W384" s="33">
        <f t="shared" ca="1" si="75"/>
        <v>6680.7151360781781</v>
      </c>
      <c r="X384" s="33">
        <f t="shared" ca="1" si="76"/>
        <v>6369.2220067789649</v>
      </c>
      <c r="Y384" s="32">
        <f t="shared" ca="1" si="83"/>
        <v>0</v>
      </c>
    </row>
    <row r="385" spans="1:25">
      <c r="A385" s="5">
        <v>38922</v>
      </c>
      <c r="B385" s="4">
        <v>6316.83</v>
      </c>
      <c r="C385" s="4">
        <v>6363.68</v>
      </c>
      <c r="D385" s="4">
        <v>6308.72</v>
      </c>
      <c r="E385" s="4">
        <v>6359.63</v>
      </c>
      <c r="F385" s="4">
        <v>2160400</v>
      </c>
      <c r="G385" s="8">
        <f t="shared" si="71"/>
        <v>-103.18000000000029</v>
      </c>
      <c r="H385" s="8">
        <f t="shared" si="70"/>
        <v>42.800000000000182</v>
      </c>
      <c r="I385" s="20">
        <f t="shared" ca="1" si="77"/>
        <v>0</v>
      </c>
      <c r="J385" s="8">
        <f t="shared" ca="1" si="78"/>
        <v>-3</v>
      </c>
      <c r="K385" s="8">
        <f t="shared" ca="1" si="79"/>
        <v>181.14000000000033</v>
      </c>
      <c r="L385" s="8">
        <f t="shared" ca="1" si="80"/>
        <v>1779.7300000000014</v>
      </c>
      <c r="M385" s="9">
        <f ca="1">AVERAGE(E385:OFFSET(E385,-M$5+1,0))</f>
        <v>6431.2579999999998</v>
      </c>
      <c r="N385" s="9">
        <f ca="1">AVERAGE(E385:OFFSET(E385,-N$5+1,0))</f>
        <v>6542.6405000000004</v>
      </c>
      <c r="O385" s="9">
        <f t="shared" ca="1" si="81"/>
        <v>0</v>
      </c>
      <c r="P385" s="14">
        <f t="shared" si="72"/>
        <v>-0.94494757739485635</v>
      </c>
      <c r="Q385" s="15">
        <f ca="1">STDEV(P385:OFFSET(P385,-$Q$5+1,0))</f>
        <v>1.4491608319892217</v>
      </c>
      <c r="R385" s="15">
        <f ca="1">STDEV(P385:OFFSET(P385,-$R$5+1,0))</f>
        <v>1.6023532832614262</v>
      </c>
      <c r="S385" s="18">
        <f t="shared" si="73"/>
        <v>54.960000000000036</v>
      </c>
      <c r="T385" s="18">
        <f t="shared" si="74"/>
        <v>111.28999999999996</v>
      </c>
      <c r="U385" s="18">
        <f t="shared" si="82"/>
        <v>104.82557068643916</v>
      </c>
      <c r="V385" s="33">
        <f ca="1">AVERAGE(E385:OFFSET(E385,-V$5+1,0))</f>
        <v>6498.1914285714283</v>
      </c>
      <c r="W385" s="33">
        <f t="shared" ca="1" si="75"/>
        <v>6655.4297846010868</v>
      </c>
      <c r="X385" s="33">
        <f t="shared" ca="1" si="76"/>
        <v>6340.9530725417699</v>
      </c>
      <c r="Y385" s="32">
        <f t="shared" ca="1" si="83"/>
        <v>0</v>
      </c>
    </row>
    <row r="386" spans="1:25">
      <c r="A386" s="5">
        <v>38923</v>
      </c>
      <c r="B386" s="4">
        <v>6433.32</v>
      </c>
      <c r="C386" s="4">
        <v>6435.83</v>
      </c>
      <c r="D386" s="4">
        <v>6390.99</v>
      </c>
      <c r="E386" s="4">
        <v>6390.99</v>
      </c>
      <c r="F386" s="4">
        <v>2636800</v>
      </c>
      <c r="G386" s="8">
        <f t="shared" si="71"/>
        <v>73.6899999999996</v>
      </c>
      <c r="H386" s="8">
        <f t="shared" si="70"/>
        <v>-42.329999999999927</v>
      </c>
      <c r="I386" s="20">
        <f t="shared" ca="1" si="77"/>
        <v>0</v>
      </c>
      <c r="J386" s="8">
        <f t="shared" ca="1" si="78"/>
        <v>-3</v>
      </c>
      <c r="K386" s="8">
        <f t="shared" ca="1" si="79"/>
        <v>-94.079999999999018</v>
      </c>
      <c r="L386" s="8">
        <f t="shared" ca="1" si="80"/>
        <v>1685.6500000000024</v>
      </c>
      <c r="M386" s="9">
        <f ca="1">AVERAGE(E386:OFFSET(E386,-M$5+1,0))</f>
        <v>6406.4439999999995</v>
      </c>
      <c r="N386" s="9">
        <f ca="1">AVERAGE(E386:OFFSET(E386,-N$5+1,0))</f>
        <v>6533.5705000000007</v>
      </c>
      <c r="O386" s="9">
        <f t="shared" ca="1" si="81"/>
        <v>0</v>
      </c>
      <c r="P386" s="14">
        <f t="shared" si="72"/>
        <v>0.4918986407453691</v>
      </c>
      <c r="Q386" s="15">
        <f ca="1">STDEV(P386:OFFSET(P386,-$Q$5+1,0))</f>
        <v>1.4802491099887591</v>
      </c>
      <c r="R386" s="15">
        <f ca="1">STDEV(P386:OFFSET(P386,-$R$5+1,0))</f>
        <v>1.6058097080427411</v>
      </c>
      <c r="S386" s="18">
        <f t="shared" si="73"/>
        <v>44.840000000000146</v>
      </c>
      <c r="T386" s="18">
        <f t="shared" si="74"/>
        <v>76.199999999999818</v>
      </c>
      <c r="U386" s="18">
        <f t="shared" si="82"/>
        <v>101.00882792824726</v>
      </c>
      <c r="V386" s="33">
        <f ca="1">AVERAGE(E386:OFFSET(E386,-V$5+1,0))</f>
        <v>6478.9792857142866</v>
      </c>
      <c r="W386" s="33">
        <f t="shared" ca="1" si="75"/>
        <v>6630.4925276066579</v>
      </c>
      <c r="X386" s="33">
        <f t="shared" ca="1" si="76"/>
        <v>6327.4660438219153</v>
      </c>
      <c r="Y386" s="32">
        <f t="shared" ca="1" si="83"/>
        <v>0</v>
      </c>
    </row>
    <row r="387" spans="1:25">
      <c r="A387" s="5">
        <v>38924</v>
      </c>
      <c r="B387" s="4">
        <v>6389.49</v>
      </c>
      <c r="C387" s="4">
        <v>6406.66</v>
      </c>
      <c r="D387" s="4">
        <v>6360.11</v>
      </c>
      <c r="E387" s="4">
        <v>6376.39</v>
      </c>
      <c r="F387" s="4">
        <v>2422600</v>
      </c>
      <c r="G387" s="8">
        <f t="shared" si="71"/>
        <v>-1.5</v>
      </c>
      <c r="H387" s="8">
        <f t="shared" si="70"/>
        <v>-13.099999999999454</v>
      </c>
      <c r="I387" s="20">
        <f t="shared" ca="1" si="77"/>
        <v>0</v>
      </c>
      <c r="J387" s="8">
        <f t="shared" ca="1" si="78"/>
        <v>-3</v>
      </c>
      <c r="K387" s="8">
        <f t="shared" ca="1" si="79"/>
        <v>43.799999999998363</v>
      </c>
      <c r="L387" s="8">
        <f t="shared" ca="1" si="80"/>
        <v>1729.4500000000007</v>
      </c>
      <c r="M387" s="9">
        <f ca="1">AVERAGE(E387:OFFSET(E387,-M$5+1,0))</f>
        <v>6380.674</v>
      </c>
      <c r="N387" s="9">
        <f ca="1">AVERAGE(E387:OFFSET(E387,-N$5+1,0))</f>
        <v>6525.3435000000009</v>
      </c>
      <c r="O387" s="9">
        <f t="shared" ca="1" si="81"/>
        <v>0</v>
      </c>
      <c r="P387" s="14">
        <f t="shared" si="72"/>
        <v>-0.22870794734796163</v>
      </c>
      <c r="Q387" s="15">
        <f ca="1">STDEV(P387:OFFSET(P387,-$Q$5+1,0))</f>
        <v>1.4775377815416677</v>
      </c>
      <c r="R387" s="15">
        <f ca="1">STDEV(P387:OFFSET(P387,-$R$5+1,0))</f>
        <v>1.6051825044568242</v>
      </c>
      <c r="S387" s="18">
        <f t="shared" si="73"/>
        <v>46.550000000000182</v>
      </c>
      <c r="T387" s="18">
        <f t="shared" si="74"/>
        <v>46.550000000000182</v>
      </c>
      <c r="U387" s="18">
        <f t="shared" si="82"/>
        <v>93.747650871147655</v>
      </c>
      <c r="V387" s="33">
        <f ca="1">AVERAGE(E387:OFFSET(E387,-V$5+1,0))</f>
        <v>6458.7878571428573</v>
      </c>
      <c r="W387" s="33">
        <f t="shared" ca="1" si="75"/>
        <v>6599.4093334495792</v>
      </c>
      <c r="X387" s="33">
        <f t="shared" ca="1" si="76"/>
        <v>6318.1663808361354</v>
      </c>
      <c r="Y387" s="32">
        <f t="shared" ca="1" si="83"/>
        <v>0</v>
      </c>
    </row>
    <row r="388" spans="1:25">
      <c r="A388" s="5">
        <v>38925</v>
      </c>
      <c r="B388" s="4">
        <v>6379.4</v>
      </c>
      <c r="C388" s="4">
        <v>6461.92</v>
      </c>
      <c r="D388" s="4">
        <v>6373.11</v>
      </c>
      <c r="E388" s="4">
        <v>6459.25</v>
      </c>
      <c r="F388" s="4">
        <v>2664800</v>
      </c>
      <c r="G388" s="8">
        <f t="shared" si="71"/>
        <v>3.0099999999993088</v>
      </c>
      <c r="H388" s="8">
        <f t="shared" ref="H388:H451" si="84">E388-B388</f>
        <v>79.850000000000364</v>
      </c>
      <c r="I388" s="20">
        <f t="shared" ca="1" si="77"/>
        <v>0</v>
      </c>
      <c r="J388" s="8">
        <f t="shared" ca="1" si="78"/>
        <v>-3</v>
      </c>
      <c r="K388" s="8">
        <f t="shared" ca="1" si="79"/>
        <v>-248.57999999999902</v>
      </c>
      <c r="L388" s="8">
        <f t="shared" ca="1" si="80"/>
        <v>1480.8700000000017</v>
      </c>
      <c r="M388" s="9">
        <f ca="1">AVERAGE(E388:OFFSET(E388,-M$5+1,0))</f>
        <v>6369.838999999999</v>
      </c>
      <c r="N388" s="9">
        <f ca="1">AVERAGE(E388:OFFSET(E388,-N$5+1,0))</f>
        <v>6517.9365000000007</v>
      </c>
      <c r="O388" s="9">
        <f t="shared" ca="1" si="81"/>
        <v>0</v>
      </c>
      <c r="P388" s="14">
        <f t="shared" si="72"/>
        <v>1.2911105490203167</v>
      </c>
      <c r="Q388" s="15">
        <f ca="1">STDEV(P388:OFFSET(P388,-$Q$5+1,0))</f>
        <v>1.5489541880999156</v>
      </c>
      <c r="R388" s="15">
        <f ca="1">STDEV(P388:OFFSET(P388,-$R$5+1,0))</f>
        <v>1.619724273980339</v>
      </c>
      <c r="S388" s="18">
        <f t="shared" si="73"/>
        <v>88.8100000000004</v>
      </c>
      <c r="T388" s="18">
        <f t="shared" si="74"/>
        <v>88.8100000000004</v>
      </c>
      <c r="U388" s="18">
        <f t="shared" si="82"/>
        <v>93.089297421661357</v>
      </c>
      <c r="V388" s="33">
        <f ca="1">AVERAGE(E388:OFFSET(E388,-V$5+1,0))</f>
        <v>6444.4049999999997</v>
      </c>
      <c r="W388" s="33">
        <f t="shared" ca="1" si="75"/>
        <v>6584.0389461324921</v>
      </c>
      <c r="X388" s="33">
        <f t="shared" ca="1" si="76"/>
        <v>6304.7710538675074</v>
      </c>
      <c r="Y388" s="32">
        <f t="shared" ca="1" si="83"/>
        <v>0</v>
      </c>
    </row>
    <row r="389" spans="1:25">
      <c r="A389" s="5">
        <v>38926</v>
      </c>
      <c r="B389" s="4">
        <v>6450.04</v>
      </c>
      <c r="C389" s="4">
        <v>6490.36</v>
      </c>
      <c r="D389" s="4">
        <v>6448.37</v>
      </c>
      <c r="E389" s="4">
        <v>6480.07</v>
      </c>
      <c r="F389" s="4">
        <v>2875600</v>
      </c>
      <c r="G389" s="8">
        <f t="shared" ref="G389:G452" si="85">B389-E388</f>
        <v>-9.2100000000000364</v>
      </c>
      <c r="H389" s="8">
        <f t="shared" si="84"/>
        <v>30.029999999999745</v>
      </c>
      <c r="I389" s="20">
        <f t="shared" ca="1" si="77"/>
        <v>0</v>
      </c>
      <c r="J389" s="8">
        <f t="shared" ca="1" si="78"/>
        <v>-3</v>
      </c>
      <c r="K389" s="8">
        <f t="shared" ca="1" si="79"/>
        <v>-62.459999999999127</v>
      </c>
      <c r="L389" s="8">
        <f t="shared" ca="1" si="80"/>
        <v>1418.4100000000026</v>
      </c>
      <c r="M389" s="9">
        <f ca="1">AVERAGE(E389:OFFSET(E389,-M$5+1,0))</f>
        <v>6375.0429999999997</v>
      </c>
      <c r="N389" s="9">
        <f ca="1">AVERAGE(E389:OFFSET(E389,-N$5+1,0))</f>
        <v>6506.7195000000011</v>
      </c>
      <c r="O389" s="9">
        <f t="shared" ca="1" si="81"/>
        <v>0</v>
      </c>
      <c r="P389" s="14">
        <f t="shared" ref="P389:P452" si="86">100*LN(E389/E388)</f>
        <v>0.32181007916886972</v>
      </c>
      <c r="Q389" s="15">
        <f ca="1">STDEV(P389:OFFSET(P389,-$Q$5+1,0))</f>
        <v>1.3862240459436845</v>
      </c>
      <c r="R389" s="15">
        <f ca="1">STDEV(P389:OFFSET(P389,-$R$5+1,0))</f>
        <v>1.6055500132730327</v>
      </c>
      <c r="S389" s="18">
        <f t="shared" si="73"/>
        <v>41.989999999999782</v>
      </c>
      <c r="T389" s="18">
        <f t="shared" si="74"/>
        <v>41.989999999999782</v>
      </c>
      <c r="U389" s="18">
        <f t="shared" si="82"/>
        <v>86.276057765439816</v>
      </c>
      <c r="V389" s="33">
        <f ca="1">AVERAGE(E389:OFFSET(E389,-V$5+1,0))</f>
        <v>6429.9485714285711</v>
      </c>
      <c r="W389" s="33">
        <f t="shared" ca="1" si="75"/>
        <v>6559.3626580767304</v>
      </c>
      <c r="X389" s="33">
        <f t="shared" ca="1" si="76"/>
        <v>6300.5344847804117</v>
      </c>
      <c r="Y389" s="32">
        <f t="shared" ca="1" si="83"/>
        <v>0</v>
      </c>
    </row>
    <row r="390" spans="1:25">
      <c r="A390" s="5">
        <v>38929</v>
      </c>
      <c r="B390" s="4">
        <v>6528.23</v>
      </c>
      <c r="C390" s="4">
        <v>6531.11</v>
      </c>
      <c r="D390" s="4">
        <v>6428.26</v>
      </c>
      <c r="E390" s="4">
        <v>6454.58</v>
      </c>
      <c r="F390" s="4">
        <v>2743000</v>
      </c>
      <c r="G390" s="8">
        <f t="shared" si="85"/>
        <v>48.159999999999854</v>
      </c>
      <c r="H390" s="8">
        <f t="shared" si="84"/>
        <v>-73.649999999999636</v>
      </c>
      <c r="I390" s="20">
        <f t="shared" ca="1" si="77"/>
        <v>0</v>
      </c>
      <c r="J390" s="8">
        <f t="shared" ca="1" si="78"/>
        <v>-3</v>
      </c>
      <c r="K390" s="8">
        <f t="shared" ca="1" si="79"/>
        <v>76.469999999999345</v>
      </c>
      <c r="L390" s="8">
        <f t="shared" ca="1" si="80"/>
        <v>1494.8800000000019</v>
      </c>
      <c r="M390" s="9">
        <f ca="1">AVERAGE(E390:OFFSET(E390,-M$5+1,0))</f>
        <v>6394.7210000000005</v>
      </c>
      <c r="N390" s="9">
        <f ca="1">AVERAGE(E390:OFFSET(E390,-N$5+1,0))</f>
        <v>6493.5235000000011</v>
      </c>
      <c r="O390" s="9">
        <f t="shared" ca="1" si="81"/>
        <v>0</v>
      </c>
      <c r="P390" s="14">
        <f t="shared" si="86"/>
        <v>-0.39413564336744616</v>
      </c>
      <c r="Q390" s="15">
        <f ca="1">STDEV(P390:OFFSET(P390,-$Q$5+1,0))</f>
        <v>1.0194095283625411</v>
      </c>
      <c r="R390" s="15">
        <f ca="1">STDEV(P390:OFFSET(P390,-$R$5+1,0))</f>
        <v>1.5089094117654021</v>
      </c>
      <c r="S390" s="18">
        <f t="shared" si="73"/>
        <v>102.84999999999945</v>
      </c>
      <c r="T390" s="18">
        <f t="shared" si="74"/>
        <v>102.84999999999945</v>
      </c>
      <c r="U390" s="18">
        <f t="shared" si="82"/>
        <v>88.485916730047762</v>
      </c>
      <c r="V390" s="33">
        <f ca="1">AVERAGE(E390:OFFSET(E390,-V$5+1,0))</f>
        <v>6416.7664285714282</v>
      </c>
      <c r="W390" s="33">
        <f t="shared" ca="1" si="75"/>
        <v>6549.4953036665001</v>
      </c>
      <c r="X390" s="33">
        <f t="shared" ca="1" si="76"/>
        <v>6284.0375534763562</v>
      </c>
      <c r="Y390" s="32">
        <f t="shared" ca="1" si="83"/>
        <v>0</v>
      </c>
    </row>
    <row r="391" spans="1:25">
      <c r="A391" s="5">
        <v>38930</v>
      </c>
      <c r="B391" s="4">
        <v>6464.59</v>
      </c>
      <c r="C391" s="4">
        <v>6478.34</v>
      </c>
      <c r="D391" s="4">
        <v>6435.93</v>
      </c>
      <c r="E391" s="4">
        <v>6441.46</v>
      </c>
      <c r="F391" s="4">
        <v>2440000</v>
      </c>
      <c r="G391" s="8">
        <f t="shared" si="85"/>
        <v>10.010000000000218</v>
      </c>
      <c r="H391" s="8">
        <f t="shared" si="84"/>
        <v>-23.130000000000109</v>
      </c>
      <c r="I391" s="20">
        <f t="shared" ca="1" si="77"/>
        <v>0</v>
      </c>
      <c r="J391" s="8">
        <f t="shared" ca="1" si="78"/>
        <v>-3</v>
      </c>
      <c r="K391" s="8">
        <f t="shared" ca="1" si="79"/>
        <v>39.359999999999673</v>
      </c>
      <c r="L391" s="8">
        <f t="shared" ca="1" si="80"/>
        <v>1534.2400000000016</v>
      </c>
      <c r="M391" s="9">
        <f ca="1">AVERAGE(E391:OFFSET(E391,-M$5+1,0))</f>
        <v>6410.3360000000002</v>
      </c>
      <c r="N391" s="9">
        <f ca="1">AVERAGE(E391:OFFSET(E391,-N$5+1,0))</f>
        <v>6478.871000000001</v>
      </c>
      <c r="O391" s="9">
        <f t="shared" ca="1" si="81"/>
        <v>0</v>
      </c>
      <c r="P391" s="14">
        <f t="shared" si="86"/>
        <v>-0.20347338448941937</v>
      </c>
      <c r="Q391" s="15">
        <f ca="1">STDEV(P391:OFFSET(P391,-$Q$5+1,0))</f>
        <v>1.0305412473098874</v>
      </c>
      <c r="R391" s="15">
        <f ca="1">STDEV(P391:OFFSET(P391,-$R$5+1,0))</f>
        <v>1.5080817478693358</v>
      </c>
      <c r="S391" s="18">
        <f t="shared" si="73"/>
        <v>42.409999999999854</v>
      </c>
      <c r="T391" s="18">
        <f t="shared" si="74"/>
        <v>42.409999999999854</v>
      </c>
      <c r="U391" s="18">
        <f t="shared" si="82"/>
        <v>82.342461166041375</v>
      </c>
      <c r="V391" s="33">
        <f ca="1">AVERAGE(E391:OFFSET(E391,-V$5+1,0))</f>
        <v>6403.0071428571437</v>
      </c>
      <c r="W391" s="33">
        <f t="shared" ca="1" si="75"/>
        <v>6526.5208346062054</v>
      </c>
      <c r="X391" s="33">
        <f t="shared" ca="1" si="76"/>
        <v>6279.4934511080819</v>
      </c>
      <c r="Y391" s="32">
        <f t="shared" ca="1" si="83"/>
        <v>0</v>
      </c>
    </row>
    <row r="392" spans="1:25">
      <c r="A392" s="5">
        <v>38931</v>
      </c>
      <c r="B392" s="4">
        <v>6426.23</v>
      </c>
      <c r="C392" s="4">
        <v>6488.68</v>
      </c>
      <c r="D392" s="4">
        <v>6421.78</v>
      </c>
      <c r="E392" s="4">
        <v>6471.42</v>
      </c>
      <c r="F392" s="4">
        <v>2553000</v>
      </c>
      <c r="G392" s="8">
        <f t="shared" si="85"/>
        <v>-15.230000000000473</v>
      </c>
      <c r="H392" s="8">
        <f t="shared" si="84"/>
        <v>45.190000000000509</v>
      </c>
      <c r="I392" s="20">
        <f t="shared" ca="1" si="77"/>
        <v>0</v>
      </c>
      <c r="J392" s="8">
        <f t="shared" ca="1" si="78"/>
        <v>-3</v>
      </c>
      <c r="K392" s="8">
        <f t="shared" ca="1" si="79"/>
        <v>-89.880000000000109</v>
      </c>
      <c r="L392" s="8">
        <f t="shared" ca="1" si="80"/>
        <v>1444.3600000000015</v>
      </c>
      <c r="M392" s="9">
        <f ca="1">AVERAGE(E392:OFFSET(E392,-M$5+1,0))</f>
        <v>6429.7539999999999</v>
      </c>
      <c r="N392" s="9">
        <f ca="1">AVERAGE(E392:OFFSET(E392,-N$5+1,0))</f>
        <v>6469.4440000000013</v>
      </c>
      <c r="O392" s="9">
        <f t="shared" ca="1" si="81"/>
        <v>0</v>
      </c>
      <c r="P392" s="14">
        <f t="shared" si="86"/>
        <v>0.46403364330823532</v>
      </c>
      <c r="Q392" s="15">
        <f ca="1">STDEV(P392:OFFSET(P392,-$Q$5+1,0))</f>
        <v>1.0236669567945653</v>
      </c>
      <c r="R392" s="15">
        <f ca="1">STDEV(P392:OFFSET(P392,-$R$5+1,0))</f>
        <v>1.4864693197844774</v>
      </c>
      <c r="S392" s="18">
        <f t="shared" si="73"/>
        <v>66.900000000000546</v>
      </c>
      <c r="T392" s="18">
        <f t="shared" si="74"/>
        <v>66.900000000000546</v>
      </c>
      <c r="U392" s="18">
        <f t="shared" si="82"/>
        <v>80.283466343902603</v>
      </c>
      <c r="V392" s="33">
        <f ca="1">AVERAGE(E392:OFFSET(E392,-V$5+1,0))</f>
        <v>6396.1371428571429</v>
      </c>
      <c r="W392" s="33">
        <f t="shared" ca="1" si="75"/>
        <v>6516.5623423729967</v>
      </c>
      <c r="X392" s="33">
        <f t="shared" ca="1" si="76"/>
        <v>6275.711943341289</v>
      </c>
      <c r="Y392" s="32">
        <f t="shared" ca="1" si="83"/>
        <v>0</v>
      </c>
    </row>
    <row r="393" spans="1:25">
      <c r="A393" s="5">
        <v>38932</v>
      </c>
      <c r="B393" s="4">
        <v>6496.01</v>
      </c>
      <c r="C393" s="4">
        <v>6514.9</v>
      </c>
      <c r="D393" s="4">
        <v>6460.03</v>
      </c>
      <c r="E393" s="4">
        <v>6462.32</v>
      </c>
      <c r="F393" s="4">
        <v>2971800</v>
      </c>
      <c r="G393" s="8">
        <f t="shared" si="85"/>
        <v>24.590000000000146</v>
      </c>
      <c r="H393" s="8">
        <f t="shared" si="84"/>
        <v>-33.690000000000509</v>
      </c>
      <c r="I393" s="20">
        <f t="shared" ca="1" si="77"/>
        <v>0</v>
      </c>
      <c r="J393" s="8">
        <f t="shared" ca="1" si="78"/>
        <v>-3</v>
      </c>
      <c r="K393" s="8">
        <f t="shared" ca="1" si="79"/>
        <v>27.300000000001091</v>
      </c>
      <c r="L393" s="8">
        <f t="shared" ca="1" si="80"/>
        <v>1471.6600000000026</v>
      </c>
      <c r="M393" s="9">
        <f ca="1">AVERAGE(E393:OFFSET(E393,-M$5+1,0))</f>
        <v>6431.6119999999992</v>
      </c>
      <c r="N393" s="9">
        <f ca="1">AVERAGE(E393:OFFSET(E393,-N$5+1,0))</f>
        <v>6459.6064999999999</v>
      </c>
      <c r="O393" s="9">
        <f t="shared" ca="1" si="81"/>
        <v>0</v>
      </c>
      <c r="P393" s="14">
        <f t="shared" si="86"/>
        <v>-0.14071724809068711</v>
      </c>
      <c r="Q393" s="15">
        <f ca="1">STDEV(P393:OFFSET(P393,-$Q$5+1,0))</f>
        <v>0.62516026258988056</v>
      </c>
      <c r="R393" s="15">
        <f ca="1">STDEV(P393:OFFSET(P393,-$R$5+1,0))</f>
        <v>1.3142266601464114</v>
      </c>
      <c r="S393" s="18">
        <f t="shared" si="73"/>
        <v>54.869999999999891</v>
      </c>
      <c r="T393" s="18">
        <f t="shared" si="74"/>
        <v>54.869999999999891</v>
      </c>
      <c r="U393" s="18">
        <f t="shared" si="82"/>
        <v>76.895004164715587</v>
      </c>
      <c r="V393" s="33">
        <f ca="1">AVERAGE(E393:OFFSET(E393,-V$5+1,0))</f>
        <v>6398.5864285714279</v>
      </c>
      <c r="W393" s="33">
        <f t="shared" ca="1" si="75"/>
        <v>6513.9289348185011</v>
      </c>
      <c r="X393" s="33">
        <f t="shared" ca="1" si="76"/>
        <v>6283.2439223243546</v>
      </c>
      <c r="Y393" s="32">
        <f t="shared" ca="1" si="83"/>
        <v>0</v>
      </c>
    </row>
    <row r="394" spans="1:25">
      <c r="A394" s="5">
        <v>38933</v>
      </c>
      <c r="B394" s="4">
        <v>6483.07</v>
      </c>
      <c r="C394" s="4">
        <v>6491.67</v>
      </c>
      <c r="D394" s="4">
        <v>6421.55</v>
      </c>
      <c r="E394" s="4">
        <v>6442.61</v>
      </c>
      <c r="F394" s="4">
        <v>2714200</v>
      </c>
      <c r="G394" s="8">
        <f t="shared" si="85"/>
        <v>20.75</v>
      </c>
      <c r="H394" s="8">
        <f t="shared" si="84"/>
        <v>-40.460000000000036</v>
      </c>
      <c r="I394" s="20">
        <f t="shared" ca="1" si="77"/>
        <v>0</v>
      </c>
      <c r="J394" s="8">
        <f t="shared" ca="1" si="78"/>
        <v>-3</v>
      </c>
      <c r="K394" s="8">
        <f t="shared" ca="1" si="79"/>
        <v>59.130000000000109</v>
      </c>
      <c r="L394" s="8">
        <f t="shared" ca="1" si="80"/>
        <v>1530.7900000000027</v>
      </c>
      <c r="M394" s="9">
        <f ca="1">AVERAGE(E394:OFFSET(E394,-M$5+1,0))</f>
        <v>6433.8719999999994</v>
      </c>
      <c r="N394" s="9">
        <f ca="1">AVERAGE(E394:OFFSET(E394,-N$5+1,0))</f>
        <v>6448.7064999999993</v>
      </c>
      <c r="O394" s="9">
        <f t="shared" ca="1" si="81"/>
        <v>0</v>
      </c>
      <c r="P394" s="14">
        <f t="shared" si="86"/>
        <v>-0.30546489327673199</v>
      </c>
      <c r="Q394" s="15">
        <f ca="1">STDEV(P394:OFFSET(P394,-$Q$5+1,0))</f>
        <v>0.62098119102116212</v>
      </c>
      <c r="R394" s="15">
        <f ca="1">STDEV(P394:OFFSET(P394,-$R$5+1,0))</f>
        <v>1.2854080747079006</v>
      </c>
      <c r="S394" s="18">
        <f t="shared" si="73"/>
        <v>70.119999999999891</v>
      </c>
      <c r="T394" s="18">
        <f t="shared" si="74"/>
        <v>70.119999999999891</v>
      </c>
      <c r="U394" s="18">
        <f t="shared" si="82"/>
        <v>75.991670276086836</v>
      </c>
      <c r="V394" s="33">
        <f ca="1">AVERAGE(E394:OFFSET(E394,-V$5+1,0))</f>
        <v>6411.7871428571434</v>
      </c>
      <c r="W394" s="33">
        <f t="shared" ca="1" si="75"/>
        <v>6525.7746482712737</v>
      </c>
      <c r="X394" s="33">
        <f t="shared" ca="1" si="76"/>
        <v>6297.7996374430131</v>
      </c>
      <c r="Y394" s="32">
        <f t="shared" ca="1" si="83"/>
        <v>0</v>
      </c>
    </row>
    <row r="395" spans="1:25">
      <c r="A395" s="5">
        <v>38936</v>
      </c>
      <c r="B395" s="4">
        <v>6425.99</v>
      </c>
      <c r="C395" s="4">
        <v>6450.06</v>
      </c>
      <c r="D395" s="4">
        <v>6405.09</v>
      </c>
      <c r="E395" s="4">
        <v>6416.61</v>
      </c>
      <c r="F395" s="4">
        <v>2215200</v>
      </c>
      <c r="G395" s="8">
        <f t="shared" si="85"/>
        <v>-16.619999999999891</v>
      </c>
      <c r="H395" s="8">
        <f t="shared" si="84"/>
        <v>-9.3800000000001091</v>
      </c>
      <c r="I395" s="20">
        <f t="shared" ca="1" si="77"/>
        <v>0</v>
      </c>
      <c r="J395" s="8">
        <f t="shared" ca="1" si="78"/>
        <v>-3</v>
      </c>
      <c r="K395" s="8">
        <f t="shared" ca="1" si="79"/>
        <v>78</v>
      </c>
      <c r="L395" s="8">
        <f t="shared" ca="1" si="80"/>
        <v>1608.7900000000027</v>
      </c>
      <c r="M395" s="9">
        <f ca="1">AVERAGE(E395:OFFSET(E395,-M$5+1,0))</f>
        <v>6439.57</v>
      </c>
      <c r="N395" s="9">
        <f ca="1">AVERAGE(E395:OFFSET(E395,-N$5+1,0))</f>
        <v>6435.4139999999998</v>
      </c>
      <c r="O395" s="9">
        <f t="shared" ca="1" si="81"/>
        <v>1</v>
      </c>
      <c r="P395" s="14">
        <f t="shared" si="86"/>
        <v>-0.40437966579551388</v>
      </c>
      <c r="Q395" s="15">
        <f ca="1">STDEV(P395:OFFSET(P395,-$Q$5+1,0))</f>
        <v>0.54507314439752874</v>
      </c>
      <c r="R395" s="15">
        <f ca="1">STDEV(P395:OFFSET(P395,-$R$5+1,0))</f>
        <v>1.2869894299556779</v>
      </c>
      <c r="S395" s="18">
        <f t="shared" si="73"/>
        <v>44.970000000000255</v>
      </c>
      <c r="T395" s="18">
        <f t="shared" si="74"/>
        <v>44.970000000000255</v>
      </c>
      <c r="U395" s="18">
        <f t="shared" si="82"/>
        <v>71.855447572608625</v>
      </c>
      <c r="V395" s="33">
        <f ca="1">AVERAGE(E395:OFFSET(E395,-V$5+1,0))</f>
        <v>6421.1657142857148</v>
      </c>
      <c r="W395" s="33">
        <f t="shared" ca="1" si="75"/>
        <v>6528.9488856446278</v>
      </c>
      <c r="X395" s="33">
        <f t="shared" ca="1" si="76"/>
        <v>6313.3825429268018</v>
      </c>
      <c r="Y395" s="32">
        <f t="shared" ca="1" si="83"/>
        <v>0</v>
      </c>
    </row>
    <row r="396" spans="1:25">
      <c r="A396" s="5">
        <v>38937</v>
      </c>
      <c r="B396" s="4">
        <v>6442.68</v>
      </c>
      <c r="C396" s="4">
        <v>6502.14</v>
      </c>
      <c r="D396" s="4">
        <v>6441.16</v>
      </c>
      <c r="E396" s="4">
        <v>6502.14</v>
      </c>
      <c r="F396" s="4">
        <v>2314800</v>
      </c>
      <c r="G396" s="8">
        <f t="shared" si="85"/>
        <v>26.070000000000618</v>
      </c>
      <c r="H396" s="8">
        <f t="shared" si="84"/>
        <v>59.460000000000036</v>
      </c>
      <c r="I396" s="20">
        <f t="shared" ca="1" si="77"/>
        <v>0</v>
      </c>
      <c r="J396" s="8">
        <f t="shared" ca="1" si="78"/>
        <v>-3</v>
      </c>
      <c r="K396" s="8">
        <f t="shared" ca="1" si="79"/>
        <v>-256.59000000000196</v>
      </c>
      <c r="L396" s="8">
        <f t="shared" ca="1" si="80"/>
        <v>1352.2000000000007</v>
      </c>
      <c r="M396" s="9">
        <f ca="1">AVERAGE(E396:OFFSET(E396,-M$5+1,0))</f>
        <v>6450.6849999999995</v>
      </c>
      <c r="N396" s="9">
        <f ca="1">AVERAGE(E396:OFFSET(E396,-N$5+1,0))</f>
        <v>6428.5644999999995</v>
      </c>
      <c r="O396" s="9">
        <f t="shared" ca="1" si="81"/>
        <v>0</v>
      </c>
      <c r="P396" s="14">
        <f t="shared" si="86"/>
        <v>1.3241412628407696</v>
      </c>
      <c r="Q396" s="15">
        <f ca="1">STDEV(P396:OFFSET(P396,-$Q$5+1,0))</f>
        <v>0.66396099700879141</v>
      </c>
      <c r="R396" s="15">
        <f ca="1">STDEV(P396:OFFSET(P396,-$R$5+1,0))</f>
        <v>1.2755498334270419</v>
      </c>
      <c r="S396" s="18">
        <f t="shared" si="73"/>
        <v>60.980000000000473</v>
      </c>
      <c r="T396" s="18">
        <f t="shared" si="74"/>
        <v>85.530000000000655</v>
      </c>
      <c r="U396" s="18">
        <f t="shared" si="82"/>
        <v>73.678721229594231</v>
      </c>
      <c r="V396" s="33">
        <f ca="1">AVERAGE(E396:OFFSET(E396,-V$5+1,0))</f>
        <v>6437.2300000000005</v>
      </c>
      <c r="W396" s="33">
        <f t="shared" ca="1" si="75"/>
        <v>6547.7480818443919</v>
      </c>
      <c r="X396" s="33">
        <f t="shared" ca="1" si="76"/>
        <v>6326.7119181556091</v>
      </c>
      <c r="Y396" s="32">
        <f t="shared" ca="1" si="83"/>
        <v>0</v>
      </c>
    </row>
    <row r="397" spans="1:25">
      <c r="A397" s="5">
        <v>38938</v>
      </c>
      <c r="B397" s="4">
        <v>6493.89</v>
      </c>
      <c r="C397" s="4">
        <v>6574.49</v>
      </c>
      <c r="D397" s="4">
        <v>6488.59</v>
      </c>
      <c r="E397" s="4">
        <v>6573.22</v>
      </c>
      <c r="F397" s="4">
        <v>2914200</v>
      </c>
      <c r="G397" s="8">
        <f t="shared" si="85"/>
        <v>-8.25</v>
      </c>
      <c r="H397" s="8">
        <f t="shared" si="84"/>
        <v>79.329999999999927</v>
      </c>
      <c r="I397" s="20">
        <f t="shared" ca="1" si="77"/>
        <v>1</v>
      </c>
      <c r="J397" s="8">
        <f t="shared" ca="1" si="78"/>
        <v>-3</v>
      </c>
      <c r="K397" s="8">
        <f t="shared" ca="1" si="79"/>
        <v>-213.23999999999978</v>
      </c>
      <c r="L397" s="8">
        <f t="shared" ca="1" si="80"/>
        <v>1138.9600000000009</v>
      </c>
      <c r="M397" s="9">
        <f ca="1">AVERAGE(E397:OFFSET(E397,-M$5+1,0))</f>
        <v>6470.3680000000004</v>
      </c>
      <c r="N397" s="9">
        <f ca="1">AVERAGE(E397:OFFSET(E397,-N$5+1,0))</f>
        <v>6425.5209999999997</v>
      </c>
      <c r="O397" s="9">
        <f t="shared" ca="1" si="81"/>
        <v>0</v>
      </c>
      <c r="P397" s="14">
        <f t="shared" si="86"/>
        <v>1.0872465492170045</v>
      </c>
      <c r="Q397" s="15">
        <f ca="1">STDEV(P397:OFFSET(P397,-$Q$5+1,0))</f>
        <v>0.70477922487035771</v>
      </c>
      <c r="R397" s="15">
        <f ca="1">STDEV(P397:OFFSET(P397,-$R$5+1,0))</f>
        <v>1.2455062839170898</v>
      </c>
      <c r="S397" s="18">
        <f t="shared" si="73"/>
        <v>85.899999999999636</v>
      </c>
      <c r="T397" s="18">
        <f t="shared" si="74"/>
        <v>85.899999999999636</v>
      </c>
      <c r="U397" s="18">
        <f t="shared" si="82"/>
        <v>75.308225065648287</v>
      </c>
      <c r="V397" s="33">
        <f ca="1">AVERAGE(E397:OFFSET(E397,-V$5+1,0))</f>
        <v>6446.4785714285708</v>
      </c>
      <c r="W397" s="33">
        <f t="shared" ca="1" si="75"/>
        <v>6559.4409090270428</v>
      </c>
      <c r="X397" s="33">
        <f t="shared" ca="1" si="76"/>
        <v>6333.5162338300988</v>
      </c>
      <c r="Y397" s="32">
        <f t="shared" ca="1" si="83"/>
        <v>1</v>
      </c>
    </row>
    <row r="398" spans="1:25">
      <c r="A398" s="5">
        <v>38939</v>
      </c>
      <c r="B398" s="4">
        <v>6555.28</v>
      </c>
      <c r="C398" s="4">
        <v>6606.28</v>
      </c>
      <c r="D398" s="4">
        <v>6555.28</v>
      </c>
      <c r="E398" s="4">
        <v>6578.61</v>
      </c>
      <c r="F398" s="4">
        <v>3393200</v>
      </c>
      <c r="G398" s="8">
        <f t="shared" si="85"/>
        <v>-17.940000000000509</v>
      </c>
      <c r="H398" s="8">
        <f t="shared" si="84"/>
        <v>23.329999999999927</v>
      </c>
      <c r="I398" s="20">
        <f t="shared" ca="1" si="77"/>
        <v>0</v>
      </c>
      <c r="J398" s="8">
        <f t="shared" ca="1" si="78"/>
        <v>-2</v>
      </c>
      <c r="K398" s="8">
        <f t="shared" ca="1" si="79"/>
        <v>7.1600000000016735</v>
      </c>
      <c r="L398" s="8">
        <f t="shared" ca="1" si="80"/>
        <v>1146.1200000000026</v>
      </c>
      <c r="M398" s="9">
        <f ca="1">AVERAGE(E398:OFFSET(E398,-M$5+1,0))</f>
        <v>6482.3040000000001</v>
      </c>
      <c r="N398" s="9">
        <f ca="1">AVERAGE(E398:OFFSET(E398,-N$5+1,0))</f>
        <v>6426.0715</v>
      </c>
      <c r="O398" s="9">
        <f t="shared" ca="1" si="81"/>
        <v>0</v>
      </c>
      <c r="P398" s="14">
        <f t="shared" si="86"/>
        <v>8.196578425614158E-2</v>
      </c>
      <c r="Q398" s="15">
        <f ca="1">STDEV(P398:OFFSET(P398,-$Q$5+1,0))</f>
        <v>0.61456163834177202</v>
      </c>
      <c r="R398" s="15">
        <f ca="1">STDEV(P398:OFFSET(P398,-$R$5+1,0))</f>
        <v>1.2403138850988484</v>
      </c>
      <c r="S398" s="18">
        <f t="shared" si="73"/>
        <v>51</v>
      </c>
      <c r="T398" s="18">
        <f t="shared" si="74"/>
        <v>51</v>
      </c>
      <c r="U398" s="18">
        <f t="shared" si="82"/>
        <v>72.067128390228518</v>
      </c>
      <c r="V398" s="33">
        <f ca="1">AVERAGE(E398:OFFSET(E398,-V$5+1,0))</f>
        <v>6457.807142857142</v>
      </c>
      <c r="W398" s="33">
        <f t="shared" ca="1" si="75"/>
        <v>6565.9078354424846</v>
      </c>
      <c r="X398" s="33">
        <f t="shared" ca="1" si="76"/>
        <v>6349.7064502717994</v>
      </c>
      <c r="Y398" s="32">
        <f t="shared" ca="1" si="83"/>
        <v>0</v>
      </c>
    </row>
    <row r="399" spans="1:25">
      <c r="A399" s="5">
        <v>38940</v>
      </c>
      <c r="B399" s="4">
        <v>6612.48</v>
      </c>
      <c r="C399" s="4">
        <v>6617.23</v>
      </c>
      <c r="D399" s="4">
        <v>6559.27</v>
      </c>
      <c r="E399" s="4">
        <v>6571.1</v>
      </c>
      <c r="F399" s="4">
        <v>3074800</v>
      </c>
      <c r="G399" s="8">
        <f t="shared" si="85"/>
        <v>33.869999999999891</v>
      </c>
      <c r="H399" s="8">
        <f t="shared" si="84"/>
        <v>-41.3799999999992</v>
      </c>
      <c r="I399" s="20">
        <f t="shared" ca="1" si="77"/>
        <v>0</v>
      </c>
      <c r="J399" s="8">
        <f t="shared" ca="1" si="78"/>
        <v>-2</v>
      </c>
      <c r="K399" s="8">
        <f t="shared" ca="1" si="79"/>
        <v>15.019999999998618</v>
      </c>
      <c r="L399" s="8">
        <f t="shared" ca="1" si="80"/>
        <v>1161.1400000000012</v>
      </c>
      <c r="M399" s="9">
        <f ca="1">AVERAGE(E399:OFFSET(E399,-M$5+1,0))</f>
        <v>6491.4070000000002</v>
      </c>
      <c r="N399" s="9">
        <f ca="1">AVERAGE(E399:OFFSET(E399,-N$5+1,0))</f>
        <v>6433.2250000000004</v>
      </c>
      <c r="O399" s="9">
        <f t="shared" ca="1" si="81"/>
        <v>0</v>
      </c>
      <c r="P399" s="14">
        <f t="shared" si="86"/>
        <v>-0.11422306372563502</v>
      </c>
      <c r="Q399" s="15">
        <f ca="1">STDEV(P399:OFFSET(P399,-$Q$5+1,0))</f>
        <v>0.61907856290549756</v>
      </c>
      <c r="R399" s="15">
        <f ca="1">STDEV(P399:OFFSET(P399,-$R$5+1,0))</f>
        <v>1.1860997886469273</v>
      </c>
      <c r="S399" s="18">
        <f t="shared" si="73"/>
        <v>57.959999999999127</v>
      </c>
      <c r="T399" s="18">
        <f t="shared" si="74"/>
        <v>57.959999999999127</v>
      </c>
      <c r="U399" s="18">
        <f t="shared" si="82"/>
        <v>70.186177938197929</v>
      </c>
      <c r="V399" s="33">
        <f ca="1">AVERAGE(E399:OFFSET(E399,-V$5+1,0))</f>
        <v>6472.9121428571434</v>
      </c>
      <c r="W399" s="33">
        <f t="shared" ca="1" si="75"/>
        <v>6578.1914097644403</v>
      </c>
      <c r="X399" s="33">
        <f t="shared" ca="1" si="76"/>
        <v>6367.6328759498465</v>
      </c>
      <c r="Y399" s="32">
        <f t="shared" ca="1" si="83"/>
        <v>0</v>
      </c>
    </row>
    <row r="400" spans="1:25">
      <c r="A400" s="5">
        <v>38943</v>
      </c>
      <c r="B400" s="4">
        <v>6588.47</v>
      </c>
      <c r="C400" s="4">
        <v>6634.73</v>
      </c>
      <c r="D400" s="4">
        <v>6587.36</v>
      </c>
      <c r="E400" s="4">
        <v>6611.9</v>
      </c>
      <c r="F400" s="4">
        <v>2632200</v>
      </c>
      <c r="G400" s="8">
        <f t="shared" si="85"/>
        <v>17.369999999999891</v>
      </c>
      <c r="H400" s="8">
        <f t="shared" si="84"/>
        <v>23.429999999999382</v>
      </c>
      <c r="I400" s="20">
        <f t="shared" ca="1" si="77"/>
        <v>1</v>
      </c>
      <c r="J400" s="8">
        <f t="shared" ca="1" si="78"/>
        <v>-2</v>
      </c>
      <c r="K400" s="8">
        <f t="shared" ca="1" si="79"/>
        <v>-81.599999999998545</v>
      </c>
      <c r="L400" s="8">
        <f t="shared" ca="1" si="80"/>
        <v>1079.5400000000027</v>
      </c>
      <c r="M400" s="9">
        <f ca="1">AVERAGE(E400:OFFSET(E400,-M$5+1,0))</f>
        <v>6507.139000000001</v>
      </c>
      <c r="N400" s="9">
        <f ca="1">AVERAGE(E400:OFFSET(E400,-N$5+1,0))</f>
        <v>6450.93</v>
      </c>
      <c r="O400" s="9">
        <f t="shared" ca="1" si="81"/>
        <v>0</v>
      </c>
      <c r="P400" s="14">
        <f t="shared" si="86"/>
        <v>0.61898096437295624</v>
      </c>
      <c r="Q400" s="15">
        <f ca="1">STDEV(P400:OFFSET(P400,-$Q$5+1,0))</f>
        <v>0.60477913525626059</v>
      </c>
      <c r="R400" s="15">
        <f ca="1">STDEV(P400:OFFSET(P400,-$R$5+1,0))</f>
        <v>1.1900522068309425</v>
      </c>
      <c r="S400" s="18">
        <f t="shared" si="73"/>
        <v>47.369999999999891</v>
      </c>
      <c r="T400" s="18">
        <f t="shared" si="74"/>
        <v>63.6299999999992</v>
      </c>
      <c r="U400" s="18">
        <f t="shared" si="82"/>
        <v>69.312020879771438</v>
      </c>
      <c r="V400" s="33">
        <f ca="1">AVERAGE(E400:OFFSET(E400,-V$5+1,0))</f>
        <v>6488.6914285714283</v>
      </c>
      <c r="W400" s="33">
        <f t="shared" ca="1" si="75"/>
        <v>6592.6594598910851</v>
      </c>
      <c r="X400" s="33">
        <f t="shared" ca="1" si="76"/>
        <v>6384.7233972517715</v>
      </c>
      <c r="Y400" s="32">
        <f t="shared" ca="1" si="83"/>
        <v>1</v>
      </c>
    </row>
    <row r="401" spans="1:25">
      <c r="A401" s="5">
        <v>38944</v>
      </c>
      <c r="B401" s="4">
        <v>6628.5</v>
      </c>
      <c r="C401" s="4">
        <v>6628.5</v>
      </c>
      <c r="D401" s="4">
        <v>6595.35</v>
      </c>
      <c r="E401" s="4">
        <v>6615.13</v>
      </c>
      <c r="F401" s="4">
        <v>2668600</v>
      </c>
      <c r="G401" s="8">
        <f t="shared" si="85"/>
        <v>16.600000000000364</v>
      </c>
      <c r="H401" s="8">
        <f t="shared" si="84"/>
        <v>-13.369999999999891</v>
      </c>
      <c r="I401" s="20">
        <f t="shared" ca="1" si="77"/>
        <v>0</v>
      </c>
      <c r="J401" s="8">
        <f t="shared" ca="1" si="78"/>
        <v>-1</v>
      </c>
      <c r="K401" s="8">
        <f t="shared" ca="1" si="79"/>
        <v>-19.830000000000837</v>
      </c>
      <c r="L401" s="8">
        <f t="shared" ca="1" si="80"/>
        <v>1059.7100000000019</v>
      </c>
      <c r="M401" s="9">
        <f ca="1">AVERAGE(E401:OFFSET(E401,-M$5+1,0))</f>
        <v>6524.5059999999994</v>
      </c>
      <c r="N401" s="9">
        <f ca="1">AVERAGE(E401:OFFSET(E401,-N$5+1,0))</f>
        <v>6467.4210000000003</v>
      </c>
      <c r="O401" s="9">
        <f t="shared" ca="1" si="81"/>
        <v>0</v>
      </c>
      <c r="P401" s="14">
        <f t="shared" si="86"/>
        <v>4.8839385171199644E-2</v>
      </c>
      <c r="Q401" s="15">
        <f ca="1">STDEV(P401:OFFSET(P401,-$Q$5+1,0))</f>
        <v>0.58924797060793777</v>
      </c>
      <c r="R401" s="15">
        <f ca="1">STDEV(P401:OFFSET(P401,-$R$5+1,0))</f>
        <v>1.0544779872321388</v>
      </c>
      <c r="S401" s="18">
        <f t="shared" si="73"/>
        <v>33.149999999999636</v>
      </c>
      <c r="T401" s="18">
        <f t="shared" si="74"/>
        <v>33.149999999999636</v>
      </c>
      <c r="U401" s="18">
        <f t="shared" si="82"/>
        <v>64.490418095801857</v>
      </c>
      <c r="V401" s="33">
        <f ca="1">AVERAGE(E401:OFFSET(E401,-V$5+1,0))</f>
        <v>6505.744285714286</v>
      </c>
      <c r="W401" s="33">
        <f t="shared" ca="1" si="75"/>
        <v>6602.4799128579889</v>
      </c>
      <c r="X401" s="33">
        <f t="shared" ca="1" si="76"/>
        <v>6409.0086585705831</v>
      </c>
      <c r="Y401" s="32">
        <f t="shared" ca="1" si="83"/>
        <v>0</v>
      </c>
    </row>
    <row r="402" spans="1:25">
      <c r="A402" s="5">
        <v>38945</v>
      </c>
      <c r="B402" s="4">
        <v>6686.23</v>
      </c>
      <c r="C402" s="4">
        <v>6699.83</v>
      </c>
      <c r="D402" s="4">
        <v>6663.07</v>
      </c>
      <c r="E402" s="4">
        <v>6696.63</v>
      </c>
      <c r="F402" s="4">
        <v>3827600</v>
      </c>
      <c r="G402" s="8">
        <f t="shared" si="85"/>
        <v>71.099999999999454</v>
      </c>
      <c r="H402" s="8">
        <f t="shared" si="84"/>
        <v>10.400000000000546</v>
      </c>
      <c r="I402" s="20">
        <f t="shared" ca="1" si="77"/>
        <v>0</v>
      </c>
      <c r="J402" s="8">
        <f t="shared" ca="1" si="78"/>
        <v>-1</v>
      </c>
      <c r="K402" s="8">
        <f t="shared" ca="1" si="79"/>
        <v>-81.5</v>
      </c>
      <c r="L402" s="8">
        <f t="shared" ca="1" si="80"/>
        <v>978.21000000000186</v>
      </c>
      <c r="M402" s="9">
        <f ca="1">AVERAGE(E402:OFFSET(E402,-M$5+1,0))</f>
        <v>6547.027</v>
      </c>
      <c r="N402" s="9">
        <f ca="1">AVERAGE(E402:OFFSET(E402,-N$5+1,0))</f>
        <v>6488.3905000000004</v>
      </c>
      <c r="O402" s="9">
        <f t="shared" ca="1" si="81"/>
        <v>0</v>
      </c>
      <c r="P402" s="14">
        <f t="shared" si="86"/>
        <v>1.2244965103685823</v>
      </c>
      <c r="Q402" s="15">
        <f ca="1">STDEV(P402:OFFSET(P402,-$Q$5+1,0))</f>
        <v>0.66219517975094866</v>
      </c>
      <c r="R402" s="15">
        <f ca="1">STDEV(P402:OFFSET(P402,-$R$5+1,0))</f>
        <v>1.0535151903045821</v>
      </c>
      <c r="S402" s="18">
        <f t="shared" si="73"/>
        <v>36.760000000000218</v>
      </c>
      <c r="T402" s="18">
        <f t="shared" si="74"/>
        <v>84.699999999999818</v>
      </c>
      <c r="U402" s="18">
        <f t="shared" si="82"/>
        <v>67.185029016361597</v>
      </c>
      <c r="V402" s="33">
        <f ca="1">AVERAGE(E402:OFFSET(E402,-V$5+1,0))</f>
        <v>6522.7</v>
      </c>
      <c r="W402" s="33">
        <f t="shared" ca="1" si="75"/>
        <v>6623.4775435245419</v>
      </c>
      <c r="X402" s="33">
        <f t="shared" ca="1" si="76"/>
        <v>6421.9224564754577</v>
      </c>
      <c r="Y402" s="32">
        <f t="shared" ca="1" si="83"/>
        <v>0</v>
      </c>
    </row>
    <row r="403" spans="1:25">
      <c r="A403" s="5">
        <v>38946</v>
      </c>
      <c r="B403" s="4">
        <v>6752.99</v>
      </c>
      <c r="C403" s="4">
        <v>6761.79</v>
      </c>
      <c r="D403" s="4">
        <v>6722.58</v>
      </c>
      <c r="E403" s="4">
        <v>6733.46</v>
      </c>
      <c r="F403" s="4">
        <v>3923000</v>
      </c>
      <c r="G403" s="8">
        <f t="shared" si="85"/>
        <v>56.359999999999673</v>
      </c>
      <c r="H403" s="8">
        <f t="shared" si="84"/>
        <v>-19.529999999999745</v>
      </c>
      <c r="I403" s="20">
        <f t="shared" ca="1" si="77"/>
        <v>0</v>
      </c>
      <c r="J403" s="8">
        <f t="shared" ca="1" si="78"/>
        <v>-1</v>
      </c>
      <c r="K403" s="8">
        <f t="shared" ca="1" si="79"/>
        <v>-36.829999999999927</v>
      </c>
      <c r="L403" s="8">
        <f t="shared" ca="1" si="80"/>
        <v>941.38000000000193</v>
      </c>
      <c r="M403" s="9">
        <f ca="1">AVERAGE(E403:OFFSET(E403,-M$5+1,0))</f>
        <v>6574.1410000000005</v>
      </c>
      <c r="N403" s="9">
        <f ca="1">AVERAGE(E403:OFFSET(E403,-N$5+1,0))</f>
        <v>6502.8765000000003</v>
      </c>
      <c r="O403" s="9">
        <f t="shared" ca="1" si="81"/>
        <v>0</v>
      </c>
      <c r="P403" s="14">
        <f t="shared" si="86"/>
        <v>0.54847126604287877</v>
      </c>
      <c r="Q403" s="15">
        <f ca="1">STDEV(P403:OFFSET(P403,-$Q$5+1,0))</f>
        <v>0.64191695542990634</v>
      </c>
      <c r="R403" s="15">
        <f ca="1">STDEV(P403:OFFSET(P403,-$R$5+1,0))</f>
        <v>0.95729336035438284</v>
      </c>
      <c r="S403" s="18">
        <f t="shared" si="73"/>
        <v>39.210000000000036</v>
      </c>
      <c r="T403" s="18">
        <f t="shared" si="74"/>
        <v>65.159999999999854</v>
      </c>
      <c r="U403" s="18">
        <f t="shared" si="82"/>
        <v>66.915025147513376</v>
      </c>
      <c r="V403" s="33">
        <f ca="1">AVERAGE(E403:OFFSET(E403,-V$5+1,0))</f>
        <v>6540.7992857142872</v>
      </c>
      <c r="W403" s="33">
        <f t="shared" ca="1" si="75"/>
        <v>6641.1718234355576</v>
      </c>
      <c r="X403" s="33">
        <f t="shared" ca="1" si="76"/>
        <v>6440.4267479930168</v>
      </c>
      <c r="Y403" s="32">
        <f t="shared" ca="1" si="83"/>
        <v>0</v>
      </c>
    </row>
    <row r="404" spans="1:25">
      <c r="A404" s="5">
        <v>38947</v>
      </c>
      <c r="B404" s="4">
        <v>6761.4</v>
      </c>
      <c r="C404" s="4">
        <v>6761.4</v>
      </c>
      <c r="D404" s="4">
        <v>6719.75</v>
      </c>
      <c r="E404" s="4">
        <v>6721.08</v>
      </c>
      <c r="F404" s="4">
        <v>2895800</v>
      </c>
      <c r="G404" s="8">
        <f t="shared" si="85"/>
        <v>27.9399999999996</v>
      </c>
      <c r="H404" s="8">
        <f t="shared" si="84"/>
        <v>-40.319999999999709</v>
      </c>
      <c r="I404" s="20">
        <f t="shared" ca="1" si="77"/>
        <v>0</v>
      </c>
      <c r="J404" s="8">
        <f t="shared" ca="1" si="78"/>
        <v>-1</v>
      </c>
      <c r="K404" s="8">
        <f t="shared" ca="1" si="79"/>
        <v>12.380000000000109</v>
      </c>
      <c r="L404" s="8">
        <f t="shared" ca="1" si="80"/>
        <v>953.76000000000204</v>
      </c>
      <c r="M404" s="9">
        <f ca="1">AVERAGE(E404:OFFSET(E404,-M$5+1,0))</f>
        <v>6601.9879999999994</v>
      </c>
      <c r="N404" s="9">
        <f ca="1">AVERAGE(E404:OFFSET(E404,-N$5+1,0))</f>
        <v>6517.93</v>
      </c>
      <c r="O404" s="9">
        <f t="shared" ca="1" si="81"/>
        <v>0</v>
      </c>
      <c r="P404" s="14">
        <f t="shared" si="86"/>
        <v>-0.184027153568107</v>
      </c>
      <c r="Q404" s="15">
        <f ca="1">STDEV(P404:OFFSET(P404,-$Q$5+1,0))</f>
        <v>0.62785129671177375</v>
      </c>
      <c r="R404" s="15">
        <f ca="1">STDEV(P404:OFFSET(P404,-$R$5+1,0))</f>
        <v>0.95343808289180676</v>
      </c>
      <c r="S404" s="18">
        <f t="shared" si="73"/>
        <v>41.649999999999636</v>
      </c>
      <c r="T404" s="18">
        <f t="shared" si="74"/>
        <v>41.649999999999636</v>
      </c>
      <c r="U404" s="18">
        <f t="shared" si="82"/>
        <v>63.546355127844876</v>
      </c>
      <c r="V404" s="33">
        <f ca="1">AVERAGE(E404:OFFSET(E404,-V$5+1,0))</f>
        <v>6559.8350000000009</v>
      </c>
      <c r="W404" s="33">
        <f t="shared" ca="1" si="75"/>
        <v>6655.1545326917685</v>
      </c>
      <c r="X404" s="33">
        <f t="shared" ca="1" si="76"/>
        <v>6464.5154673082334</v>
      </c>
      <c r="Y404" s="32">
        <f t="shared" ca="1" si="83"/>
        <v>0</v>
      </c>
    </row>
    <row r="405" spans="1:25">
      <c r="A405" s="5">
        <v>38950</v>
      </c>
      <c r="B405" s="4">
        <v>6715.72</v>
      </c>
      <c r="C405" s="4">
        <v>6715.72</v>
      </c>
      <c r="D405" s="4">
        <v>6498.18</v>
      </c>
      <c r="E405" s="4">
        <v>6505.92</v>
      </c>
      <c r="F405" s="4">
        <v>3356200</v>
      </c>
      <c r="G405" s="8">
        <f t="shared" si="85"/>
        <v>-5.3599999999996726</v>
      </c>
      <c r="H405" s="8">
        <f t="shared" si="84"/>
        <v>-209.80000000000018</v>
      </c>
      <c r="I405" s="20">
        <f t="shared" ca="1" si="77"/>
        <v>0</v>
      </c>
      <c r="J405" s="8">
        <f t="shared" ca="1" si="78"/>
        <v>-1</v>
      </c>
      <c r="K405" s="8">
        <f t="shared" ca="1" si="79"/>
        <v>215.15999999999985</v>
      </c>
      <c r="L405" s="8">
        <f t="shared" ca="1" si="80"/>
        <v>1168.9200000000019</v>
      </c>
      <c r="M405" s="9">
        <f ca="1">AVERAGE(E405:OFFSET(E405,-M$5+1,0))</f>
        <v>6610.9189999999999</v>
      </c>
      <c r="N405" s="9">
        <f ca="1">AVERAGE(E405:OFFSET(E405,-N$5+1,0))</f>
        <v>6525.2445000000007</v>
      </c>
      <c r="O405" s="9">
        <f t="shared" ca="1" si="81"/>
        <v>0</v>
      </c>
      <c r="P405" s="14">
        <f t="shared" si="86"/>
        <v>-3.2536324273894324</v>
      </c>
      <c r="Q405" s="15">
        <f ca="1">STDEV(P405:OFFSET(P405,-$Q$5+1,0))</f>
        <v>1.315289640440477</v>
      </c>
      <c r="R405" s="15">
        <f ca="1">STDEV(P405:OFFSET(P405,-$R$5+1,0))</f>
        <v>1.0770719114610436</v>
      </c>
      <c r="S405" s="18">
        <f t="shared" si="73"/>
        <v>217.53999999999996</v>
      </c>
      <c r="T405" s="18">
        <f t="shared" si="74"/>
        <v>222.89999999999964</v>
      </c>
      <c r="U405" s="18">
        <f t="shared" si="82"/>
        <v>84.793507777465507</v>
      </c>
      <c r="V405" s="33">
        <f ca="1">AVERAGE(E405:OFFSET(E405,-V$5+1,0))</f>
        <v>6564.4392857142866</v>
      </c>
      <c r="W405" s="33">
        <f t="shared" ca="1" si="75"/>
        <v>6691.6295473804848</v>
      </c>
      <c r="X405" s="33">
        <f t="shared" ca="1" si="76"/>
        <v>6437.2490240480884</v>
      </c>
      <c r="Y405" s="32">
        <f t="shared" ca="1" si="83"/>
        <v>0</v>
      </c>
    </row>
    <row r="406" spans="1:25">
      <c r="A406" s="5">
        <v>38951</v>
      </c>
      <c r="B406" s="4">
        <v>6524.72</v>
      </c>
      <c r="C406" s="4">
        <v>6590.2</v>
      </c>
      <c r="D406" s="4">
        <v>6517.28</v>
      </c>
      <c r="E406" s="4">
        <v>6590.2</v>
      </c>
      <c r="F406" s="4">
        <v>2441800</v>
      </c>
      <c r="G406" s="8">
        <f t="shared" si="85"/>
        <v>18.800000000000182</v>
      </c>
      <c r="H406" s="8">
        <f t="shared" si="84"/>
        <v>65.479999999999563</v>
      </c>
      <c r="I406" s="20">
        <f t="shared" ca="1" si="77"/>
        <v>0</v>
      </c>
      <c r="J406" s="8">
        <f t="shared" ca="1" si="78"/>
        <v>-1</v>
      </c>
      <c r="K406" s="8">
        <f t="shared" ca="1" si="79"/>
        <v>-84.279999999999745</v>
      </c>
      <c r="L406" s="8">
        <f t="shared" ca="1" si="80"/>
        <v>1084.6400000000021</v>
      </c>
      <c r="M406" s="9">
        <f ca="1">AVERAGE(E406:OFFSET(E406,-M$5+1,0))</f>
        <v>6619.7250000000004</v>
      </c>
      <c r="N406" s="9">
        <f ca="1">AVERAGE(E406:OFFSET(E406,-N$5+1,0))</f>
        <v>6535.2049999999999</v>
      </c>
      <c r="O406" s="9">
        <f t="shared" ca="1" si="81"/>
        <v>0</v>
      </c>
      <c r="P406" s="14">
        <f t="shared" si="86"/>
        <v>1.2871165433830147</v>
      </c>
      <c r="Q406" s="15">
        <f ca="1">STDEV(P406:OFFSET(P406,-$Q$5+1,0))</f>
        <v>1.311627442211946</v>
      </c>
      <c r="R406" s="15">
        <f ca="1">STDEV(P406:OFFSET(P406,-$R$5+1,0))</f>
        <v>1.0901257852505717</v>
      </c>
      <c r="S406" s="18">
        <f t="shared" si="73"/>
        <v>72.920000000000073</v>
      </c>
      <c r="T406" s="18">
        <f t="shared" si="74"/>
        <v>84.279999999999745</v>
      </c>
      <c r="U406" s="18">
        <f t="shared" si="82"/>
        <v>84.725040073803399</v>
      </c>
      <c r="V406" s="33">
        <f ca="1">AVERAGE(E406:OFFSET(E406,-V$5+1,0))</f>
        <v>6572.9235714285705</v>
      </c>
      <c r="W406" s="33">
        <f t="shared" ca="1" si="75"/>
        <v>6700.011131539276</v>
      </c>
      <c r="X406" s="33">
        <f t="shared" ca="1" si="76"/>
        <v>6445.8360113178651</v>
      </c>
      <c r="Y406" s="32">
        <f t="shared" ca="1" si="83"/>
        <v>0</v>
      </c>
    </row>
    <row r="407" spans="1:25">
      <c r="A407" s="5">
        <v>38952</v>
      </c>
      <c r="B407" s="4">
        <v>6584.66</v>
      </c>
      <c r="C407" s="4">
        <v>6587.46</v>
      </c>
      <c r="D407" s="4">
        <v>6454.71</v>
      </c>
      <c r="E407" s="4">
        <v>6556.33</v>
      </c>
      <c r="F407" s="4">
        <v>2765800</v>
      </c>
      <c r="G407" s="8">
        <f t="shared" si="85"/>
        <v>-5.5399999999999636</v>
      </c>
      <c r="H407" s="8">
        <f t="shared" si="84"/>
        <v>-28.329999999999927</v>
      </c>
      <c r="I407" s="20">
        <f t="shared" ca="1" si="77"/>
        <v>0</v>
      </c>
      <c r="J407" s="8">
        <f t="shared" ca="1" si="78"/>
        <v>-1</v>
      </c>
      <c r="K407" s="8">
        <f t="shared" ca="1" si="79"/>
        <v>33.869999999999891</v>
      </c>
      <c r="L407" s="8">
        <f t="shared" ca="1" si="80"/>
        <v>1118.510000000002</v>
      </c>
      <c r="M407" s="9">
        <f ca="1">AVERAGE(E407:OFFSET(E407,-M$5+1,0))</f>
        <v>6618.0360000000001</v>
      </c>
      <c r="N407" s="9">
        <f ca="1">AVERAGE(E407:OFFSET(E407,-N$5+1,0))</f>
        <v>6544.2020000000002</v>
      </c>
      <c r="O407" s="9">
        <f t="shared" ca="1" si="81"/>
        <v>0</v>
      </c>
      <c r="P407" s="14">
        <f t="shared" si="86"/>
        <v>-0.51527018822902038</v>
      </c>
      <c r="Q407" s="15">
        <f ca="1">STDEV(P407:OFFSET(P407,-$Q$5+1,0))</f>
        <v>1.2798022138041747</v>
      </c>
      <c r="R407" s="15">
        <f ca="1">STDEV(P407:OFFSET(P407,-$R$5+1,0))</f>
        <v>1.0905458622558621</v>
      </c>
      <c r="S407" s="18">
        <f t="shared" si="73"/>
        <v>132.75</v>
      </c>
      <c r="T407" s="18">
        <f t="shared" si="74"/>
        <v>135.48999999999978</v>
      </c>
      <c r="U407" s="18">
        <f t="shared" si="82"/>
        <v>91.493701397296249</v>
      </c>
      <c r="V407" s="33">
        <f ca="1">AVERAGE(E407:OFFSET(E407,-V$5+1,0))</f>
        <v>6579.6385714285716</v>
      </c>
      <c r="W407" s="33">
        <f t="shared" ca="1" si="75"/>
        <v>6716.8791235245162</v>
      </c>
      <c r="X407" s="33">
        <f t="shared" ca="1" si="76"/>
        <v>6442.398019332627</v>
      </c>
      <c r="Y407" s="32">
        <f t="shared" ca="1" si="83"/>
        <v>0</v>
      </c>
    </row>
    <row r="408" spans="1:25">
      <c r="A408" s="5">
        <v>38953</v>
      </c>
      <c r="B408" s="4">
        <v>6540.03</v>
      </c>
      <c r="C408" s="4">
        <v>6570.62</v>
      </c>
      <c r="D408" s="4">
        <v>6525.36</v>
      </c>
      <c r="E408" s="4">
        <v>6550.64</v>
      </c>
      <c r="F408" s="4">
        <v>2255800</v>
      </c>
      <c r="G408" s="8">
        <f t="shared" si="85"/>
        <v>-16.300000000000182</v>
      </c>
      <c r="H408" s="8">
        <f t="shared" si="84"/>
        <v>10.610000000000582</v>
      </c>
      <c r="I408" s="20">
        <f t="shared" ca="1" si="77"/>
        <v>0</v>
      </c>
      <c r="J408" s="8">
        <f t="shared" ca="1" si="78"/>
        <v>-1</v>
      </c>
      <c r="K408" s="8">
        <f t="shared" ca="1" si="79"/>
        <v>5.6899999999995998</v>
      </c>
      <c r="L408" s="8">
        <f t="shared" ca="1" si="80"/>
        <v>1124.2000000000016</v>
      </c>
      <c r="M408" s="9">
        <f ca="1">AVERAGE(E408:OFFSET(E408,-M$5+1,0))</f>
        <v>6615.2389999999996</v>
      </c>
      <c r="N408" s="9">
        <f ca="1">AVERAGE(E408:OFFSET(E408,-N$5+1,0))</f>
        <v>6548.7715000000007</v>
      </c>
      <c r="O408" s="9">
        <f t="shared" ca="1" si="81"/>
        <v>0</v>
      </c>
      <c r="P408" s="14">
        <f t="shared" si="86"/>
        <v>-8.682403877396612E-2</v>
      </c>
      <c r="Q408" s="15">
        <f ca="1">STDEV(P408:OFFSET(P408,-$Q$5+1,0))</f>
        <v>1.2793370267513255</v>
      </c>
      <c r="R408" s="15">
        <f ca="1">STDEV(P408:OFFSET(P408,-$R$5+1,0))</f>
        <v>1.0783492594882882</v>
      </c>
      <c r="S408" s="18">
        <f t="shared" si="73"/>
        <v>45.260000000000218</v>
      </c>
      <c r="T408" s="18">
        <f t="shared" si="74"/>
        <v>45.260000000000218</v>
      </c>
      <c r="U408" s="18">
        <f t="shared" si="82"/>
        <v>85.329207877656785</v>
      </c>
      <c r="V408" s="33">
        <f ca="1">AVERAGE(E408:OFFSET(E408,-V$5+1,0))</f>
        <v>6587.3549999999987</v>
      </c>
      <c r="W408" s="33">
        <f t="shared" ca="1" si="75"/>
        <v>6715.3488118164842</v>
      </c>
      <c r="X408" s="33">
        <f t="shared" ca="1" si="76"/>
        <v>6459.3611881835131</v>
      </c>
      <c r="Y408" s="32">
        <f t="shared" ca="1" si="83"/>
        <v>0</v>
      </c>
    </row>
    <row r="409" spans="1:25">
      <c r="A409" s="5">
        <v>38954</v>
      </c>
      <c r="B409" s="4">
        <v>6594.82</v>
      </c>
      <c r="C409" s="4">
        <v>6600.94</v>
      </c>
      <c r="D409" s="4">
        <v>6526.22</v>
      </c>
      <c r="E409" s="4">
        <v>6526.22</v>
      </c>
      <c r="F409" s="4">
        <v>2193400</v>
      </c>
      <c r="G409" s="8">
        <f t="shared" si="85"/>
        <v>44.179999999999382</v>
      </c>
      <c r="H409" s="8">
        <f t="shared" si="84"/>
        <v>-68.599999999999454</v>
      </c>
      <c r="I409" s="20">
        <f t="shared" ca="1" si="77"/>
        <v>0</v>
      </c>
      <c r="J409" s="8">
        <f t="shared" ca="1" si="78"/>
        <v>-1</v>
      </c>
      <c r="K409" s="8">
        <f t="shared" ca="1" si="79"/>
        <v>24.420000000000073</v>
      </c>
      <c r="L409" s="8">
        <f t="shared" ca="1" si="80"/>
        <v>1148.6200000000017</v>
      </c>
      <c r="M409" s="9">
        <f ca="1">AVERAGE(E409:OFFSET(E409,-M$5+1,0))</f>
        <v>6610.7509999999993</v>
      </c>
      <c r="N409" s="9">
        <f ca="1">AVERAGE(E409:OFFSET(E409,-N$5+1,0))</f>
        <v>6551.0790000000006</v>
      </c>
      <c r="O409" s="9">
        <f t="shared" ca="1" si="81"/>
        <v>0</v>
      </c>
      <c r="P409" s="14">
        <f t="shared" si="86"/>
        <v>-0.37348458859938743</v>
      </c>
      <c r="Q409" s="15">
        <f ca="1">STDEV(P409:OFFSET(P409,-$Q$5+1,0))</f>
        <v>1.2835696060501356</v>
      </c>
      <c r="R409" s="15">
        <f ca="1">STDEV(P409:OFFSET(P409,-$R$5+1,0))</f>
        <v>1.0525000881376185</v>
      </c>
      <c r="S409" s="18">
        <f t="shared" si="73"/>
        <v>74.719999999999345</v>
      </c>
      <c r="T409" s="18">
        <f t="shared" si="74"/>
        <v>74.719999999999345</v>
      </c>
      <c r="U409" s="18">
        <f t="shared" si="82"/>
        <v>83.914646827302462</v>
      </c>
      <c r="V409" s="33">
        <f ca="1">AVERAGE(E409:OFFSET(E409,-V$5+1,0))</f>
        <v>6595.1842857142856</v>
      </c>
      <c r="W409" s="33">
        <f t="shared" ca="1" si="75"/>
        <v>6721.0562559552391</v>
      </c>
      <c r="X409" s="33">
        <f t="shared" ca="1" si="76"/>
        <v>6469.3123154733321</v>
      </c>
      <c r="Y409" s="32">
        <f t="shared" ca="1" si="83"/>
        <v>0</v>
      </c>
    </row>
    <row r="410" spans="1:25">
      <c r="A410" s="5">
        <v>38957</v>
      </c>
      <c r="B410" s="4">
        <v>6515.08</v>
      </c>
      <c r="C410" s="4">
        <v>6515.08</v>
      </c>
      <c r="D410" s="4">
        <v>6422.38</v>
      </c>
      <c r="E410" s="4">
        <v>6444.76</v>
      </c>
      <c r="F410" s="4">
        <v>2308600</v>
      </c>
      <c r="G410" s="8">
        <f t="shared" si="85"/>
        <v>-11.140000000000327</v>
      </c>
      <c r="H410" s="8">
        <f t="shared" si="84"/>
        <v>-70.319999999999709</v>
      </c>
      <c r="I410" s="20">
        <f t="shared" ca="1" si="77"/>
        <v>-1</v>
      </c>
      <c r="J410" s="8">
        <f t="shared" ca="1" si="78"/>
        <v>-1</v>
      </c>
      <c r="K410" s="8">
        <f t="shared" ca="1" si="79"/>
        <v>81.460000000000036</v>
      </c>
      <c r="L410" s="8">
        <f t="shared" ca="1" si="80"/>
        <v>1230.0800000000017</v>
      </c>
      <c r="M410" s="9">
        <f ca="1">AVERAGE(E410:OFFSET(E410,-M$5+1,0))</f>
        <v>6594.0369999999994</v>
      </c>
      <c r="N410" s="9">
        <f ca="1">AVERAGE(E410:OFFSET(E410,-N$5+1,0))</f>
        <v>6550.5880000000006</v>
      </c>
      <c r="O410" s="9">
        <f t="shared" ca="1" si="81"/>
        <v>0</v>
      </c>
      <c r="P410" s="14">
        <f t="shared" si="86"/>
        <v>-1.2560511382857713</v>
      </c>
      <c r="Q410" s="15">
        <f ca="1">STDEV(P410:OFFSET(P410,-$Q$5+1,0))</f>
        <v>1.3086849354897032</v>
      </c>
      <c r="R410" s="15">
        <f ca="1">STDEV(P410:OFFSET(P410,-$R$5+1,0))</f>
        <v>1.0680069039185156</v>
      </c>
      <c r="S410" s="18">
        <f t="shared" si="73"/>
        <v>92.699999999999818</v>
      </c>
      <c r="T410" s="18">
        <f t="shared" si="74"/>
        <v>103.84000000000015</v>
      </c>
      <c r="U410" s="18">
        <f t="shared" si="82"/>
        <v>86.571360583662155</v>
      </c>
      <c r="V410" s="33">
        <f ca="1">AVERAGE(E410:OFFSET(E410,-V$5+1,0))</f>
        <v>6591.0857142857139</v>
      </c>
      <c r="W410" s="33">
        <f t="shared" ca="1" si="75"/>
        <v>6720.9427551612071</v>
      </c>
      <c r="X410" s="33">
        <f t="shared" ca="1" si="76"/>
        <v>6461.2286734102208</v>
      </c>
      <c r="Y410" s="32">
        <f t="shared" ca="1" si="83"/>
        <v>-1</v>
      </c>
    </row>
    <row r="411" spans="1:25">
      <c r="A411" s="5">
        <v>38958</v>
      </c>
      <c r="B411" s="4">
        <v>6485.98</v>
      </c>
      <c r="C411" s="4">
        <v>6500.89</v>
      </c>
      <c r="D411" s="4">
        <v>6460.67</v>
      </c>
      <c r="E411" s="4">
        <v>6479.91</v>
      </c>
      <c r="F411" s="4">
        <v>2170800</v>
      </c>
      <c r="G411" s="8">
        <f t="shared" si="85"/>
        <v>41.219999999999345</v>
      </c>
      <c r="H411" s="8">
        <f t="shared" si="84"/>
        <v>-6.069999999999709</v>
      </c>
      <c r="I411" s="20">
        <f t="shared" ca="1" si="77"/>
        <v>0</v>
      </c>
      <c r="J411" s="8">
        <f t="shared" ca="1" si="78"/>
        <v>-2</v>
      </c>
      <c r="K411" s="8">
        <f t="shared" ca="1" si="79"/>
        <v>-29.079999999999927</v>
      </c>
      <c r="L411" s="8">
        <f t="shared" ca="1" si="80"/>
        <v>1201.0000000000018</v>
      </c>
      <c r="M411" s="9">
        <f ca="1">AVERAGE(E411:OFFSET(E411,-M$5+1,0))</f>
        <v>6580.5149999999994</v>
      </c>
      <c r="N411" s="9">
        <f ca="1">AVERAGE(E411:OFFSET(E411,-N$5+1,0))</f>
        <v>6552.5105000000003</v>
      </c>
      <c r="O411" s="9">
        <f t="shared" ca="1" si="81"/>
        <v>0</v>
      </c>
      <c r="P411" s="14">
        <f t="shared" si="86"/>
        <v>0.54392238501732548</v>
      </c>
      <c r="Q411" s="15">
        <f ca="1">STDEV(P411:OFFSET(P411,-$Q$5+1,0))</f>
        <v>1.3306798855496</v>
      </c>
      <c r="R411" s="15">
        <f ca="1">STDEV(P411:OFFSET(P411,-$R$5+1,0))</f>
        <v>1.0716079199653097</v>
      </c>
      <c r="S411" s="18">
        <f t="shared" si="73"/>
        <v>40.220000000000255</v>
      </c>
      <c r="T411" s="18">
        <f t="shared" si="74"/>
        <v>56.130000000000109</v>
      </c>
      <c r="U411" s="18">
        <f t="shared" si="82"/>
        <v>82.512512505840547</v>
      </c>
      <c r="V411" s="33">
        <f ca="1">AVERAGE(E411:OFFSET(E411,-V$5+1,0))</f>
        <v>6584.420714285714</v>
      </c>
      <c r="W411" s="33">
        <f t="shared" ca="1" si="75"/>
        <v>6708.1894830444744</v>
      </c>
      <c r="X411" s="33">
        <f t="shared" ca="1" si="76"/>
        <v>6460.6519455269536</v>
      </c>
      <c r="Y411" s="32">
        <f t="shared" ca="1" si="83"/>
        <v>0</v>
      </c>
    </row>
    <row r="412" spans="1:25">
      <c r="A412" s="5">
        <v>38959</v>
      </c>
      <c r="B412" s="4">
        <v>6523.68</v>
      </c>
      <c r="C412" s="4">
        <v>6602.81</v>
      </c>
      <c r="D412" s="4">
        <v>6523.68</v>
      </c>
      <c r="E412" s="4">
        <v>6587.12</v>
      </c>
      <c r="F412" s="4">
        <v>2964000</v>
      </c>
      <c r="G412" s="8">
        <f t="shared" si="85"/>
        <v>43.770000000000437</v>
      </c>
      <c r="H412" s="8">
        <f t="shared" si="84"/>
        <v>63.4399999999996</v>
      </c>
      <c r="I412" s="20">
        <f t="shared" ca="1" si="77"/>
        <v>0</v>
      </c>
      <c r="J412" s="8">
        <f t="shared" ca="1" si="78"/>
        <v>-2</v>
      </c>
      <c r="K412" s="8">
        <f t="shared" ca="1" si="79"/>
        <v>-214.42000000000007</v>
      </c>
      <c r="L412" s="8">
        <f t="shared" ca="1" si="80"/>
        <v>986.58000000000175</v>
      </c>
      <c r="M412" s="9">
        <f ca="1">AVERAGE(E412:OFFSET(E412,-M$5+1,0))</f>
        <v>6569.5640000000003</v>
      </c>
      <c r="N412" s="9">
        <f ca="1">AVERAGE(E412:OFFSET(E412,-N$5+1,0))</f>
        <v>6558.2955000000002</v>
      </c>
      <c r="O412" s="9">
        <f t="shared" ca="1" si="81"/>
        <v>0</v>
      </c>
      <c r="P412" s="14">
        <f t="shared" si="86"/>
        <v>1.6409605815305921</v>
      </c>
      <c r="Q412" s="15">
        <f ca="1">STDEV(P412:OFFSET(P412,-$Q$5+1,0))</f>
        <v>1.3858178304737825</v>
      </c>
      <c r="R412" s="15">
        <f ca="1">STDEV(P412:OFFSET(P412,-$R$5+1,0))</f>
        <v>1.0928684646922684</v>
      </c>
      <c r="S412" s="18">
        <f t="shared" si="73"/>
        <v>79.130000000000109</v>
      </c>
      <c r="T412" s="18">
        <f t="shared" si="74"/>
        <v>122.90000000000055</v>
      </c>
      <c r="U412" s="18">
        <f t="shared" si="82"/>
        <v>87.89751083839522</v>
      </c>
      <c r="V412" s="33">
        <f ca="1">AVERAGE(E412:OFFSET(E412,-V$5+1,0))</f>
        <v>6585.028571428571</v>
      </c>
      <c r="W412" s="33">
        <f t="shared" ca="1" si="75"/>
        <v>6716.874837686164</v>
      </c>
      <c r="X412" s="33">
        <f t="shared" ca="1" si="76"/>
        <v>6453.182305170978</v>
      </c>
      <c r="Y412" s="32">
        <f t="shared" ca="1" si="83"/>
        <v>0</v>
      </c>
    </row>
    <row r="413" spans="1:25">
      <c r="A413" s="5">
        <v>38960</v>
      </c>
      <c r="B413" s="4">
        <v>6647.67</v>
      </c>
      <c r="C413" s="4">
        <v>6667.62</v>
      </c>
      <c r="D413" s="4">
        <v>6611.77</v>
      </c>
      <c r="E413" s="4">
        <v>6611.77</v>
      </c>
      <c r="F413" s="4">
        <v>2909800</v>
      </c>
      <c r="G413" s="8">
        <f t="shared" si="85"/>
        <v>60.550000000000182</v>
      </c>
      <c r="H413" s="8">
        <f t="shared" si="84"/>
        <v>-35.899999999999636</v>
      </c>
      <c r="I413" s="20">
        <f t="shared" ca="1" si="77"/>
        <v>0</v>
      </c>
      <c r="J413" s="8">
        <f t="shared" ca="1" si="78"/>
        <v>-2</v>
      </c>
      <c r="K413" s="8">
        <f t="shared" ca="1" si="79"/>
        <v>-49.300000000001091</v>
      </c>
      <c r="L413" s="8">
        <f t="shared" ca="1" si="80"/>
        <v>937.28000000000065</v>
      </c>
      <c r="M413" s="9">
        <f ca="1">AVERAGE(E413:OFFSET(E413,-M$5+1,0))</f>
        <v>6557.3949999999995</v>
      </c>
      <c r="N413" s="9">
        <f ca="1">AVERAGE(E413:OFFSET(E413,-N$5+1,0))</f>
        <v>6565.7679999999991</v>
      </c>
      <c r="O413" s="9">
        <f t="shared" ca="1" si="81"/>
        <v>-1</v>
      </c>
      <c r="P413" s="14">
        <f t="shared" si="86"/>
        <v>0.37351669206490146</v>
      </c>
      <c r="Q413" s="15">
        <f ca="1">STDEV(P413:OFFSET(P413,-$Q$5+1,0))</f>
        <v>1.3768869450849113</v>
      </c>
      <c r="R413" s="15">
        <f ca="1">STDEV(P413:OFFSET(P413,-$R$5+1,0))</f>
        <v>1.0947071390790823</v>
      </c>
      <c r="S413" s="18">
        <f t="shared" si="73"/>
        <v>55.849999999999454</v>
      </c>
      <c r="T413" s="18">
        <f t="shared" si="74"/>
        <v>80.5</v>
      </c>
      <c r="U413" s="18">
        <f t="shared" si="82"/>
        <v>86.911176059942534</v>
      </c>
      <c r="V413" s="33">
        <f ca="1">AVERAGE(E413:OFFSET(E413,-V$5+1,0))</f>
        <v>6587.9335714285708</v>
      </c>
      <c r="W413" s="33">
        <f t="shared" ca="1" si="75"/>
        <v>6718.3003355184846</v>
      </c>
      <c r="X413" s="33">
        <f t="shared" ca="1" si="76"/>
        <v>6457.5668073386569</v>
      </c>
      <c r="Y413" s="32">
        <f t="shared" ca="1" si="83"/>
        <v>0</v>
      </c>
    </row>
    <row r="414" spans="1:25">
      <c r="A414" s="5">
        <v>38961</v>
      </c>
      <c r="B414" s="4">
        <v>6631.83</v>
      </c>
      <c r="C414" s="4">
        <v>6658.13</v>
      </c>
      <c r="D414" s="4">
        <v>6625.23</v>
      </c>
      <c r="E414" s="4">
        <v>6651.46</v>
      </c>
      <c r="F414" s="4">
        <v>2553800</v>
      </c>
      <c r="G414" s="8">
        <f t="shared" si="85"/>
        <v>20.059999999999491</v>
      </c>
      <c r="H414" s="8">
        <f t="shared" si="84"/>
        <v>19.630000000000109</v>
      </c>
      <c r="I414" s="20">
        <f t="shared" ca="1" si="77"/>
        <v>0</v>
      </c>
      <c r="J414" s="8">
        <f t="shared" ca="1" si="78"/>
        <v>-2</v>
      </c>
      <c r="K414" s="8">
        <f t="shared" ca="1" si="79"/>
        <v>-79.3799999999992</v>
      </c>
      <c r="L414" s="8">
        <f t="shared" ca="1" si="80"/>
        <v>857.90000000000146</v>
      </c>
      <c r="M414" s="9">
        <f ca="1">AVERAGE(E414:OFFSET(E414,-M$5+1,0))</f>
        <v>6550.4329999999991</v>
      </c>
      <c r="N414" s="9">
        <f ca="1">AVERAGE(E414:OFFSET(E414,-N$5+1,0))</f>
        <v>6576.2104999999992</v>
      </c>
      <c r="O414" s="9">
        <f t="shared" ca="1" si="81"/>
        <v>0</v>
      </c>
      <c r="P414" s="14">
        <f t="shared" si="86"/>
        <v>0.59849853278185872</v>
      </c>
      <c r="Q414" s="15">
        <f ca="1">STDEV(P414:OFFSET(P414,-$Q$5+1,0))</f>
        <v>1.3988443121705172</v>
      </c>
      <c r="R414" s="15">
        <f ca="1">STDEV(P414:OFFSET(P414,-$R$5+1,0))</f>
        <v>1.0990305997229712</v>
      </c>
      <c r="S414" s="18">
        <f t="shared" si="73"/>
        <v>32.900000000000546</v>
      </c>
      <c r="T414" s="18">
        <f t="shared" si="74"/>
        <v>46.359999999999673</v>
      </c>
      <c r="U414" s="18">
        <f t="shared" si="82"/>
        <v>81.504352585283485</v>
      </c>
      <c r="V414" s="33">
        <f ca="1">AVERAGE(E414:OFFSET(E414,-V$5+1,0))</f>
        <v>6590.7592857142863</v>
      </c>
      <c r="W414" s="33">
        <f t="shared" ca="1" si="75"/>
        <v>6713.0158145922114</v>
      </c>
      <c r="X414" s="33">
        <f t="shared" ca="1" si="76"/>
        <v>6468.5027568363612</v>
      </c>
      <c r="Y414" s="32">
        <f t="shared" ca="1" si="83"/>
        <v>0</v>
      </c>
    </row>
    <row r="415" spans="1:25">
      <c r="A415" s="5">
        <v>38964</v>
      </c>
      <c r="B415" s="4">
        <v>6706.51</v>
      </c>
      <c r="C415" s="4">
        <v>6761.65</v>
      </c>
      <c r="D415" s="4">
        <v>6706.51</v>
      </c>
      <c r="E415" s="4">
        <v>6750.78</v>
      </c>
      <c r="F415" s="4">
        <v>3043600</v>
      </c>
      <c r="G415" s="8">
        <f t="shared" si="85"/>
        <v>55.050000000000182</v>
      </c>
      <c r="H415" s="8">
        <f t="shared" si="84"/>
        <v>44.269999999999527</v>
      </c>
      <c r="I415" s="20">
        <f t="shared" ca="1" si="77"/>
        <v>1</v>
      </c>
      <c r="J415" s="8">
        <f t="shared" ca="1" si="78"/>
        <v>-2</v>
      </c>
      <c r="K415" s="8">
        <f t="shared" ca="1" si="79"/>
        <v>-198.63999999999942</v>
      </c>
      <c r="L415" s="8">
        <f t="shared" ca="1" si="80"/>
        <v>659.26000000000204</v>
      </c>
      <c r="M415" s="9">
        <f ca="1">AVERAGE(E415:OFFSET(E415,-M$5+1,0))</f>
        <v>6574.9189999999999</v>
      </c>
      <c r="N415" s="9">
        <f ca="1">AVERAGE(E415:OFFSET(E415,-N$5+1,0))</f>
        <v>6592.9189999999999</v>
      </c>
      <c r="O415" s="9">
        <f t="shared" ca="1" si="81"/>
        <v>0</v>
      </c>
      <c r="P415" s="14">
        <f t="shared" si="86"/>
        <v>1.4821674321348568</v>
      </c>
      <c r="Q415" s="15">
        <f ca="1">STDEV(P415:OFFSET(P415,-$Q$5+1,0))</f>
        <v>0.94074633918473061</v>
      </c>
      <c r="R415" s="15">
        <f ca="1">STDEV(P415:OFFSET(P415,-$R$5+1,0))</f>
        <v>1.1228515047977981</v>
      </c>
      <c r="S415" s="18">
        <f t="shared" si="73"/>
        <v>55.139999999999418</v>
      </c>
      <c r="T415" s="18">
        <f t="shared" si="74"/>
        <v>110.1899999999996</v>
      </c>
      <c r="U415" s="18">
        <f t="shared" si="82"/>
        <v>85.329105573912301</v>
      </c>
      <c r="V415" s="33">
        <f ca="1">AVERAGE(E415:OFFSET(E415,-V$5+1,0))</f>
        <v>6600.4485714285711</v>
      </c>
      <c r="W415" s="33">
        <f t="shared" ca="1" si="75"/>
        <v>6728.4422297894398</v>
      </c>
      <c r="X415" s="33">
        <f t="shared" ca="1" si="76"/>
        <v>6472.4549130677024</v>
      </c>
      <c r="Y415" s="32">
        <f t="shared" ca="1" si="83"/>
        <v>1</v>
      </c>
    </row>
    <row r="416" spans="1:25">
      <c r="A416" s="5">
        <v>38965</v>
      </c>
      <c r="B416" s="4">
        <v>6764.95</v>
      </c>
      <c r="C416" s="4">
        <v>6766.81</v>
      </c>
      <c r="D416" s="4">
        <v>6725.58</v>
      </c>
      <c r="E416" s="4">
        <v>6734.73</v>
      </c>
      <c r="F416" s="4">
        <v>2724000</v>
      </c>
      <c r="G416" s="8">
        <f t="shared" si="85"/>
        <v>14.170000000000073</v>
      </c>
      <c r="H416" s="8">
        <f t="shared" si="84"/>
        <v>-30.220000000000255</v>
      </c>
      <c r="I416" s="20">
        <f t="shared" ca="1" si="77"/>
        <v>0</v>
      </c>
      <c r="J416" s="8">
        <f t="shared" ca="1" si="78"/>
        <v>-1</v>
      </c>
      <c r="K416" s="8">
        <f t="shared" ca="1" si="79"/>
        <v>1.8800000000001091</v>
      </c>
      <c r="L416" s="8">
        <f t="shared" ca="1" si="80"/>
        <v>661.14000000000215</v>
      </c>
      <c r="M416" s="9">
        <f ca="1">AVERAGE(E416:OFFSET(E416,-M$5+1,0))</f>
        <v>6589.3720000000003</v>
      </c>
      <c r="N416" s="9">
        <f ca="1">AVERAGE(E416:OFFSET(E416,-N$5+1,0))</f>
        <v>6604.5484999999999</v>
      </c>
      <c r="O416" s="9">
        <f t="shared" ca="1" si="81"/>
        <v>0</v>
      </c>
      <c r="P416" s="14">
        <f t="shared" si="86"/>
        <v>-0.23803337920863923</v>
      </c>
      <c r="Q416" s="15">
        <f ca="1">STDEV(P416:OFFSET(P416,-$Q$5+1,0))</f>
        <v>0.89810695609495816</v>
      </c>
      <c r="R416" s="15">
        <f ca="1">STDEV(P416:OFFSET(P416,-$R$5+1,0))</f>
        <v>1.1183695614438236</v>
      </c>
      <c r="S416" s="18">
        <f t="shared" si="73"/>
        <v>41.230000000000473</v>
      </c>
      <c r="T416" s="18">
        <f t="shared" si="74"/>
        <v>41.230000000000473</v>
      </c>
      <c r="U416" s="18">
        <f t="shared" si="82"/>
        <v>79.449224830724063</v>
      </c>
      <c r="V416" s="33">
        <f ca="1">AVERAGE(E416:OFFSET(E416,-V$5+1,0))</f>
        <v>6603.17</v>
      </c>
      <c r="W416" s="33">
        <f t="shared" ca="1" si="75"/>
        <v>6722.343837246086</v>
      </c>
      <c r="X416" s="33">
        <f t="shared" ca="1" si="76"/>
        <v>6483.9961627539142</v>
      </c>
      <c r="Y416" s="32">
        <f t="shared" ca="1" si="83"/>
        <v>0</v>
      </c>
    </row>
    <row r="417" spans="1:25">
      <c r="A417" s="5">
        <v>38966</v>
      </c>
      <c r="B417" s="4">
        <v>6712.8</v>
      </c>
      <c r="C417" s="4">
        <v>6747.98</v>
      </c>
      <c r="D417" s="4">
        <v>6661.56</v>
      </c>
      <c r="E417" s="4">
        <v>6688.4</v>
      </c>
      <c r="F417" s="4">
        <v>2688400</v>
      </c>
      <c r="G417" s="8">
        <f t="shared" si="85"/>
        <v>-21.929999999999382</v>
      </c>
      <c r="H417" s="8">
        <f t="shared" si="84"/>
        <v>-24.400000000000546</v>
      </c>
      <c r="I417" s="20">
        <f t="shared" ca="1" si="77"/>
        <v>0</v>
      </c>
      <c r="J417" s="8">
        <f t="shared" ca="1" si="78"/>
        <v>-1</v>
      </c>
      <c r="K417" s="8">
        <f t="shared" ca="1" si="79"/>
        <v>46.329999999999927</v>
      </c>
      <c r="L417" s="8">
        <f t="shared" ca="1" si="80"/>
        <v>707.47000000000207</v>
      </c>
      <c r="M417" s="9">
        <f ca="1">AVERAGE(E417:OFFSET(E417,-M$5+1,0))</f>
        <v>6602.5789999999997</v>
      </c>
      <c r="N417" s="9">
        <f ca="1">AVERAGE(E417:OFFSET(E417,-N$5+1,0))</f>
        <v>6610.3074999999999</v>
      </c>
      <c r="O417" s="9">
        <f t="shared" ca="1" si="81"/>
        <v>0</v>
      </c>
      <c r="P417" s="14">
        <f t="shared" si="86"/>
        <v>-0.69030373655017829</v>
      </c>
      <c r="Q417" s="15">
        <f ca="1">STDEV(P417:OFFSET(P417,-$Q$5+1,0))</f>
        <v>0.91549991109382645</v>
      </c>
      <c r="R417" s="15">
        <f ca="1">STDEV(P417:OFFSET(P417,-$R$5+1,0))</f>
        <v>1.1241464173879701</v>
      </c>
      <c r="S417" s="18">
        <f t="shared" si="73"/>
        <v>86.419999999999163</v>
      </c>
      <c r="T417" s="18">
        <f t="shared" si="74"/>
        <v>86.419999999999163</v>
      </c>
      <c r="U417" s="18">
        <f t="shared" si="82"/>
        <v>80.378661519960744</v>
      </c>
      <c r="V417" s="33">
        <f ca="1">AVERAGE(E417:OFFSET(E417,-V$5+1,0))</f>
        <v>6599.9514285714276</v>
      </c>
      <c r="W417" s="33">
        <f t="shared" ca="1" si="75"/>
        <v>6720.5194208513685</v>
      </c>
      <c r="X417" s="33">
        <f t="shared" ca="1" si="76"/>
        <v>6479.3834362914868</v>
      </c>
      <c r="Y417" s="32">
        <f t="shared" ca="1" si="83"/>
        <v>0</v>
      </c>
    </row>
    <row r="418" spans="1:25">
      <c r="A418" s="5">
        <v>38967</v>
      </c>
      <c r="B418" s="4">
        <v>6638.79</v>
      </c>
      <c r="C418" s="4">
        <v>6689.2</v>
      </c>
      <c r="D418" s="4">
        <v>6630.25</v>
      </c>
      <c r="E418" s="4">
        <v>6685.23</v>
      </c>
      <c r="F418" s="4">
        <v>2200600</v>
      </c>
      <c r="G418" s="8">
        <f t="shared" si="85"/>
        <v>-49.609999999999673</v>
      </c>
      <c r="H418" s="8">
        <f t="shared" si="84"/>
        <v>46.4399999999996</v>
      </c>
      <c r="I418" s="20">
        <f t="shared" ca="1" si="77"/>
        <v>0</v>
      </c>
      <c r="J418" s="8">
        <f t="shared" ca="1" si="78"/>
        <v>-1</v>
      </c>
      <c r="K418" s="8">
        <f t="shared" ca="1" si="79"/>
        <v>3.1700000000000728</v>
      </c>
      <c r="L418" s="8">
        <f t="shared" ca="1" si="80"/>
        <v>710.64000000000215</v>
      </c>
      <c r="M418" s="9">
        <f ca="1">AVERAGE(E418:OFFSET(E418,-M$5+1,0))</f>
        <v>6616.0380000000005</v>
      </c>
      <c r="N418" s="9">
        <f ca="1">AVERAGE(E418:OFFSET(E418,-N$5+1,0))</f>
        <v>6615.6384999999991</v>
      </c>
      <c r="O418" s="9">
        <f t="shared" ca="1" si="81"/>
        <v>1</v>
      </c>
      <c r="P418" s="14">
        <f t="shared" si="86"/>
        <v>-4.7406725913142711E-2</v>
      </c>
      <c r="Q418" s="15">
        <f ca="1">STDEV(P418:OFFSET(P418,-$Q$5+1,0))</f>
        <v>0.91421440866396131</v>
      </c>
      <c r="R418" s="15">
        <f ca="1">STDEV(P418:OFFSET(P418,-$R$5+1,0))</f>
        <v>1.1118236566514863</v>
      </c>
      <c r="S418" s="18">
        <f t="shared" si="73"/>
        <v>58.949999999999818</v>
      </c>
      <c r="T418" s="18">
        <f t="shared" si="74"/>
        <v>58.949999999999818</v>
      </c>
      <c r="U418" s="18">
        <f t="shared" si="82"/>
        <v>77.521506650632617</v>
      </c>
      <c r="V418" s="33">
        <f ca="1">AVERAGE(E418:OFFSET(E418,-V$5+1,0))</f>
        <v>6597.3907142857133</v>
      </c>
      <c r="W418" s="33">
        <f t="shared" ca="1" si="75"/>
        <v>6713.6729742616626</v>
      </c>
      <c r="X418" s="33">
        <f t="shared" ca="1" si="76"/>
        <v>6481.1084543097641</v>
      </c>
      <c r="Y418" s="32">
        <f t="shared" ca="1" si="83"/>
        <v>0</v>
      </c>
    </row>
    <row r="419" spans="1:25">
      <c r="A419" s="5">
        <v>38968</v>
      </c>
      <c r="B419" s="4">
        <v>6664.11</v>
      </c>
      <c r="C419" s="4">
        <v>6718.83</v>
      </c>
      <c r="D419" s="4">
        <v>6654.77</v>
      </c>
      <c r="E419" s="4">
        <v>6693.11</v>
      </c>
      <c r="F419" s="4">
        <v>2326000</v>
      </c>
      <c r="G419" s="8">
        <f t="shared" si="85"/>
        <v>-21.119999999999891</v>
      </c>
      <c r="H419" s="8">
        <f t="shared" si="84"/>
        <v>29</v>
      </c>
      <c r="I419" s="20">
        <f t="shared" ca="1" si="77"/>
        <v>0</v>
      </c>
      <c r="J419" s="8">
        <f t="shared" ca="1" si="78"/>
        <v>-1</v>
      </c>
      <c r="K419" s="8">
        <f t="shared" ca="1" si="79"/>
        <v>-7.8800000000001091</v>
      </c>
      <c r="L419" s="8">
        <f t="shared" ca="1" si="80"/>
        <v>702.76000000000204</v>
      </c>
      <c r="M419" s="9">
        <f ca="1">AVERAGE(E419:OFFSET(E419,-M$5+1,0))</f>
        <v>6632.7270000000008</v>
      </c>
      <c r="N419" s="9">
        <f ca="1">AVERAGE(E419:OFFSET(E419,-N$5+1,0))</f>
        <v>6621.7389999999987</v>
      </c>
      <c r="O419" s="9">
        <f t="shared" ca="1" si="81"/>
        <v>0</v>
      </c>
      <c r="P419" s="14">
        <f t="shared" si="86"/>
        <v>0.11780237176335863</v>
      </c>
      <c r="Q419" s="15">
        <f ca="1">STDEV(P419:OFFSET(P419,-$Q$5+1,0))</f>
        <v>0.89271793009473366</v>
      </c>
      <c r="R419" s="15">
        <f ca="1">STDEV(P419:OFFSET(P419,-$R$5+1,0))</f>
        <v>1.053447031410311</v>
      </c>
      <c r="S419" s="18">
        <f t="shared" si="73"/>
        <v>64.059999999999491</v>
      </c>
      <c r="T419" s="18">
        <f t="shared" si="74"/>
        <v>64.059999999999491</v>
      </c>
      <c r="U419" s="18">
        <f t="shared" si="82"/>
        <v>75.726639097214871</v>
      </c>
      <c r="V419" s="33">
        <f ca="1">AVERAGE(E419:OFFSET(E419,-V$5+1,0))</f>
        <v>6610.761428571428</v>
      </c>
      <c r="W419" s="33">
        <f t="shared" ca="1" si="75"/>
        <v>6724.3513872172507</v>
      </c>
      <c r="X419" s="33">
        <f t="shared" ca="1" si="76"/>
        <v>6497.1714699256054</v>
      </c>
      <c r="Y419" s="32">
        <f t="shared" ca="1" si="83"/>
        <v>0</v>
      </c>
    </row>
    <row r="420" spans="1:25">
      <c r="A420" s="5">
        <v>38971</v>
      </c>
      <c r="B420" s="4">
        <v>6714.36</v>
      </c>
      <c r="C420" s="4">
        <v>6802.84</v>
      </c>
      <c r="D420" s="4">
        <v>6674.55</v>
      </c>
      <c r="E420" s="4">
        <v>6693.88</v>
      </c>
      <c r="F420" s="4">
        <v>2738200</v>
      </c>
      <c r="G420" s="8">
        <f t="shared" si="85"/>
        <v>21.25</v>
      </c>
      <c r="H420" s="8">
        <f t="shared" si="84"/>
        <v>-20.479999999999563</v>
      </c>
      <c r="I420" s="20">
        <f t="shared" ca="1" si="77"/>
        <v>0</v>
      </c>
      <c r="J420" s="8">
        <f t="shared" ca="1" si="78"/>
        <v>-1</v>
      </c>
      <c r="K420" s="8">
        <f t="shared" ca="1" si="79"/>
        <v>-0.77000000000043656</v>
      </c>
      <c r="L420" s="8">
        <f t="shared" ca="1" si="80"/>
        <v>701.9900000000016</v>
      </c>
      <c r="M420" s="9">
        <f ca="1">AVERAGE(E420:OFFSET(E420,-M$5+1,0))</f>
        <v>6657.639000000001</v>
      </c>
      <c r="N420" s="9">
        <f ca="1">AVERAGE(E420:OFFSET(E420,-N$5+1,0))</f>
        <v>6625.8379999999988</v>
      </c>
      <c r="O420" s="9">
        <f t="shared" ca="1" si="81"/>
        <v>0</v>
      </c>
      <c r="P420" s="14">
        <f t="shared" si="86"/>
        <v>1.1503706222973238E-2</v>
      </c>
      <c r="Q420" s="15">
        <f ca="1">STDEV(P420:OFFSET(P420,-$Q$5+1,0))</f>
        <v>0.72985328530484506</v>
      </c>
      <c r="R420" s="15">
        <f ca="1">STDEV(P420:OFFSET(P420,-$R$5+1,0))</f>
        <v>0.95206388607049097</v>
      </c>
      <c r="S420" s="18">
        <f t="shared" si="73"/>
        <v>128.28999999999996</v>
      </c>
      <c r="T420" s="18">
        <f t="shared" si="74"/>
        <v>128.28999999999996</v>
      </c>
      <c r="U420" s="18">
        <f t="shared" si="82"/>
        <v>82.735087217586226</v>
      </c>
      <c r="V420" s="33">
        <f ca="1">AVERAGE(E420:OFFSET(E420,-V$5+1,0))</f>
        <v>6618.1671428571426</v>
      </c>
      <c r="W420" s="33">
        <f t="shared" ca="1" si="75"/>
        <v>6742.2697736835216</v>
      </c>
      <c r="X420" s="33">
        <f t="shared" ca="1" si="76"/>
        <v>6494.0645120307636</v>
      </c>
      <c r="Y420" s="32">
        <f t="shared" ca="1" si="83"/>
        <v>0</v>
      </c>
    </row>
    <row r="421" spans="1:25">
      <c r="A421" s="5">
        <v>38972</v>
      </c>
      <c r="B421" s="4">
        <v>6698.38</v>
      </c>
      <c r="C421" s="4">
        <v>6698.38</v>
      </c>
      <c r="D421" s="4">
        <v>6620.71</v>
      </c>
      <c r="E421" s="4">
        <v>6625.73</v>
      </c>
      <c r="F421" s="4">
        <v>2422000</v>
      </c>
      <c r="G421" s="8">
        <f t="shared" si="85"/>
        <v>4.5</v>
      </c>
      <c r="H421" s="8">
        <f t="shared" si="84"/>
        <v>-72.650000000000546</v>
      </c>
      <c r="I421" s="20">
        <f t="shared" ca="1" si="77"/>
        <v>0</v>
      </c>
      <c r="J421" s="8">
        <f t="shared" ca="1" si="78"/>
        <v>-1</v>
      </c>
      <c r="K421" s="8">
        <f t="shared" ca="1" si="79"/>
        <v>68.150000000000546</v>
      </c>
      <c r="L421" s="8">
        <f t="shared" ca="1" si="80"/>
        <v>770.14000000000215</v>
      </c>
      <c r="M421" s="9">
        <f ca="1">AVERAGE(E421:OFFSET(E421,-M$5+1,0))</f>
        <v>6672.2210000000005</v>
      </c>
      <c r="N421" s="9">
        <f ca="1">AVERAGE(E421:OFFSET(E421,-N$5+1,0))</f>
        <v>6626.3679999999995</v>
      </c>
      <c r="O421" s="9">
        <f t="shared" ca="1" si="81"/>
        <v>0</v>
      </c>
      <c r="P421" s="14">
        <f t="shared" si="86"/>
        <v>-1.0233121645904175</v>
      </c>
      <c r="Q421" s="15">
        <f ca="1">STDEV(P421:OFFSET(P421,-$Q$5+1,0))</f>
        <v>0.84909452802580621</v>
      </c>
      <c r="R421" s="15">
        <f ca="1">STDEV(P421:OFFSET(P421,-$R$5+1,0))</f>
        <v>0.9693289687886637</v>
      </c>
      <c r="S421" s="18">
        <f t="shared" si="73"/>
        <v>77.670000000000073</v>
      </c>
      <c r="T421" s="18">
        <f t="shared" si="74"/>
        <v>77.670000000000073</v>
      </c>
      <c r="U421" s="18">
        <f t="shared" si="82"/>
        <v>82.059742255241403</v>
      </c>
      <c r="V421" s="33">
        <f ca="1">AVERAGE(E421:OFFSET(E421,-V$5+1,0))</f>
        <v>6623.1242857142852</v>
      </c>
      <c r="W421" s="33">
        <f t="shared" ca="1" si="75"/>
        <v>6746.2138990971471</v>
      </c>
      <c r="X421" s="33">
        <f t="shared" ca="1" si="76"/>
        <v>6500.0346723314233</v>
      </c>
      <c r="Y421" s="32">
        <f t="shared" ca="1" si="83"/>
        <v>0</v>
      </c>
    </row>
    <row r="422" spans="1:25">
      <c r="A422" s="5">
        <v>38973</v>
      </c>
      <c r="B422" s="4">
        <v>6687.71</v>
      </c>
      <c r="C422" s="4">
        <v>6690.29</v>
      </c>
      <c r="D422" s="4">
        <v>6631.97</v>
      </c>
      <c r="E422" s="4">
        <v>6664.87</v>
      </c>
      <c r="F422" s="4">
        <v>2316600</v>
      </c>
      <c r="G422" s="8">
        <f t="shared" si="85"/>
        <v>61.980000000000473</v>
      </c>
      <c r="H422" s="8">
        <f t="shared" si="84"/>
        <v>-22.840000000000146</v>
      </c>
      <c r="I422" s="20">
        <f t="shared" ca="1" si="77"/>
        <v>0</v>
      </c>
      <c r="J422" s="8">
        <f t="shared" ca="1" si="78"/>
        <v>-1</v>
      </c>
      <c r="K422" s="8">
        <f t="shared" ca="1" si="79"/>
        <v>-39.140000000000327</v>
      </c>
      <c r="L422" s="8">
        <f t="shared" ca="1" si="80"/>
        <v>731.00000000000182</v>
      </c>
      <c r="M422" s="9">
        <f ca="1">AVERAGE(E422:OFFSET(E422,-M$5+1,0))</f>
        <v>6679.9959999999992</v>
      </c>
      <c r="N422" s="9">
        <f ca="1">AVERAGE(E422:OFFSET(E422,-N$5+1,0))</f>
        <v>6624.7800000000007</v>
      </c>
      <c r="O422" s="9">
        <f t="shared" ca="1" si="81"/>
        <v>0</v>
      </c>
      <c r="P422" s="14">
        <f t="shared" si="86"/>
        <v>0.58898940830258462</v>
      </c>
      <c r="Q422" s="15">
        <f ca="1">STDEV(P422:OFFSET(P422,-$Q$5+1,0))</f>
        <v>0.7071347614790281</v>
      </c>
      <c r="R422" s="15">
        <f ca="1">STDEV(P422:OFFSET(P422,-$R$5+1,0))</f>
        <v>0.97102464093789398</v>
      </c>
      <c r="S422" s="18">
        <f t="shared" si="73"/>
        <v>58.319999999999709</v>
      </c>
      <c r="T422" s="18">
        <f t="shared" si="74"/>
        <v>64.5600000000004</v>
      </c>
      <c r="U422" s="18">
        <f t="shared" si="82"/>
        <v>79.726443287875952</v>
      </c>
      <c r="V422" s="33">
        <f ca="1">AVERAGE(E422:OFFSET(E422,-V$5+1,0))</f>
        <v>6631.2835714285711</v>
      </c>
      <c r="W422" s="33">
        <f t="shared" ca="1" si="75"/>
        <v>6750.8732363603849</v>
      </c>
      <c r="X422" s="33">
        <f t="shared" ca="1" si="76"/>
        <v>6511.6939064967573</v>
      </c>
      <c r="Y422" s="32">
        <f t="shared" ca="1" si="83"/>
        <v>0</v>
      </c>
    </row>
    <row r="423" spans="1:25">
      <c r="A423" s="5">
        <v>38974</v>
      </c>
      <c r="B423" s="4">
        <v>6687.57</v>
      </c>
      <c r="C423" s="4">
        <v>6691.51</v>
      </c>
      <c r="D423" s="4">
        <v>6550.03</v>
      </c>
      <c r="E423" s="4">
        <v>6598.87</v>
      </c>
      <c r="F423" s="4">
        <v>2937200</v>
      </c>
      <c r="G423" s="8">
        <f t="shared" si="85"/>
        <v>22.699999999999818</v>
      </c>
      <c r="H423" s="8">
        <f t="shared" si="84"/>
        <v>-88.699999999999818</v>
      </c>
      <c r="I423" s="20">
        <f t="shared" ca="1" si="77"/>
        <v>0</v>
      </c>
      <c r="J423" s="8">
        <f t="shared" ca="1" si="78"/>
        <v>-1</v>
      </c>
      <c r="K423" s="8">
        <f t="shared" ca="1" si="79"/>
        <v>66</v>
      </c>
      <c r="L423" s="8">
        <f t="shared" ca="1" si="80"/>
        <v>797.00000000000182</v>
      </c>
      <c r="M423" s="9">
        <f ca="1">AVERAGE(E423:OFFSET(E423,-M$5+1,0))</f>
        <v>6678.706000000001</v>
      </c>
      <c r="N423" s="9">
        <f ca="1">AVERAGE(E423:OFFSET(E423,-N$5+1,0))</f>
        <v>6618.0504999999994</v>
      </c>
      <c r="O423" s="9">
        <f t="shared" ca="1" si="81"/>
        <v>0</v>
      </c>
      <c r="P423" s="14">
        <f t="shared" si="86"/>
        <v>-0.99520263115309959</v>
      </c>
      <c r="Q423" s="15">
        <f ca="1">STDEV(P423:OFFSET(P423,-$Q$5+1,0))</f>
        <v>0.78067972860542034</v>
      </c>
      <c r="R423" s="15">
        <f ca="1">STDEV(P423:OFFSET(P423,-$R$5+1,0))</f>
        <v>0.90108137919390618</v>
      </c>
      <c r="S423" s="18">
        <f t="shared" si="73"/>
        <v>141.48000000000047</v>
      </c>
      <c r="T423" s="18">
        <f t="shared" si="74"/>
        <v>141.48000000000047</v>
      </c>
      <c r="U423" s="18">
        <f t="shared" si="82"/>
        <v>87.960250849492553</v>
      </c>
      <c r="V423" s="33">
        <f ca="1">AVERAGE(E423:OFFSET(E423,-V$5+1,0))</f>
        <v>6636.4728571428568</v>
      </c>
      <c r="W423" s="33">
        <f t="shared" ca="1" si="75"/>
        <v>6768.4132334170954</v>
      </c>
      <c r="X423" s="33">
        <f t="shared" ca="1" si="76"/>
        <v>6504.5324808686182</v>
      </c>
      <c r="Y423" s="32">
        <f t="shared" ca="1" si="83"/>
        <v>0</v>
      </c>
    </row>
    <row r="424" spans="1:25">
      <c r="A424" s="5">
        <v>38975</v>
      </c>
      <c r="B424" s="4">
        <v>6585.03</v>
      </c>
      <c r="C424" s="4">
        <v>6681.09</v>
      </c>
      <c r="D424" s="4">
        <v>6575.87</v>
      </c>
      <c r="E424" s="4">
        <v>6681.09</v>
      </c>
      <c r="F424" s="4">
        <v>2236400</v>
      </c>
      <c r="G424" s="8">
        <f t="shared" si="85"/>
        <v>-13.840000000000146</v>
      </c>
      <c r="H424" s="8">
        <f t="shared" si="84"/>
        <v>96.0600000000004</v>
      </c>
      <c r="I424" s="20">
        <f t="shared" ca="1" si="77"/>
        <v>0</v>
      </c>
      <c r="J424" s="8">
        <f t="shared" ca="1" si="78"/>
        <v>-1</v>
      </c>
      <c r="K424" s="8">
        <f t="shared" ca="1" si="79"/>
        <v>-82.220000000000255</v>
      </c>
      <c r="L424" s="8">
        <f t="shared" ca="1" si="80"/>
        <v>714.78000000000156</v>
      </c>
      <c r="M424" s="9">
        <f ca="1">AVERAGE(E424:OFFSET(E424,-M$5+1,0))</f>
        <v>6681.668999999999</v>
      </c>
      <c r="N424" s="9">
        <f ca="1">AVERAGE(E424:OFFSET(E424,-N$5+1,0))</f>
        <v>6616.0509999999995</v>
      </c>
      <c r="O424" s="9">
        <f t="shared" ca="1" si="81"/>
        <v>0</v>
      </c>
      <c r="P424" s="14">
        <f t="shared" si="86"/>
        <v>1.2382725637177185</v>
      </c>
      <c r="Q424" s="15">
        <f ca="1">STDEV(P424:OFFSET(P424,-$Q$5+1,0))</f>
        <v>0.85921955083004753</v>
      </c>
      <c r="R424" s="15">
        <f ca="1">STDEV(P424:OFFSET(P424,-$R$5+1,0))</f>
        <v>0.91717803113495289</v>
      </c>
      <c r="S424" s="18">
        <f t="shared" si="73"/>
        <v>105.22000000000025</v>
      </c>
      <c r="T424" s="18">
        <f t="shared" si="74"/>
        <v>105.22000000000025</v>
      </c>
      <c r="U424" s="18">
        <f t="shared" si="82"/>
        <v>90.261550736226923</v>
      </c>
      <c r="V424" s="33">
        <f ca="1">AVERAGE(E424:OFFSET(E424,-V$5+1,0))</f>
        <v>6653.3535714285708</v>
      </c>
      <c r="W424" s="33">
        <f t="shared" ca="1" si="75"/>
        <v>6788.7458975329109</v>
      </c>
      <c r="X424" s="33">
        <f t="shared" ca="1" si="76"/>
        <v>6517.9612453242307</v>
      </c>
      <c r="Y424" s="32">
        <f t="shared" ca="1" si="83"/>
        <v>0</v>
      </c>
    </row>
    <row r="425" spans="1:25">
      <c r="A425" s="5">
        <v>38978</v>
      </c>
      <c r="B425" s="4">
        <v>6784.77</v>
      </c>
      <c r="C425" s="4">
        <v>6886.3</v>
      </c>
      <c r="D425" s="4">
        <v>6775.12</v>
      </c>
      <c r="E425" s="4">
        <v>6882.48</v>
      </c>
      <c r="F425" s="4">
        <v>3550400</v>
      </c>
      <c r="G425" s="8">
        <f t="shared" si="85"/>
        <v>103.68000000000029</v>
      </c>
      <c r="H425" s="8">
        <f t="shared" si="84"/>
        <v>97.709999999999127</v>
      </c>
      <c r="I425" s="20">
        <f t="shared" ca="1" si="77"/>
        <v>1</v>
      </c>
      <c r="J425" s="8">
        <f t="shared" ca="1" si="78"/>
        <v>-1</v>
      </c>
      <c r="K425" s="8">
        <f t="shared" ca="1" si="79"/>
        <v>-201.38999999999942</v>
      </c>
      <c r="L425" s="8">
        <f t="shared" ca="1" si="80"/>
        <v>513.39000000000215</v>
      </c>
      <c r="M425" s="9">
        <f ca="1">AVERAGE(E425:OFFSET(E425,-M$5+1,0))</f>
        <v>6694.8389999999999</v>
      </c>
      <c r="N425" s="9">
        <f ca="1">AVERAGE(E425:OFFSET(E425,-N$5+1,0))</f>
        <v>6634.878999999999</v>
      </c>
      <c r="O425" s="9">
        <f t="shared" ca="1" si="81"/>
        <v>0</v>
      </c>
      <c r="P425" s="14">
        <f t="shared" si="86"/>
        <v>2.9697904219712918</v>
      </c>
      <c r="Q425" s="15">
        <f ca="1">STDEV(P425:OFFSET(P425,-$Q$5+1,0))</f>
        <v>1.1978505736798641</v>
      </c>
      <c r="R425" s="15">
        <f ca="1">STDEV(P425:OFFSET(P425,-$R$5+1,0))</f>
        <v>1.0072909832271568</v>
      </c>
      <c r="S425" s="18">
        <f t="shared" si="73"/>
        <v>111.18000000000029</v>
      </c>
      <c r="T425" s="18">
        <f t="shared" si="74"/>
        <v>205.21000000000004</v>
      </c>
      <c r="U425" s="18">
        <f t="shared" si="82"/>
        <v>105.58801063806334</v>
      </c>
      <c r="V425" s="33">
        <f ca="1">AVERAGE(E425:OFFSET(E425,-V$5+1,0))</f>
        <v>6682.1085714285709</v>
      </c>
      <c r="W425" s="33">
        <f t="shared" ca="1" si="75"/>
        <v>6840.490587385666</v>
      </c>
      <c r="X425" s="33">
        <f t="shared" ca="1" si="76"/>
        <v>6523.7265554714759</v>
      </c>
      <c r="Y425" s="32">
        <f t="shared" ca="1" si="83"/>
        <v>1</v>
      </c>
    </row>
    <row r="426" spans="1:25">
      <c r="A426" s="5">
        <v>38979</v>
      </c>
      <c r="B426" s="4">
        <v>6897.59</v>
      </c>
      <c r="C426" s="4">
        <v>6915.08</v>
      </c>
      <c r="D426" s="4">
        <v>6858.85</v>
      </c>
      <c r="E426" s="4">
        <v>6881.87</v>
      </c>
      <c r="F426" s="4">
        <v>3209400</v>
      </c>
      <c r="G426" s="8">
        <f t="shared" si="85"/>
        <v>15.110000000000582</v>
      </c>
      <c r="H426" s="8">
        <f t="shared" si="84"/>
        <v>-15.720000000000255</v>
      </c>
      <c r="I426" s="20">
        <f t="shared" ca="1" si="77"/>
        <v>0</v>
      </c>
      <c r="J426" s="8">
        <f t="shared" ca="1" si="78"/>
        <v>0</v>
      </c>
      <c r="K426" s="8">
        <f t="shared" ca="1" si="79"/>
        <v>-15.110000000000582</v>
      </c>
      <c r="L426" s="8">
        <f t="shared" ca="1" si="80"/>
        <v>498.28000000000156</v>
      </c>
      <c r="M426" s="9">
        <f ca="1">AVERAGE(E426:OFFSET(E426,-M$5+1,0))</f>
        <v>6709.5529999999999</v>
      </c>
      <c r="N426" s="9">
        <f ca="1">AVERAGE(E426:OFFSET(E426,-N$5+1,0))</f>
        <v>6649.4624999999987</v>
      </c>
      <c r="O426" s="9">
        <f t="shared" ca="1" si="81"/>
        <v>0</v>
      </c>
      <c r="P426" s="14">
        <f t="shared" si="86"/>
        <v>-8.8634770315965464E-3</v>
      </c>
      <c r="Q426" s="15">
        <f ca="1">STDEV(P426:OFFSET(P426,-$Q$5+1,0))</f>
        <v>1.1908551984449964</v>
      </c>
      <c r="R426" s="15">
        <f ca="1">STDEV(P426:OFFSET(P426,-$R$5+1,0))</f>
        <v>1.0066501734091604</v>
      </c>
      <c r="S426" s="18">
        <f t="shared" si="73"/>
        <v>56.229999999999563</v>
      </c>
      <c r="T426" s="18">
        <f t="shared" si="74"/>
        <v>56.229999999999563</v>
      </c>
      <c r="U426" s="18">
        <f t="shared" si="82"/>
        <v>99.006942552988164</v>
      </c>
      <c r="V426" s="33">
        <f ca="1">AVERAGE(E426:OFFSET(E426,-V$5+1,0))</f>
        <v>6703.1621428571407</v>
      </c>
      <c r="W426" s="33">
        <f t="shared" ca="1" si="75"/>
        <v>6851.6725566866226</v>
      </c>
      <c r="X426" s="33">
        <f t="shared" ca="1" si="76"/>
        <v>6554.6517290276588</v>
      </c>
      <c r="Y426" s="32">
        <f t="shared" ca="1" si="83"/>
        <v>0</v>
      </c>
    </row>
    <row r="427" spans="1:25">
      <c r="A427" s="5">
        <v>38980</v>
      </c>
      <c r="B427" s="4">
        <v>6850.4</v>
      </c>
      <c r="C427" s="4">
        <v>6890.63</v>
      </c>
      <c r="D427" s="4">
        <v>6839.69</v>
      </c>
      <c r="E427" s="4">
        <v>6877.77</v>
      </c>
      <c r="F427" s="4">
        <v>2720000</v>
      </c>
      <c r="G427" s="8">
        <f t="shared" si="85"/>
        <v>-31.470000000000255</v>
      </c>
      <c r="H427" s="8">
        <f t="shared" si="84"/>
        <v>27.3700000000008</v>
      </c>
      <c r="I427" s="20">
        <f t="shared" ca="1" si="77"/>
        <v>0</v>
      </c>
      <c r="J427" s="8">
        <f t="shared" ca="1" si="78"/>
        <v>0</v>
      </c>
      <c r="K427" s="8">
        <f t="shared" ca="1" si="79"/>
        <v>0</v>
      </c>
      <c r="L427" s="8">
        <f t="shared" ca="1" si="80"/>
        <v>498.28000000000156</v>
      </c>
      <c r="M427" s="9">
        <f ca="1">AVERAGE(E427:OFFSET(E427,-M$5+1,0))</f>
        <v>6728.49</v>
      </c>
      <c r="N427" s="9">
        <f ca="1">AVERAGE(E427:OFFSET(E427,-N$5+1,0))</f>
        <v>6665.5344999999988</v>
      </c>
      <c r="O427" s="9">
        <f t="shared" ca="1" si="81"/>
        <v>0</v>
      </c>
      <c r="P427" s="14">
        <f t="shared" si="86"/>
        <v>-5.9594584180148451E-2</v>
      </c>
      <c r="Q427" s="15">
        <f ca="1">STDEV(P427:OFFSET(P427,-$Q$5+1,0))</f>
        <v>1.153634415156966</v>
      </c>
      <c r="R427" s="15">
        <f ca="1">STDEV(P427:OFFSET(P427,-$R$5+1,0))</f>
        <v>1.0052221914585246</v>
      </c>
      <c r="S427" s="18">
        <f t="shared" si="73"/>
        <v>50.940000000000509</v>
      </c>
      <c r="T427" s="18">
        <f t="shared" si="74"/>
        <v>50.940000000000509</v>
      </c>
      <c r="U427" s="18">
        <f t="shared" si="82"/>
        <v>92.598016879256491</v>
      </c>
      <c r="V427" s="33">
        <f ca="1">AVERAGE(E427:OFFSET(E427,-V$5+1,0))</f>
        <v>6722.1621428571434</v>
      </c>
      <c r="W427" s="33">
        <f t="shared" ca="1" si="75"/>
        <v>6861.0591681760279</v>
      </c>
      <c r="X427" s="33">
        <f t="shared" ca="1" si="76"/>
        <v>6583.2651175382589</v>
      </c>
      <c r="Y427" s="32">
        <f t="shared" ca="1" si="83"/>
        <v>0</v>
      </c>
    </row>
    <row r="428" spans="1:25">
      <c r="A428" s="5">
        <v>38981</v>
      </c>
      <c r="B428" s="4">
        <v>6924.37</v>
      </c>
      <c r="C428" s="4">
        <v>6938.93</v>
      </c>
      <c r="D428" s="4">
        <v>6862.28</v>
      </c>
      <c r="E428" s="4">
        <v>6889.89</v>
      </c>
      <c r="F428" s="4">
        <v>3393400</v>
      </c>
      <c r="G428" s="8">
        <f t="shared" si="85"/>
        <v>46.599999999999454</v>
      </c>
      <c r="H428" s="8">
        <f t="shared" si="84"/>
        <v>-34.479999999999563</v>
      </c>
      <c r="I428" s="20">
        <f t="shared" ca="1" si="77"/>
        <v>0</v>
      </c>
      <c r="J428" s="8">
        <f t="shared" ca="1" si="78"/>
        <v>0</v>
      </c>
      <c r="K428" s="8">
        <f t="shared" ca="1" si="79"/>
        <v>0</v>
      </c>
      <c r="L428" s="8">
        <f t="shared" ca="1" si="80"/>
        <v>498.28000000000156</v>
      </c>
      <c r="M428" s="9">
        <f ca="1">AVERAGE(E428:OFFSET(E428,-M$5+1,0))</f>
        <v>6748.9560000000001</v>
      </c>
      <c r="N428" s="9">
        <f ca="1">AVERAGE(E428:OFFSET(E428,-N$5+1,0))</f>
        <v>6682.4970000000003</v>
      </c>
      <c r="O428" s="9">
        <f t="shared" ca="1" si="81"/>
        <v>0</v>
      </c>
      <c r="P428" s="14">
        <f t="shared" si="86"/>
        <v>0.17606482337420315</v>
      </c>
      <c r="Q428" s="15">
        <f ca="1">STDEV(P428:OFFSET(P428,-$Q$5+1,0))</f>
        <v>1.1487589040138304</v>
      </c>
      <c r="R428" s="15">
        <f ca="1">STDEV(P428:OFFSET(P428,-$R$5+1,0))</f>
        <v>0.98921551347803161</v>
      </c>
      <c r="S428" s="18">
        <f t="shared" si="73"/>
        <v>76.650000000000546</v>
      </c>
      <c r="T428" s="18">
        <f t="shared" si="74"/>
        <v>76.650000000000546</v>
      </c>
      <c r="U428" s="18">
        <f t="shared" si="82"/>
        <v>90.471614628689025</v>
      </c>
      <c r="V428" s="33">
        <f ca="1">AVERAGE(E428:OFFSET(E428,-V$5+1,0))</f>
        <v>6739.1928571428562</v>
      </c>
      <c r="W428" s="33">
        <f t="shared" ca="1" si="75"/>
        <v>6874.9002790858895</v>
      </c>
      <c r="X428" s="33">
        <f t="shared" ca="1" si="76"/>
        <v>6603.4854351998229</v>
      </c>
      <c r="Y428" s="32">
        <f t="shared" ca="1" si="83"/>
        <v>0</v>
      </c>
    </row>
    <row r="429" spans="1:25">
      <c r="A429" s="5">
        <v>38982</v>
      </c>
      <c r="B429" s="4">
        <v>6872.26</v>
      </c>
      <c r="C429" s="4">
        <v>6890.9</v>
      </c>
      <c r="D429" s="4">
        <v>6854.02</v>
      </c>
      <c r="E429" s="4">
        <v>6885.6</v>
      </c>
      <c r="F429" s="4">
        <v>2570800</v>
      </c>
      <c r="G429" s="8">
        <f t="shared" si="85"/>
        <v>-17.630000000000109</v>
      </c>
      <c r="H429" s="8">
        <f t="shared" si="84"/>
        <v>13.340000000000146</v>
      </c>
      <c r="I429" s="20">
        <f t="shared" ca="1" si="77"/>
        <v>0</v>
      </c>
      <c r="J429" s="8">
        <f t="shared" ca="1" si="78"/>
        <v>0</v>
      </c>
      <c r="K429" s="8">
        <f t="shared" ca="1" si="79"/>
        <v>0</v>
      </c>
      <c r="L429" s="8">
        <f t="shared" ca="1" si="80"/>
        <v>498.28000000000156</v>
      </c>
      <c r="M429" s="9">
        <f ca="1">AVERAGE(E429:OFFSET(E429,-M$5+1,0))</f>
        <v>6768.2049999999999</v>
      </c>
      <c r="N429" s="9">
        <f ca="1">AVERAGE(E429:OFFSET(E429,-N$5+1,0))</f>
        <v>6700.4659999999985</v>
      </c>
      <c r="O429" s="9">
        <f t="shared" ca="1" si="81"/>
        <v>0</v>
      </c>
      <c r="P429" s="14">
        <f t="shared" si="86"/>
        <v>-6.2284537808630851E-2</v>
      </c>
      <c r="Q429" s="15">
        <f ca="1">STDEV(P429:OFFSET(P429,-$Q$5+1,0))</f>
        <v>1.1533617839169226</v>
      </c>
      <c r="R429" s="15">
        <f ca="1">STDEV(P429:OFFSET(P429,-$R$5+1,0))</f>
        <v>0.98948220554504784</v>
      </c>
      <c r="S429" s="18">
        <f t="shared" si="73"/>
        <v>36.8799999999992</v>
      </c>
      <c r="T429" s="18">
        <f t="shared" si="74"/>
        <v>36.8799999999992</v>
      </c>
      <c r="U429" s="18">
        <f t="shared" si="82"/>
        <v>83.326066011530386</v>
      </c>
      <c r="V429" s="33">
        <f ca="1">AVERAGE(E429:OFFSET(E429,-V$5+1,0))</f>
        <v>6748.8228571428572</v>
      </c>
      <c r="W429" s="33">
        <f t="shared" ca="1" si="75"/>
        <v>6873.8119561601525</v>
      </c>
      <c r="X429" s="33">
        <f t="shared" ca="1" si="76"/>
        <v>6623.8337581255619</v>
      </c>
      <c r="Y429" s="32">
        <f t="shared" ca="1" si="83"/>
        <v>0</v>
      </c>
    </row>
    <row r="430" spans="1:25">
      <c r="A430" s="5">
        <v>38985</v>
      </c>
      <c r="B430" s="4">
        <v>6879.68</v>
      </c>
      <c r="C430" s="4">
        <v>6921.36</v>
      </c>
      <c r="D430" s="4">
        <v>6844.33</v>
      </c>
      <c r="E430" s="4">
        <v>6911.21</v>
      </c>
      <c r="F430" s="4">
        <v>2829800</v>
      </c>
      <c r="G430" s="8">
        <f t="shared" si="85"/>
        <v>-5.9200000000000728</v>
      </c>
      <c r="H430" s="8">
        <f t="shared" si="84"/>
        <v>31.529999999999745</v>
      </c>
      <c r="I430" s="20">
        <f t="shared" ca="1" si="77"/>
        <v>0</v>
      </c>
      <c r="J430" s="8">
        <f t="shared" ca="1" si="78"/>
        <v>0</v>
      </c>
      <c r="K430" s="8">
        <f t="shared" ca="1" si="79"/>
        <v>0</v>
      </c>
      <c r="L430" s="8">
        <f t="shared" ca="1" si="80"/>
        <v>498.28000000000156</v>
      </c>
      <c r="M430" s="9">
        <f ca="1">AVERAGE(E430:OFFSET(E430,-M$5+1,0))</f>
        <v>6789.9379999999992</v>
      </c>
      <c r="N430" s="9">
        <f ca="1">AVERAGE(E430:OFFSET(E430,-N$5+1,0))</f>
        <v>6723.7884999999997</v>
      </c>
      <c r="O430" s="9">
        <f t="shared" ca="1" si="81"/>
        <v>0</v>
      </c>
      <c r="P430" s="14">
        <f t="shared" si="86"/>
        <v>0.37124566350905686</v>
      </c>
      <c r="Q430" s="15">
        <f ca="1">STDEV(P430:OFFSET(P430,-$Q$5+1,0))</f>
        <v>1.1495380896564518</v>
      </c>
      <c r="R430" s="15">
        <f ca="1">STDEV(P430:OFFSET(P430,-$R$5+1,0))</f>
        <v>0.98604967739958704</v>
      </c>
      <c r="S430" s="18">
        <f t="shared" si="73"/>
        <v>77.029999999999745</v>
      </c>
      <c r="T430" s="18">
        <f t="shared" si="74"/>
        <v>77.029999999999745</v>
      </c>
      <c r="U430" s="18">
        <f t="shared" si="82"/>
        <v>82.486590543326301</v>
      </c>
      <c r="V430" s="33">
        <f ca="1">AVERAGE(E430:OFFSET(E430,-V$5+1,0))</f>
        <v>6761.4285714285725</v>
      </c>
      <c r="W430" s="33">
        <f t="shared" ca="1" si="75"/>
        <v>6885.1584572435622</v>
      </c>
      <c r="X430" s="33">
        <f t="shared" ca="1" si="76"/>
        <v>6637.6986856135827</v>
      </c>
      <c r="Y430" s="32">
        <f t="shared" ca="1" si="83"/>
        <v>0</v>
      </c>
    </row>
    <row r="431" spans="1:25">
      <c r="A431" s="5">
        <v>38986</v>
      </c>
      <c r="B431" s="4">
        <v>6945.04</v>
      </c>
      <c r="C431" s="4">
        <v>6958.79</v>
      </c>
      <c r="D431" s="4">
        <v>6899.37</v>
      </c>
      <c r="E431" s="4">
        <v>6901.75</v>
      </c>
      <c r="F431" s="4">
        <v>2707200</v>
      </c>
      <c r="G431" s="8">
        <f t="shared" si="85"/>
        <v>33.829999999999927</v>
      </c>
      <c r="H431" s="8">
        <f t="shared" si="84"/>
        <v>-43.289999999999964</v>
      </c>
      <c r="I431" s="20">
        <f t="shared" ca="1" si="77"/>
        <v>0</v>
      </c>
      <c r="J431" s="8">
        <f t="shared" ca="1" si="78"/>
        <v>0</v>
      </c>
      <c r="K431" s="8">
        <f t="shared" ca="1" si="79"/>
        <v>0</v>
      </c>
      <c r="L431" s="8">
        <f t="shared" ca="1" si="80"/>
        <v>498.28000000000156</v>
      </c>
      <c r="M431" s="9">
        <f ca="1">AVERAGE(E431:OFFSET(E431,-M$5+1,0))</f>
        <v>6817.5399999999991</v>
      </c>
      <c r="N431" s="9">
        <f ca="1">AVERAGE(E431:OFFSET(E431,-N$5+1,0))</f>
        <v>6744.8804999999993</v>
      </c>
      <c r="O431" s="9">
        <f t="shared" ca="1" si="81"/>
        <v>0</v>
      </c>
      <c r="P431" s="14">
        <f t="shared" si="86"/>
        <v>-0.1369728353522473</v>
      </c>
      <c r="Q431" s="15">
        <f ca="1">STDEV(P431:OFFSET(P431,-$Q$5+1,0))</f>
        <v>1.0656028484815716</v>
      </c>
      <c r="R431" s="15">
        <f ca="1">STDEV(P431:OFFSET(P431,-$R$5+1,0))</f>
        <v>0.98545819249149402</v>
      </c>
      <c r="S431" s="18">
        <f t="shared" si="73"/>
        <v>59.420000000000073</v>
      </c>
      <c r="T431" s="18">
        <f t="shared" si="74"/>
        <v>59.420000000000073</v>
      </c>
      <c r="U431" s="18">
        <f t="shared" si="82"/>
        <v>79.411045137549465</v>
      </c>
      <c r="V431" s="33">
        <f ca="1">AVERAGE(E431:OFFSET(E431,-V$5+1,0))</f>
        <v>6776.6678571428574</v>
      </c>
      <c r="W431" s="33">
        <f t="shared" ca="1" si="75"/>
        <v>6895.784424849182</v>
      </c>
      <c r="X431" s="33">
        <f t="shared" ca="1" si="76"/>
        <v>6657.5512894365329</v>
      </c>
      <c r="Y431" s="32">
        <f t="shared" ca="1" si="83"/>
        <v>0</v>
      </c>
    </row>
    <row r="432" spans="1:25">
      <c r="A432" s="5">
        <v>38987</v>
      </c>
      <c r="B432" s="4">
        <v>6957.08</v>
      </c>
      <c r="C432" s="4">
        <v>6961.71</v>
      </c>
      <c r="D432" s="4">
        <v>6922.99</v>
      </c>
      <c r="E432" s="4">
        <v>6946.27</v>
      </c>
      <c r="F432" s="4">
        <v>3394200</v>
      </c>
      <c r="G432" s="8">
        <f t="shared" si="85"/>
        <v>55.329999999999927</v>
      </c>
      <c r="H432" s="8">
        <f t="shared" si="84"/>
        <v>-10.809999999999491</v>
      </c>
      <c r="I432" s="20">
        <f t="shared" ca="1" si="77"/>
        <v>0</v>
      </c>
      <c r="J432" s="8">
        <f t="shared" ca="1" si="78"/>
        <v>0</v>
      </c>
      <c r="K432" s="8">
        <f t="shared" ca="1" si="79"/>
        <v>0</v>
      </c>
      <c r="L432" s="8">
        <f t="shared" ca="1" si="80"/>
        <v>498.28000000000156</v>
      </c>
      <c r="M432" s="9">
        <f ca="1">AVERAGE(E432:OFFSET(E432,-M$5+1,0))</f>
        <v>6845.68</v>
      </c>
      <c r="N432" s="9">
        <f ca="1">AVERAGE(E432:OFFSET(E432,-N$5+1,0))</f>
        <v>6762.8379999999988</v>
      </c>
      <c r="O432" s="9">
        <f t="shared" ca="1" si="81"/>
        <v>0</v>
      </c>
      <c r="P432" s="14">
        <f t="shared" si="86"/>
        <v>0.64298222245478287</v>
      </c>
      <c r="Q432" s="15">
        <f ca="1">STDEV(P432:OFFSET(P432,-$Q$5+1,0))</f>
        <v>1.0667571436030419</v>
      </c>
      <c r="R432" s="15">
        <f ca="1">STDEV(P432:OFFSET(P432,-$R$5+1,0))</f>
        <v>0.98721999613877198</v>
      </c>
      <c r="S432" s="18">
        <f t="shared" si="73"/>
        <v>38.720000000000255</v>
      </c>
      <c r="T432" s="18">
        <f t="shared" si="74"/>
        <v>59.960000000000036</v>
      </c>
      <c r="U432" s="18">
        <f t="shared" si="82"/>
        <v>76.817572452542876</v>
      </c>
      <c r="V432" s="33">
        <f ca="1">AVERAGE(E432:OFFSET(E432,-V$5+1,0))</f>
        <v>6795.3135714285727</v>
      </c>
      <c r="W432" s="33">
        <f t="shared" ca="1" si="75"/>
        <v>6910.5399301073867</v>
      </c>
      <c r="X432" s="33">
        <f t="shared" ca="1" si="76"/>
        <v>6680.0872127497587</v>
      </c>
      <c r="Y432" s="32">
        <f t="shared" ca="1" si="83"/>
        <v>0</v>
      </c>
    </row>
    <row r="433" spans="1:25">
      <c r="A433" s="5">
        <v>38988</v>
      </c>
      <c r="B433" s="4">
        <v>6955.6</v>
      </c>
      <c r="C433" s="4">
        <v>6961.92</v>
      </c>
      <c r="D433" s="4">
        <v>6858.03</v>
      </c>
      <c r="E433" s="4">
        <v>6885.12</v>
      </c>
      <c r="F433" s="4">
        <v>3316200</v>
      </c>
      <c r="G433" s="8">
        <f t="shared" si="85"/>
        <v>9.3299999999999272</v>
      </c>
      <c r="H433" s="8">
        <f t="shared" si="84"/>
        <v>-70.480000000000473</v>
      </c>
      <c r="I433" s="20">
        <f t="shared" ca="1" si="77"/>
        <v>0</v>
      </c>
      <c r="J433" s="8">
        <f t="shared" ca="1" si="78"/>
        <v>0</v>
      </c>
      <c r="K433" s="8">
        <f t="shared" ca="1" si="79"/>
        <v>0</v>
      </c>
      <c r="L433" s="8">
        <f t="shared" ca="1" si="80"/>
        <v>498.28000000000156</v>
      </c>
      <c r="M433" s="9">
        <f ca="1">AVERAGE(E433:OFFSET(E433,-M$5+1,0))</f>
        <v>6874.3049999999985</v>
      </c>
      <c r="N433" s="9">
        <f ca="1">AVERAGE(E433:OFFSET(E433,-N$5+1,0))</f>
        <v>6776.5055000000011</v>
      </c>
      <c r="O433" s="9">
        <f t="shared" ca="1" si="81"/>
        <v>0</v>
      </c>
      <c r="P433" s="14">
        <f t="shared" si="86"/>
        <v>-0.88422636366123009</v>
      </c>
      <c r="Q433" s="15">
        <f ca="1">STDEV(P433:OFFSET(P433,-$Q$5+1,0))</f>
        <v>1.050933265472195</v>
      </c>
      <c r="R433" s="15">
        <f ca="1">STDEV(P433:OFFSET(P433,-$R$5+1,0))</f>
        <v>1.0002692068005332</v>
      </c>
      <c r="S433" s="18">
        <f t="shared" si="73"/>
        <v>103.89000000000033</v>
      </c>
      <c r="T433" s="18">
        <f t="shared" si="74"/>
        <v>103.89000000000033</v>
      </c>
      <c r="U433" s="18">
        <f t="shared" si="82"/>
        <v>80.427229458870542</v>
      </c>
      <c r="V433" s="33">
        <f ca="1">AVERAGE(E433:OFFSET(E433,-V$5+1,0))</f>
        <v>6809.0285714285719</v>
      </c>
      <c r="W433" s="33">
        <f t="shared" ca="1" si="75"/>
        <v>6929.6694156168778</v>
      </c>
      <c r="X433" s="33">
        <f t="shared" ca="1" si="76"/>
        <v>6688.387727240266</v>
      </c>
      <c r="Y433" s="32">
        <f t="shared" ca="1" si="83"/>
        <v>0</v>
      </c>
    </row>
    <row r="434" spans="1:25">
      <c r="A434" s="5">
        <v>38989</v>
      </c>
      <c r="B434" s="4">
        <v>6887.39</v>
      </c>
      <c r="C434" s="4">
        <v>6903.72</v>
      </c>
      <c r="D434" s="4">
        <v>6860.52</v>
      </c>
      <c r="E434" s="4">
        <v>6883.05</v>
      </c>
      <c r="F434" s="4">
        <v>2687800</v>
      </c>
      <c r="G434" s="8">
        <f t="shared" si="85"/>
        <v>2.2700000000004366</v>
      </c>
      <c r="H434" s="8">
        <f t="shared" si="84"/>
        <v>-4.3400000000001455</v>
      </c>
      <c r="I434" s="20">
        <f t="shared" ca="1" si="77"/>
        <v>0</v>
      </c>
      <c r="J434" s="8">
        <f t="shared" ca="1" si="78"/>
        <v>0</v>
      </c>
      <c r="K434" s="8">
        <f t="shared" ca="1" si="79"/>
        <v>0</v>
      </c>
      <c r="L434" s="8">
        <f t="shared" ca="1" si="80"/>
        <v>498.28000000000156</v>
      </c>
      <c r="M434" s="9">
        <f ca="1">AVERAGE(E434:OFFSET(E434,-M$5+1,0))</f>
        <v>6894.5009999999993</v>
      </c>
      <c r="N434" s="9">
        <f ca="1">AVERAGE(E434:OFFSET(E434,-N$5+1,0))</f>
        <v>6788.0849999999991</v>
      </c>
      <c r="O434" s="9">
        <f t="shared" ca="1" si="81"/>
        <v>0</v>
      </c>
      <c r="P434" s="14">
        <f t="shared" si="86"/>
        <v>-3.0069355848989055E-2</v>
      </c>
      <c r="Q434" s="15">
        <f ca="1">STDEV(P434:OFFSET(P434,-$Q$5+1,0))</f>
        <v>1.0178432322303419</v>
      </c>
      <c r="R434" s="15">
        <f ca="1">STDEV(P434:OFFSET(P434,-$R$5+1,0))</f>
        <v>0.99793935674446066</v>
      </c>
      <c r="S434" s="18">
        <f t="shared" si="73"/>
        <v>43.199999999999818</v>
      </c>
      <c r="T434" s="18">
        <f t="shared" si="74"/>
        <v>43.199999999999818</v>
      </c>
      <c r="U434" s="18">
        <f t="shared" si="82"/>
        <v>75.463598864354452</v>
      </c>
      <c r="V434" s="33">
        <f ca="1">AVERAGE(E434:OFFSET(E434,-V$5+1,0))</f>
        <v>6822.5407142857139</v>
      </c>
      <c r="W434" s="33">
        <f t="shared" ca="1" si="75"/>
        <v>6935.7361125822454</v>
      </c>
      <c r="X434" s="33">
        <f t="shared" ca="1" si="76"/>
        <v>6709.3453159891824</v>
      </c>
      <c r="Y434" s="32">
        <f t="shared" ca="1" si="83"/>
        <v>0</v>
      </c>
    </row>
    <row r="435" spans="1:25">
      <c r="A435" s="5">
        <v>38992</v>
      </c>
      <c r="B435" s="4">
        <v>6907.43</v>
      </c>
      <c r="C435" s="4">
        <v>6961.78</v>
      </c>
      <c r="D435" s="4">
        <v>6907.43</v>
      </c>
      <c r="E435" s="4">
        <v>6960.95</v>
      </c>
      <c r="F435" s="4">
        <v>3468400</v>
      </c>
      <c r="G435" s="8">
        <f t="shared" si="85"/>
        <v>24.380000000000109</v>
      </c>
      <c r="H435" s="8">
        <f t="shared" si="84"/>
        <v>53.519999999999527</v>
      </c>
      <c r="I435" s="20">
        <f t="shared" ca="1" si="77"/>
        <v>1</v>
      </c>
      <c r="J435" s="8">
        <f t="shared" ca="1" si="78"/>
        <v>0</v>
      </c>
      <c r="K435" s="8">
        <f t="shared" ca="1" si="79"/>
        <v>0</v>
      </c>
      <c r="L435" s="8">
        <f t="shared" ca="1" si="80"/>
        <v>498.28000000000156</v>
      </c>
      <c r="M435" s="9">
        <f ca="1">AVERAGE(E435:OFFSET(E435,-M$5+1,0))</f>
        <v>6902.3480000000009</v>
      </c>
      <c r="N435" s="9">
        <f ca="1">AVERAGE(E435:OFFSET(E435,-N$5+1,0))</f>
        <v>6798.5935000000009</v>
      </c>
      <c r="O435" s="9">
        <f t="shared" ca="1" si="81"/>
        <v>0</v>
      </c>
      <c r="P435" s="14">
        <f t="shared" si="86"/>
        <v>1.1254091620567479</v>
      </c>
      <c r="Q435" s="15">
        <f ca="1">STDEV(P435:OFFSET(P435,-$Q$5+1,0))</f>
        <v>0.53012577607780498</v>
      </c>
      <c r="R435" s="15">
        <f ca="1">STDEV(P435:OFFSET(P435,-$R$5+1,0))</f>
        <v>1.0048362741721024</v>
      </c>
      <c r="S435" s="18">
        <f t="shared" si="73"/>
        <v>54.349999999999454</v>
      </c>
      <c r="T435" s="18">
        <f t="shared" si="74"/>
        <v>78.729999999999563</v>
      </c>
      <c r="U435" s="18">
        <f t="shared" si="82"/>
        <v>75.899119015773806</v>
      </c>
      <c r="V435" s="33">
        <f ca="1">AVERAGE(E435:OFFSET(E435,-V$5+1,0))</f>
        <v>6846.4849999999997</v>
      </c>
      <c r="W435" s="33">
        <f t="shared" ca="1" si="75"/>
        <v>6960.3336785236606</v>
      </c>
      <c r="X435" s="33">
        <f t="shared" ca="1" si="76"/>
        <v>6732.6363214763387</v>
      </c>
      <c r="Y435" s="32">
        <f t="shared" ca="1" si="83"/>
        <v>1</v>
      </c>
    </row>
    <row r="436" spans="1:25">
      <c r="A436" s="5">
        <v>38993</v>
      </c>
      <c r="B436" s="4">
        <v>6942.07</v>
      </c>
      <c r="C436" s="4">
        <v>6976.62</v>
      </c>
      <c r="D436" s="4">
        <v>6935.8</v>
      </c>
      <c r="E436" s="4">
        <v>6956.88</v>
      </c>
      <c r="F436" s="4">
        <v>3152200</v>
      </c>
      <c r="G436" s="8">
        <f t="shared" si="85"/>
        <v>-18.880000000000109</v>
      </c>
      <c r="H436" s="8">
        <f t="shared" si="84"/>
        <v>14.8100000000004</v>
      </c>
      <c r="I436" s="20">
        <f t="shared" ca="1" si="77"/>
        <v>0</v>
      </c>
      <c r="J436" s="8">
        <f t="shared" ca="1" si="78"/>
        <v>1</v>
      </c>
      <c r="K436" s="8">
        <f t="shared" ca="1" si="79"/>
        <v>14.8100000000004</v>
      </c>
      <c r="L436" s="8">
        <f t="shared" ca="1" si="80"/>
        <v>513.09000000000196</v>
      </c>
      <c r="M436" s="9">
        <f ca="1">AVERAGE(E436:OFFSET(E436,-M$5+1,0))</f>
        <v>6909.8490000000002</v>
      </c>
      <c r="N436" s="9">
        <f ca="1">AVERAGE(E436:OFFSET(E436,-N$5+1,0))</f>
        <v>6809.7010000000009</v>
      </c>
      <c r="O436" s="9">
        <f t="shared" ca="1" si="81"/>
        <v>0</v>
      </c>
      <c r="P436" s="14">
        <f t="shared" si="86"/>
        <v>-5.8486130611108723E-2</v>
      </c>
      <c r="Q436" s="15">
        <f ca="1">STDEV(P436:OFFSET(P436,-$Q$5+1,0))</f>
        <v>0.53162718975498846</v>
      </c>
      <c r="R436" s="15">
        <f ca="1">STDEV(P436:OFFSET(P436,-$R$5+1,0))</f>
        <v>0.98895606545569137</v>
      </c>
      <c r="S436" s="18">
        <f t="shared" si="73"/>
        <v>40.819999999999709</v>
      </c>
      <c r="T436" s="18">
        <f t="shared" si="74"/>
        <v>40.819999999999709</v>
      </c>
      <c r="U436" s="18">
        <f t="shared" si="82"/>
        <v>71.221903147003928</v>
      </c>
      <c r="V436" s="33">
        <f ca="1">AVERAGE(E436:OFFSET(E436,-V$5+1,0))</f>
        <v>6867.3428571428576</v>
      </c>
      <c r="W436" s="33">
        <f t="shared" ca="1" si="75"/>
        <v>6974.1757118633632</v>
      </c>
      <c r="X436" s="33">
        <f t="shared" ca="1" si="76"/>
        <v>6760.510002422352</v>
      </c>
      <c r="Y436" s="32">
        <f t="shared" ca="1" si="83"/>
        <v>0</v>
      </c>
    </row>
    <row r="437" spans="1:25">
      <c r="A437" s="5">
        <v>38994</v>
      </c>
      <c r="B437" s="4">
        <v>6967.77</v>
      </c>
      <c r="C437" s="4">
        <v>6980.67</v>
      </c>
      <c r="D437" s="4">
        <v>6874.98</v>
      </c>
      <c r="E437" s="4">
        <v>6874.98</v>
      </c>
      <c r="F437" s="4">
        <v>3203200</v>
      </c>
      <c r="G437" s="8">
        <f t="shared" si="85"/>
        <v>10.890000000000327</v>
      </c>
      <c r="H437" s="8">
        <f t="shared" si="84"/>
        <v>-92.790000000000873</v>
      </c>
      <c r="I437" s="20">
        <f t="shared" ca="1" si="77"/>
        <v>0</v>
      </c>
      <c r="J437" s="8">
        <f t="shared" ca="1" si="78"/>
        <v>1</v>
      </c>
      <c r="K437" s="8">
        <f t="shared" ca="1" si="79"/>
        <v>-81.900000000000546</v>
      </c>
      <c r="L437" s="8">
        <f t="shared" ca="1" si="80"/>
        <v>431.19000000000142</v>
      </c>
      <c r="M437" s="9">
        <f ca="1">AVERAGE(E437:OFFSET(E437,-M$5+1,0))</f>
        <v>6909.57</v>
      </c>
      <c r="N437" s="9">
        <f ca="1">AVERAGE(E437:OFFSET(E437,-N$5+1,0))</f>
        <v>6819.0300000000007</v>
      </c>
      <c r="O437" s="9">
        <f t="shared" ca="1" si="81"/>
        <v>0</v>
      </c>
      <c r="P437" s="14">
        <f t="shared" si="86"/>
        <v>-1.1842363521103396</v>
      </c>
      <c r="Q437" s="15">
        <f ca="1">STDEV(P437:OFFSET(P437,-$Q$5+1,0))</f>
        <v>0.67163706943517998</v>
      </c>
      <c r="R437" s="15">
        <f ca="1">STDEV(P437:OFFSET(P437,-$R$5+1,0))</f>
        <v>1.0000308714466102</v>
      </c>
      <c r="S437" s="18">
        <f t="shared" ref="S437:S500" si="87">C437-D437</f>
        <v>105.69000000000051</v>
      </c>
      <c r="T437" s="18">
        <f t="shared" ref="T437:T500" si="88">MAX(C437,E436)-MIN(D437,E436)</f>
        <v>105.69000000000051</v>
      </c>
      <c r="U437" s="18">
        <f t="shared" si="82"/>
        <v>75.817649394070145</v>
      </c>
      <c r="V437" s="33">
        <f ca="1">AVERAGE(E437:OFFSET(E437,-V$5+1,0))</f>
        <v>6887.0649999999996</v>
      </c>
      <c r="W437" s="33">
        <f t="shared" ref="W437:W500" ca="1" si="89">V437+W$5*U437</f>
        <v>7000.7914740911046</v>
      </c>
      <c r="X437" s="33">
        <f t="shared" ref="X437:X500" ca="1" si="90">V437-W$5*U437</f>
        <v>6773.3385259088946</v>
      </c>
      <c r="Y437" s="32">
        <f t="shared" ca="1" si="83"/>
        <v>0</v>
      </c>
    </row>
    <row r="438" spans="1:25">
      <c r="A438" s="5">
        <v>38995</v>
      </c>
      <c r="B438" s="4">
        <v>6955.74</v>
      </c>
      <c r="C438" s="4">
        <v>7004.42</v>
      </c>
      <c r="D438" s="4">
        <v>6926.73</v>
      </c>
      <c r="E438" s="4">
        <v>6997.24</v>
      </c>
      <c r="F438" s="4">
        <v>4027200</v>
      </c>
      <c r="G438" s="8">
        <f t="shared" si="85"/>
        <v>80.760000000000218</v>
      </c>
      <c r="H438" s="8">
        <f t="shared" si="84"/>
        <v>41.5</v>
      </c>
      <c r="I438" s="20">
        <f t="shared" ref="I438:I501" ca="1" si="91">Y438</f>
        <v>0</v>
      </c>
      <c r="J438" s="8">
        <f t="shared" ref="J438:J501" ca="1" si="92">IF((J437+I437)&gt;=J$5,J$5,IF((J437+I437)&lt;=J$7,J$7,J437+I437))</f>
        <v>1</v>
      </c>
      <c r="K438" s="8">
        <f t="shared" ref="K438:K501" ca="1" si="93">J437*G438+J438*H438</f>
        <v>122.26000000000022</v>
      </c>
      <c r="L438" s="8">
        <f t="shared" ref="L438:L501" ca="1" si="94">L437+K438</f>
        <v>553.45000000000164</v>
      </c>
      <c r="M438" s="9">
        <f ca="1">AVERAGE(E438:OFFSET(E438,-M$5+1,0))</f>
        <v>6920.3050000000003</v>
      </c>
      <c r="N438" s="9">
        <f ca="1">AVERAGE(E438:OFFSET(E438,-N$5+1,0))</f>
        <v>6834.6305000000011</v>
      </c>
      <c r="O438" s="9">
        <f t="shared" ref="O438:O501" ca="1" si="95">IF(AND(M437&lt;=N437,M438&gt;N438),1,IF(AND(M437&gt;=N437,M438&lt;N438),-1,0))</f>
        <v>0</v>
      </c>
      <c r="P438" s="14">
        <f t="shared" si="86"/>
        <v>1.7627051132482803</v>
      </c>
      <c r="Q438" s="15">
        <f ca="1">STDEV(P438:OFFSET(P438,-$Q$5+1,0))</f>
        <v>0.87541292512901314</v>
      </c>
      <c r="R438" s="15">
        <f ca="1">STDEV(P438:OFFSET(P438,-$R$5+1,0))</f>
        <v>1.0334780412186708</v>
      </c>
      <c r="S438" s="18">
        <f t="shared" si="87"/>
        <v>77.690000000000509</v>
      </c>
      <c r="T438" s="18">
        <f t="shared" si="88"/>
        <v>129.44000000000051</v>
      </c>
      <c r="U438" s="18">
        <f t="shared" ref="U438:U501" si="96">$U$5*T438+(1-$U$5)*U437</f>
        <v>82.967296141527527</v>
      </c>
      <c r="V438" s="33">
        <f ca="1">AVERAGE(E438:OFFSET(E438,-V$5+1,0))</f>
        <v>6909.6471428571431</v>
      </c>
      <c r="W438" s="33">
        <f t="shared" ca="1" si="89"/>
        <v>7034.0980870694348</v>
      </c>
      <c r="X438" s="33">
        <f t="shared" ca="1" si="90"/>
        <v>6785.1961986448514</v>
      </c>
      <c r="Y438" s="32">
        <f t="shared" ref="Y438:Y501" ca="1" si="97">IF(AND(E437&gt;X437,E438&lt;X438),-1,IF(AND(E437&lt;W437,E438&gt;W438),1,0))</f>
        <v>0</v>
      </c>
    </row>
    <row r="439" spans="1:25">
      <c r="A439" s="5">
        <v>39001</v>
      </c>
      <c r="B439" s="4">
        <v>6984.45</v>
      </c>
      <c r="C439" s="4">
        <v>7022.49</v>
      </c>
      <c r="D439" s="4">
        <v>6984.45</v>
      </c>
      <c r="E439" s="4">
        <v>7006.67</v>
      </c>
      <c r="F439" s="4">
        <v>3780000</v>
      </c>
      <c r="G439" s="8">
        <f t="shared" si="85"/>
        <v>-12.789999999999964</v>
      </c>
      <c r="H439" s="8">
        <f t="shared" si="84"/>
        <v>22.220000000000255</v>
      </c>
      <c r="I439" s="20">
        <f t="shared" ca="1" si="91"/>
        <v>0</v>
      </c>
      <c r="J439" s="8">
        <f t="shared" ca="1" si="92"/>
        <v>1</v>
      </c>
      <c r="K439" s="8">
        <f t="shared" ca="1" si="93"/>
        <v>9.430000000000291</v>
      </c>
      <c r="L439" s="8">
        <f t="shared" ca="1" si="94"/>
        <v>562.88000000000193</v>
      </c>
      <c r="M439" s="9">
        <f ca="1">AVERAGE(E439:OFFSET(E439,-M$5+1,0))</f>
        <v>6932.4119999999994</v>
      </c>
      <c r="N439" s="9">
        <f ca="1">AVERAGE(E439:OFFSET(E439,-N$5+1,0))</f>
        <v>6850.308500000001</v>
      </c>
      <c r="O439" s="9">
        <f t="shared" ca="1" si="95"/>
        <v>0</v>
      </c>
      <c r="P439" s="14">
        <f t="shared" si="86"/>
        <v>0.13467669279978922</v>
      </c>
      <c r="Q439" s="15">
        <f ca="1">STDEV(P439:OFFSET(P439,-$Q$5+1,0))</f>
        <v>0.87220067423170966</v>
      </c>
      <c r="R439" s="15">
        <f ca="1">STDEV(P439:OFFSET(P439,-$R$5+1,0))</f>
        <v>1.0325691598924904</v>
      </c>
      <c r="S439" s="18">
        <f t="shared" si="87"/>
        <v>38.039999999999964</v>
      </c>
      <c r="T439" s="18">
        <f t="shared" si="88"/>
        <v>38.039999999999964</v>
      </c>
      <c r="U439" s="18">
        <f t="shared" si="96"/>
        <v>76.976989989323855</v>
      </c>
      <c r="V439" s="33">
        <f ca="1">AVERAGE(E439:OFFSET(E439,-V$5+1,0))</f>
        <v>6918.5178571428578</v>
      </c>
      <c r="W439" s="33">
        <f t="shared" ca="1" si="89"/>
        <v>7033.9833421268431</v>
      </c>
      <c r="X439" s="33">
        <f t="shared" ca="1" si="90"/>
        <v>6803.0523721588725</v>
      </c>
      <c r="Y439" s="32">
        <f t="shared" ca="1" si="97"/>
        <v>0</v>
      </c>
    </row>
    <row r="440" spans="1:25">
      <c r="A440" s="5">
        <v>39002</v>
      </c>
      <c r="B440" s="4">
        <v>7032.76</v>
      </c>
      <c r="C440" s="4">
        <v>7039.93</v>
      </c>
      <c r="D440" s="4">
        <v>6983.46</v>
      </c>
      <c r="E440" s="4">
        <v>6984.58</v>
      </c>
      <c r="F440" s="4">
        <v>3700800</v>
      </c>
      <c r="G440" s="8">
        <f t="shared" si="85"/>
        <v>26.090000000000146</v>
      </c>
      <c r="H440" s="8">
        <f t="shared" si="84"/>
        <v>-48.180000000000291</v>
      </c>
      <c r="I440" s="20">
        <f t="shared" ca="1" si="91"/>
        <v>0</v>
      </c>
      <c r="J440" s="8">
        <f t="shared" ca="1" si="92"/>
        <v>1</v>
      </c>
      <c r="K440" s="8">
        <f t="shared" ca="1" si="93"/>
        <v>-22.090000000000146</v>
      </c>
      <c r="L440" s="8">
        <f t="shared" ca="1" si="94"/>
        <v>540.79000000000178</v>
      </c>
      <c r="M440" s="9">
        <f ca="1">AVERAGE(E440:OFFSET(E440,-M$5+1,0))</f>
        <v>6939.7489999999989</v>
      </c>
      <c r="N440" s="9">
        <f ca="1">AVERAGE(E440:OFFSET(E440,-N$5+1,0))</f>
        <v>6864.8434999999999</v>
      </c>
      <c r="O440" s="9">
        <f t="shared" ca="1" si="95"/>
        <v>0</v>
      </c>
      <c r="P440" s="14">
        <f t="shared" si="86"/>
        <v>-0.31576904643921277</v>
      </c>
      <c r="Q440" s="15">
        <f ca="1">STDEV(P440:OFFSET(P440,-$Q$5+1,0))</f>
        <v>0.8819669382801506</v>
      </c>
      <c r="R440" s="15">
        <f ca="1">STDEV(P440:OFFSET(P440,-$R$5+1,0))</f>
        <v>1.0325033038911167</v>
      </c>
      <c r="S440" s="18">
        <f t="shared" si="87"/>
        <v>56.470000000000255</v>
      </c>
      <c r="T440" s="18">
        <f t="shared" si="88"/>
        <v>56.470000000000255</v>
      </c>
      <c r="U440" s="18">
        <f t="shared" si="96"/>
        <v>74.242724657414044</v>
      </c>
      <c r="V440" s="33">
        <f ca="1">AVERAGE(E440:OFFSET(E440,-V$5+1,0))</f>
        <v>6925.8542857142866</v>
      </c>
      <c r="W440" s="33">
        <f t="shared" ca="1" si="89"/>
        <v>7037.2183727004076</v>
      </c>
      <c r="X440" s="33">
        <f t="shared" ca="1" si="90"/>
        <v>6814.4901987281655</v>
      </c>
      <c r="Y440" s="32">
        <f t="shared" ca="1" si="97"/>
        <v>0</v>
      </c>
    </row>
    <row r="441" spans="1:25">
      <c r="A441" s="5">
        <v>39003</v>
      </c>
      <c r="B441" s="4">
        <v>7060.19</v>
      </c>
      <c r="C441" s="4">
        <v>7096.51</v>
      </c>
      <c r="D441" s="4">
        <v>7046.65</v>
      </c>
      <c r="E441" s="4">
        <v>7068.8</v>
      </c>
      <c r="F441" s="4">
        <v>4188000</v>
      </c>
      <c r="G441" s="8">
        <f t="shared" si="85"/>
        <v>75.609999999999673</v>
      </c>
      <c r="H441" s="8">
        <f t="shared" si="84"/>
        <v>8.6100000000005821</v>
      </c>
      <c r="I441" s="20">
        <f t="shared" ca="1" si="91"/>
        <v>1</v>
      </c>
      <c r="J441" s="8">
        <f t="shared" ca="1" si="92"/>
        <v>1</v>
      </c>
      <c r="K441" s="8">
        <f t="shared" ca="1" si="93"/>
        <v>84.220000000000255</v>
      </c>
      <c r="L441" s="8">
        <f t="shared" ca="1" si="94"/>
        <v>625.01000000000204</v>
      </c>
      <c r="M441" s="9">
        <f ca="1">AVERAGE(E441:OFFSET(E441,-M$5+1,0))</f>
        <v>6956.4539999999997</v>
      </c>
      <c r="N441" s="9">
        <f ca="1">AVERAGE(E441:OFFSET(E441,-N$5+1,0))</f>
        <v>6886.9970000000003</v>
      </c>
      <c r="O441" s="9">
        <f t="shared" ca="1" si="95"/>
        <v>0</v>
      </c>
      <c r="P441" s="14">
        <f t="shared" si="86"/>
        <v>1.1985872190078031</v>
      </c>
      <c r="Q441" s="15">
        <f ca="1">STDEV(P441:OFFSET(P441,-$Q$5+1,0))</f>
        <v>0.94034243382358762</v>
      </c>
      <c r="R441" s="15">
        <f ca="1">STDEV(P441:OFFSET(P441,-$R$5+1,0))</f>
        <v>1.0459005764097915</v>
      </c>
      <c r="S441" s="18">
        <f t="shared" si="87"/>
        <v>49.860000000000582</v>
      </c>
      <c r="T441" s="18">
        <f t="shared" si="88"/>
        <v>111.93000000000029</v>
      </c>
      <c r="U441" s="18">
        <f t="shared" si="96"/>
        <v>79.267694703092204</v>
      </c>
      <c r="V441" s="33">
        <f ca="1">AVERAGE(E441:OFFSET(E441,-V$5+1,0))</f>
        <v>6939.4992857142861</v>
      </c>
      <c r="W441" s="33">
        <f t="shared" ca="1" si="89"/>
        <v>7058.4008277689245</v>
      </c>
      <c r="X441" s="33">
        <f t="shared" ca="1" si="90"/>
        <v>6820.5977436596477</v>
      </c>
      <c r="Y441" s="32">
        <f t="shared" ca="1" si="97"/>
        <v>1</v>
      </c>
    </row>
    <row r="442" spans="1:25">
      <c r="A442" s="5">
        <v>39006</v>
      </c>
      <c r="B442" s="4">
        <v>7102.97</v>
      </c>
      <c r="C442" s="4">
        <v>7159.85</v>
      </c>
      <c r="D442" s="4">
        <v>7099.11</v>
      </c>
      <c r="E442" s="4">
        <v>7151.42</v>
      </c>
      <c r="F442" s="4">
        <v>4736800</v>
      </c>
      <c r="G442" s="8">
        <f t="shared" si="85"/>
        <v>34.170000000000073</v>
      </c>
      <c r="H442" s="8">
        <f t="shared" si="84"/>
        <v>48.449999999999818</v>
      </c>
      <c r="I442" s="20">
        <f t="shared" ca="1" si="91"/>
        <v>0</v>
      </c>
      <c r="J442" s="8">
        <f t="shared" ca="1" si="92"/>
        <v>2</v>
      </c>
      <c r="K442" s="8">
        <f t="shared" ca="1" si="93"/>
        <v>131.06999999999971</v>
      </c>
      <c r="L442" s="8">
        <f t="shared" ca="1" si="94"/>
        <v>756.08000000000175</v>
      </c>
      <c r="M442" s="9">
        <f ca="1">AVERAGE(E442:OFFSET(E442,-M$5+1,0))</f>
        <v>6976.9690000000001</v>
      </c>
      <c r="N442" s="9">
        <f ca="1">AVERAGE(E442:OFFSET(E442,-N$5+1,0))</f>
        <v>6911.3245000000006</v>
      </c>
      <c r="O442" s="9">
        <f t="shared" ca="1" si="95"/>
        <v>0</v>
      </c>
      <c r="P442" s="14">
        <f t="shared" si="86"/>
        <v>1.1620204142209731</v>
      </c>
      <c r="Q442" s="15">
        <f ca="1">STDEV(P442:OFFSET(P442,-$Q$5+1,0))</f>
        <v>0.97865308313029886</v>
      </c>
      <c r="R442" s="15">
        <f ca="1">STDEV(P442:OFFSET(P442,-$R$5+1,0))</f>
        <v>1.0443245316618128</v>
      </c>
      <c r="S442" s="18">
        <f t="shared" si="87"/>
        <v>60.740000000000691</v>
      </c>
      <c r="T442" s="18">
        <f t="shared" si="88"/>
        <v>91.050000000000182</v>
      </c>
      <c r="U442" s="18">
        <f t="shared" si="96"/>
        <v>80.838668742679943</v>
      </c>
      <c r="V442" s="33">
        <f ca="1">AVERAGE(E442:OFFSET(E442,-V$5+1,0))</f>
        <v>6958.18</v>
      </c>
      <c r="W442" s="33">
        <f t="shared" ca="1" si="89"/>
        <v>7079.4380031140199</v>
      </c>
      <c r="X442" s="33">
        <f t="shared" ca="1" si="90"/>
        <v>6836.9219968859807</v>
      </c>
      <c r="Y442" s="32">
        <f t="shared" ca="1" si="97"/>
        <v>0</v>
      </c>
    </row>
    <row r="443" spans="1:25">
      <c r="A443" s="5">
        <v>39007</v>
      </c>
      <c r="B443" s="4">
        <v>7133.85</v>
      </c>
      <c r="C443" s="4">
        <v>7133.85</v>
      </c>
      <c r="D443" s="4">
        <v>7070.3</v>
      </c>
      <c r="E443" s="4">
        <v>7075.13</v>
      </c>
      <c r="F443" s="4">
        <v>3628600</v>
      </c>
      <c r="G443" s="8">
        <f t="shared" si="85"/>
        <v>-17.569999999999709</v>
      </c>
      <c r="H443" s="8">
        <f t="shared" si="84"/>
        <v>-58.720000000000255</v>
      </c>
      <c r="I443" s="20">
        <f t="shared" ca="1" si="91"/>
        <v>0</v>
      </c>
      <c r="J443" s="8">
        <f t="shared" ca="1" si="92"/>
        <v>2</v>
      </c>
      <c r="K443" s="8">
        <f t="shared" ca="1" si="93"/>
        <v>-152.57999999999993</v>
      </c>
      <c r="L443" s="8">
        <f t="shared" ca="1" si="94"/>
        <v>603.50000000000182</v>
      </c>
      <c r="M443" s="9">
        <f ca="1">AVERAGE(E443:OFFSET(E443,-M$5+1,0))</f>
        <v>6995.9699999999993</v>
      </c>
      <c r="N443" s="9">
        <f ca="1">AVERAGE(E443:OFFSET(E443,-N$5+1,0))</f>
        <v>6935.1374999999998</v>
      </c>
      <c r="O443" s="9">
        <f t="shared" ca="1" si="95"/>
        <v>0</v>
      </c>
      <c r="P443" s="14">
        <f t="shared" si="86"/>
        <v>-1.0725120467075533</v>
      </c>
      <c r="Q443" s="15">
        <f ca="1">STDEV(P443:OFFSET(P443,-$Q$5+1,0))</f>
        <v>1.0052275962135195</v>
      </c>
      <c r="R443" s="15">
        <f ca="1">STDEV(P443:OFFSET(P443,-$R$5+1,0))</f>
        <v>1.0603610046782115</v>
      </c>
      <c r="S443" s="18">
        <f t="shared" si="87"/>
        <v>63.550000000000182</v>
      </c>
      <c r="T443" s="18">
        <f t="shared" si="88"/>
        <v>81.119999999999891</v>
      </c>
      <c r="U443" s="18">
        <f t="shared" si="96"/>
        <v>80.876179576989273</v>
      </c>
      <c r="V443" s="33">
        <f ca="1">AVERAGE(E443:OFFSET(E443,-V$5+1,0))</f>
        <v>6971.7178571428576</v>
      </c>
      <c r="W443" s="33">
        <f t="shared" ca="1" si="89"/>
        <v>7093.0321265083412</v>
      </c>
      <c r="X443" s="33">
        <f t="shared" ca="1" si="90"/>
        <v>6850.403587777374</v>
      </c>
      <c r="Y443" s="32">
        <f t="shared" ca="1" si="97"/>
        <v>0</v>
      </c>
    </row>
    <row r="444" spans="1:25">
      <c r="A444" s="5">
        <v>39008</v>
      </c>
      <c r="B444" s="4">
        <v>7021.96</v>
      </c>
      <c r="C444" s="4">
        <v>7035.45</v>
      </c>
      <c r="D444" s="4">
        <v>6980.07</v>
      </c>
      <c r="E444" s="4">
        <v>7017.6</v>
      </c>
      <c r="F444" s="4">
        <v>3244000</v>
      </c>
      <c r="G444" s="8">
        <f t="shared" si="85"/>
        <v>-53.170000000000073</v>
      </c>
      <c r="H444" s="8">
        <f t="shared" si="84"/>
        <v>-4.3599999999996726</v>
      </c>
      <c r="I444" s="20">
        <f t="shared" ca="1" si="91"/>
        <v>0</v>
      </c>
      <c r="J444" s="8">
        <f t="shared" ca="1" si="92"/>
        <v>2</v>
      </c>
      <c r="K444" s="8">
        <f t="shared" ca="1" si="93"/>
        <v>-115.05999999999949</v>
      </c>
      <c r="L444" s="8">
        <f t="shared" ca="1" si="94"/>
        <v>488.44000000000233</v>
      </c>
      <c r="M444" s="9">
        <f ca="1">AVERAGE(E444:OFFSET(E444,-M$5+1,0))</f>
        <v>7009.4250000000002</v>
      </c>
      <c r="N444" s="9">
        <f ca="1">AVERAGE(E444:OFFSET(E444,-N$5+1,0))</f>
        <v>6951.9630000000006</v>
      </c>
      <c r="O444" s="9">
        <f t="shared" ca="1" si="95"/>
        <v>0</v>
      </c>
      <c r="P444" s="14">
        <f t="shared" si="86"/>
        <v>-0.8164538677363008</v>
      </c>
      <c r="Q444" s="15">
        <f ca="1">STDEV(P444:OFFSET(P444,-$Q$5+1,0))</f>
        <v>1.0607311064758629</v>
      </c>
      <c r="R444" s="15">
        <f ca="1">STDEV(P444:OFFSET(P444,-$R$5+1,0))</f>
        <v>1.0697411612666259</v>
      </c>
      <c r="S444" s="18">
        <f t="shared" si="87"/>
        <v>55.380000000000109</v>
      </c>
      <c r="T444" s="18">
        <f t="shared" si="88"/>
        <v>95.0600000000004</v>
      </c>
      <c r="U444" s="18">
        <f t="shared" si="96"/>
        <v>82.767355633390764</v>
      </c>
      <c r="V444" s="33">
        <f ca="1">AVERAGE(E444:OFFSET(E444,-V$5+1,0))</f>
        <v>6979.3171428571432</v>
      </c>
      <c r="W444" s="33">
        <f t="shared" ca="1" si="89"/>
        <v>7103.4681763072294</v>
      </c>
      <c r="X444" s="33">
        <f t="shared" ca="1" si="90"/>
        <v>6855.1661094070569</v>
      </c>
      <c r="Y444" s="32">
        <f t="shared" ca="1" si="97"/>
        <v>0</v>
      </c>
    </row>
    <row r="445" spans="1:25">
      <c r="A445" s="5">
        <v>39009</v>
      </c>
      <c r="B445" s="4">
        <v>7000.68</v>
      </c>
      <c r="C445" s="4">
        <v>7045.99</v>
      </c>
      <c r="D445" s="4">
        <v>6986.85</v>
      </c>
      <c r="E445" s="4">
        <v>6995.83</v>
      </c>
      <c r="F445" s="4">
        <v>3080000</v>
      </c>
      <c r="G445" s="8">
        <f t="shared" si="85"/>
        <v>-16.920000000000073</v>
      </c>
      <c r="H445" s="8">
        <f t="shared" si="84"/>
        <v>-4.8500000000003638</v>
      </c>
      <c r="I445" s="20">
        <f t="shared" ca="1" si="91"/>
        <v>0</v>
      </c>
      <c r="J445" s="8">
        <f t="shared" ca="1" si="92"/>
        <v>2</v>
      </c>
      <c r="K445" s="8">
        <f t="shared" ca="1" si="93"/>
        <v>-43.540000000000873</v>
      </c>
      <c r="L445" s="8">
        <f t="shared" ca="1" si="94"/>
        <v>444.90000000000146</v>
      </c>
      <c r="M445" s="9">
        <f ca="1">AVERAGE(E445:OFFSET(E445,-M$5+1,0))</f>
        <v>7012.9129999999986</v>
      </c>
      <c r="N445" s="9">
        <f ca="1">AVERAGE(E445:OFFSET(E445,-N$5+1,0))</f>
        <v>6957.6305000000011</v>
      </c>
      <c r="O445" s="9">
        <f t="shared" ca="1" si="95"/>
        <v>0</v>
      </c>
      <c r="P445" s="14">
        <f t="shared" si="86"/>
        <v>-0.31070219800877796</v>
      </c>
      <c r="Q445" s="15">
        <f ca="1">STDEV(P445:OFFSET(P445,-$Q$5+1,0))</f>
        <v>1.0168660039537327</v>
      </c>
      <c r="R445" s="15">
        <f ca="1">STDEV(P445:OFFSET(P445,-$R$5+1,0))</f>
        <v>0.92387316962553712</v>
      </c>
      <c r="S445" s="18">
        <f t="shared" si="87"/>
        <v>59.139999999999418</v>
      </c>
      <c r="T445" s="18">
        <f t="shared" si="88"/>
        <v>59.139999999999418</v>
      </c>
      <c r="U445" s="18">
        <f t="shared" si="96"/>
        <v>79.617041548938587</v>
      </c>
      <c r="V445" s="33">
        <f ca="1">AVERAGE(E445:OFFSET(E445,-V$5+1,0))</f>
        <v>6986.0371428571434</v>
      </c>
      <c r="W445" s="33">
        <f t="shared" ca="1" si="89"/>
        <v>7105.462705180551</v>
      </c>
      <c r="X445" s="33">
        <f t="shared" ca="1" si="90"/>
        <v>6866.6115805337358</v>
      </c>
      <c r="Y445" s="32">
        <f t="shared" ca="1" si="97"/>
        <v>0</v>
      </c>
    </row>
    <row r="446" spans="1:25">
      <c r="A446" s="5">
        <v>39010</v>
      </c>
      <c r="B446" s="4">
        <v>7029.65</v>
      </c>
      <c r="C446" s="4">
        <v>7048.09</v>
      </c>
      <c r="D446" s="4">
        <v>7021.34</v>
      </c>
      <c r="E446" s="4">
        <v>7039.37</v>
      </c>
      <c r="F446" s="4">
        <v>3082000</v>
      </c>
      <c r="G446" s="8">
        <f t="shared" si="85"/>
        <v>33.819999999999709</v>
      </c>
      <c r="H446" s="8">
        <f t="shared" si="84"/>
        <v>9.7200000000002547</v>
      </c>
      <c r="I446" s="20">
        <f t="shared" ca="1" si="91"/>
        <v>0</v>
      </c>
      <c r="J446" s="8">
        <f t="shared" ca="1" si="92"/>
        <v>2</v>
      </c>
      <c r="K446" s="8">
        <f t="shared" ca="1" si="93"/>
        <v>87.079999999999927</v>
      </c>
      <c r="L446" s="8">
        <f t="shared" ca="1" si="94"/>
        <v>531.98000000000138</v>
      </c>
      <c r="M446" s="9">
        <f ca="1">AVERAGE(E446:OFFSET(E446,-M$5+1,0))</f>
        <v>7021.1619999999994</v>
      </c>
      <c r="N446" s="9">
        <f ca="1">AVERAGE(E446:OFFSET(E446,-N$5+1,0))</f>
        <v>6965.5055000000011</v>
      </c>
      <c r="O446" s="9">
        <f t="shared" ca="1" si="95"/>
        <v>0</v>
      </c>
      <c r="P446" s="14">
        <f t="shared" si="86"/>
        <v>0.62044202678962546</v>
      </c>
      <c r="Q446" s="15">
        <f ca="1">STDEV(P446:OFFSET(P446,-$Q$5+1,0))</f>
        <v>1.0313805129321119</v>
      </c>
      <c r="R446" s="15">
        <f ca="1">STDEV(P446:OFFSET(P446,-$R$5+1,0))</f>
        <v>0.90931504582332634</v>
      </c>
      <c r="S446" s="18">
        <f t="shared" si="87"/>
        <v>26.75</v>
      </c>
      <c r="T446" s="18">
        <f t="shared" si="88"/>
        <v>52.260000000000218</v>
      </c>
      <c r="U446" s="18">
        <f t="shared" si="96"/>
        <v>75.969436009080141</v>
      </c>
      <c r="V446" s="33">
        <f ca="1">AVERAGE(E446:OFFSET(E446,-V$5+1,0))</f>
        <v>6992.687142857144</v>
      </c>
      <c r="W446" s="33">
        <f t="shared" ca="1" si="89"/>
        <v>7106.6412968707646</v>
      </c>
      <c r="X446" s="33">
        <f t="shared" ca="1" si="90"/>
        <v>6878.7329888435233</v>
      </c>
      <c r="Y446" s="32">
        <f t="shared" ca="1" si="97"/>
        <v>0</v>
      </c>
    </row>
    <row r="447" spans="1:25">
      <c r="A447" s="5">
        <v>39013</v>
      </c>
      <c r="B447" s="4">
        <v>7041.7</v>
      </c>
      <c r="C447" s="4">
        <v>7043.48</v>
      </c>
      <c r="D447" s="4">
        <v>7008.13</v>
      </c>
      <c r="E447" s="4">
        <v>7040.26</v>
      </c>
      <c r="F447" s="4">
        <v>3158600</v>
      </c>
      <c r="G447" s="8">
        <f t="shared" si="85"/>
        <v>2.3299999999999272</v>
      </c>
      <c r="H447" s="8">
        <f t="shared" si="84"/>
        <v>-1.4399999999995998</v>
      </c>
      <c r="I447" s="20">
        <f t="shared" ca="1" si="91"/>
        <v>0</v>
      </c>
      <c r="J447" s="8">
        <f t="shared" ca="1" si="92"/>
        <v>2</v>
      </c>
      <c r="K447" s="8">
        <f t="shared" ca="1" si="93"/>
        <v>1.7800000000006548</v>
      </c>
      <c r="L447" s="8">
        <f t="shared" ca="1" si="94"/>
        <v>533.76000000000204</v>
      </c>
      <c r="M447" s="9">
        <f ca="1">AVERAGE(E447:OFFSET(E447,-M$5+1,0))</f>
        <v>7037.69</v>
      </c>
      <c r="N447" s="9">
        <f ca="1">AVERAGE(E447:OFFSET(E447,-N$5+1,0))</f>
        <v>6973.6300000000019</v>
      </c>
      <c r="O447" s="9">
        <f t="shared" ca="1" si="95"/>
        <v>0</v>
      </c>
      <c r="P447" s="14">
        <f t="shared" si="86"/>
        <v>1.2642377692968694E-2</v>
      </c>
      <c r="Q447" s="15">
        <f ca="1">STDEV(P447:OFFSET(P447,-$Q$5+1,0))</f>
        <v>0.9277234992755683</v>
      </c>
      <c r="R447" s="15">
        <f ca="1">STDEV(P447:OFFSET(P447,-$R$5+1,0))</f>
        <v>0.90299998434241124</v>
      </c>
      <c r="S447" s="18">
        <f t="shared" si="87"/>
        <v>35.349999999999454</v>
      </c>
      <c r="T447" s="18">
        <f t="shared" si="88"/>
        <v>35.349999999999454</v>
      </c>
      <c r="U447" s="18">
        <f t="shared" si="96"/>
        <v>70.553511207869377</v>
      </c>
      <c r="V447" s="33">
        <f ca="1">AVERAGE(E447:OFFSET(E447,-V$5+1,0))</f>
        <v>7003.7685714285708</v>
      </c>
      <c r="W447" s="33">
        <f t="shared" ca="1" si="89"/>
        <v>7109.5988382403748</v>
      </c>
      <c r="X447" s="33">
        <f t="shared" ca="1" si="90"/>
        <v>6897.9383046167668</v>
      </c>
      <c r="Y447" s="32">
        <f t="shared" ca="1" si="97"/>
        <v>0</v>
      </c>
    </row>
    <row r="448" spans="1:25">
      <c r="A448" s="5">
        <v>39014</v>
      </c>
      <c r="B448" s="4">
        <v>7075.81</v>
      </c>
      <c r="C448" s="4">
        <v>7120.24</v>
      </c>
      <c r="D448" s="4">
        <v>7070.17</v>
      </c>
      <c r="E448" s="4">
        <v>7097.42</v>
      </c>
      <c r="F448" s="4">
        <v>3704800</v>
      </c>
      <c r="G448" s="8">
        <f t="shared" si="85"/>
        <v>35.550000000000182</v>
      </c>
      <c r="H448" s="8">
        <f t="shared" si="84"/>
        <v>21.609999999999673</v>
      </c>
      <c r="I448" s="20">
        <f t="shared" ca="1" si="91"/>
        <v>0</v>
      </c>
      <c r="J448" s="8">
        <f t="shared" ca="1" si="92"/>
        <v>2</v>
      </c>
      <c r="K448" s="8">
        <f t="shared" ca="1" si="93"/>
        <v>114.31999999999971</v>
      </c>
      <c r="L448" s="8">
        <f t="shared" ca="1" si="94"/>
        <v>648.08000000000175</v>
      </c>
      <c r="M448" s="9">
        <f ca="1">AVERAGE(E448:OFFSET(E448,-M$5+1,0))</f>
        <v>7047.7080000000005</v>
      </c>
      <c r="N448" s="9">
        <f ca="1">AVERAGE(E448:OFFSET(E448,-N$5+1,0))</f>
        <v>6984.0065000000013</v>
      </c>
      <c r="O448" s="9">
        <f t="shared" ca="1" si="95"/>
        <v>0</v>
      </c>
      <c r="P448" s="14">
        <f t="shared" si="86"/>
        <v>0.808623642079633</v>
      </c>
      <c r="Q448" s="15">
        <f ca="1">STDEV(P448:OFFSET(P448,-$Q$5+1,0))</f>
        <v>0.7926792781111166</v>
      </c>
      <c r="R448" s="15">
        <f ca="1">STDEV(P448:OFFSET(P448,-$R$5+1,0))</f>
        <v>0.90735450177009314</v>
      </c>
      <c r="S448" s="18">
        <f t="shared" si="87"/>
        <v>50.069999999999709</v>
      </c>
      <c r="T448" s="18">
        <f t="shared" si="88"/>
        <v>79.979999999999563</v>
      </c>
      <c r="U448" s="18">
        <f t="shared" si="96"/>
        <v>71.8103763801534</v>
      </c>
      <c r="V448" s="33">
        <f ca="1">AVERAGE(E448:OFFSET(E448,-V$5+1,0))</f>
        <v>7019.0807142857138</v>
      </c>
      <c r="W448" s="33">
        <f t="shared" ca="1" si="89"/>
        <v>7126.7962788559444</v>
      </c>
      <c r="X448" s="33">
        <f t="shared" ca="1" si="90"/>
        <v>6911.3651497154833</v>
      </c>
      <c r="Y448" s="32">
        <f t="shared" ca="1" si="97"/>
        <v>0</v>
      </c>
    </row>
    <row r="449" spans="1:25">
      <c r="A449" s="5">
        <v>39015</v>
      </c>
      <c r="B449" s="4">
        <v>7099.94</v>
      </c>
      <c r="C449" s="4">
        <v>7110.93</v>
      </c>
      <c r="D449" s="4">
        <v>7059.89</v>
      </c>
      <c r="E449" s="4">
        <v>7059.89</v>
      </c>
      <c r="F449" s="4">
        <v>3388400</v>
      </c>
      <c r="G449" s="8">
        <f t="shared" si="85"/>
        <v>2.5199999999995271</v>
      </c>
      <c r="H449" s="8">
        <f t="shared" si="84"/>
        <v>-40.049999999999272</v>
      </c>
      <c r="I449" s="20">
        <f t="shared" ca="1" si="91"/>
        <v>0</v>
      </c>
      <c r="J449" s="8">
        <f t="shared" ca="1" si="92"/>
        <v>2</v>
      </c>
      <c r="K449" s="8">
        <f t="shared" ca="1" si="93"/>
        <v>-75.059999999999491</v>
      </c>
      <c r="L449" s="8">
        <f t="shared" ca="1" si="94"/>
        <v>573.02000000000226</v>
      </c>
      <c r="M449" s="9">
        <f ca="1">AVERAGE(E449:OFFSET(E449,-M$5+1,0))</f>
        <v>7053.0300000000016</v>
      </c>
      <c r="N449" s="9">
        <f ca="1">AVERAGE(E449:OFFSET(E449,-N$5+1,0))</f>
        <v>6992.7210000000005</v>
      </c>
      <c r="O449" s="9">
        <f t="shared" ca="1" si="95"/>
        <v>0</v>
      </c>
      <c r="P449" s="14">
        <f t="shared" si="86"/>
        <v>-0.53018670797405931</v>
      </c>
      <c r="Q449" s="15">
        <f ca="1">STDEV(P449:OFFSET(P449,-$Q$5+1,0))</f>
        <v>0.82076168877414035</v>
      </c>
      <c r="R449" s="15">
        <f ca="1">STDEV(P449:OFFSET(P449,-$R$5+1,0))</f>
        <v>0.91022963763889242</v>
      </c>
      <c r="S449" s="18">
        <f t="shared" si="87"/>
        <v>51.039999999999964</v>
      </c>
      <c r="T449" s="18">
        <f t="shared" si="88"/>
        <v>51.039999999999964</v>
      </c>
      <c r="U449" s="18">
        <f t="shared" si="96"/>
        <v>69.040992862799612</v>
      </c>
      <c r="V449" s="33">
        <f ca="1">AVERAGE(E449:OFFSET(E449,-V$5+1,0))</f>
        <v>7026.1478571428552</v>
      </c>
      <c r="W449" s="33">
        <f t="shared" ca="1" si="89"/>
        <v>7129.7093464370546</v>
      </c>
      <c r="X449" s="33">
        <f t="shared" ca="1" si="90"/>
        <v>6922.5863678486558</v>
      </c>
      <c r="Y449" s="32">
        <f t="shared" ca="1" si="97"/>
        <v>0</v>
      </c>
    </row>
    <row r="450" spans="1:25">
      <c r="A450" s="5">
        <v>39016</v>
      </c>
      <c r="B450" s="4">
        <v>7083.15</v>
      </c>
      <c r="C450" s="4">
        <v>7119.55</v>
      </c>
      <c r="D450" s="4">
        <v>7080.84</v>
      </c>
      <c r="E450" s="4">
        <v>7080.84</v>
      </c>
      <c r="F450" s="4">
        <v>3492600</v>
      </c>
      <c r="G450" s="8">
        <f t="shared" si="85"/>
        <v>23.259999999999309</v>
      </c>
      <c r="H450" s="8">
        <f t="shared" si="84"/>
        <v>-2.3099999999994907</v>
      </c>
      <c r="I450" s="20">
        <f t="shared" ca="1" si="91"/>
        <v>0</v>
      </c>
      <c r="J450" s="8">
        <f t="shared" ca="1" si="92"/>
        <v>2</v>
      </c>
      <c r="K450" s="8">
        <f t="shared" ca="1" si="93"/>
        <v>41.899999999999636</v>
      </c>
      <c r="L450" s="8">
        <f t="shared" ca="1" si="94"/>
        <v>614.92000000000189</v>
      </c>
      <c r="M450" s="9">
        <f ca="1">AVERAGE(E450:OFFSET(E450,-M$5+1,0))</f>
        <v>7062.6560000000009</v>
      </c>
      <c r="N450" s="9">
        <f ca="1">AVERAGE(E450:OFFSET(E450,-N$5+1,0))</f>
        <v>7001.2024999999994</v>
      </c>
      <c r="O450" s="9">
        <f t="shared" ca="1" si="95"/>
        <v>0</v>
      </c>
      <c r="P450" s="14">
        <f t="shared" si="86"/>
        <v>0.29630740885484319</v>
      </c>
      <c r="Q450" s="15">
        <f ca="1">STDEV(P450:OFFSET(P450,-$Q$5+1,0))</f>
        <v>0.81109263277342758</v>
      </c>
      <c r="R450" s="15">
        <f ca="1">STDEV(P450:OFFSET(P450,-$R$5+1,0))</f>
        <v>0.87927710543288928</v>
      </c>
      <c r="S450" s="18">
        <f t="shared" si="87"/>
        <v>38.710000000000036</v>
      </c>
      <c r="T450" s="18">
        <f t="shared" si="88"/>
        <v>59.659999999999854</v>
      </c>
      <c r="U450" s="18">
        <f t="shared" si="96"/>
        <v>67.790193814426317</v>
      </c>
      <c r="V450" s="33">
        <f ca="1">AVERAGE(E450:OFFSET(E450,-V$5+1,0))</f>
        <v>7035.0021428571417</v>
      </c>
      <c r="W450" s="33">
        <f t="shared" ca="1" si="89"/>
        <v>7136.6874335787816</v>
      </c>
      <c r="X450" s="33">
        <f t="shared" ca="1" si="90"/>
        <v>6933.3168521355019</v>
      </c>
      <c r="Y450" s="32">
        <f t="shared" ca="1" si="97"/>
        <v>0</v>
      </c>
    </row>
    <row r="451" spans="1:25">
      <c r="A451" s="5">
        <v>39017</v>
      </c>
      <c r="B451" s="4">
        <v>7112.54</v>
      </c>
      <c r="C451" s="4">
        <v>7132.29</v>
      </c>
      <c r="D451" s="4">
        <v>7082.68</v>
      </c>
      <c r="E451" s="4">
        <v>7086.74</v>
      </c>
      <c r="F451" s="4">
        <v>3355400</v>
      </c>
      <c r="G451" s="8">
        <f t="shared" si="85"/>
        <v>31.699999999999818</v>
      </c>
      <c r="H451" s="8">
        <f t="shared" si="84"/>
        <v>-25.800000000000182</v>
      </c>
      <c r="I451" s="20">
        <f t="shared" ca="1" si="91"/>
        <v>0</v>
      </c>
      <c r="J451" s="8">
        <f t="shared" ca="1" si="92"/>
        <v>2</v>
      </c>
      <c r="K451" s="8">
        <f t="shared" ca="1" si="93"/>
        <v>11.799999999999272</v>
      </c>
      <c r="L451" s="8">
        <f t="shared" ca="1" si="94"/>
        <v>626.72000000000116</v>
      </c>
      <c r="M451" s="9">
        <f ca="1">AVERAGE(E451:OFFSET(E451,-M$5+1,0))</f>
        <v>7064.4500000000016</v>
      </c>
      <c r="N451" s="9">
        <f ca="1">AVERAGE(E451:OFFSET(E451,-N$5+1,0))</f>
        <v>7010.4519999999993</v>
      </c>
      <c r="O451" s="9">
        <f t="shared" ca="1" si="95"/>
        <v>0</v>
      </c>
      <c r="P451" s="14">
        <f t="shared" si="86"/>
        <v>8.3288752787271367E-2</v>
      </c>
      <c r="Q451" s="15">
        <f ca="1">STDEV(P451:OFFSET(P451,-$Q$5+1,0))</f>
        <v>0.72050098221706638</v>
      </c>
      <c r="R451" s="15">
        <f ca="1">STDEV(P451:OFFSET(P451,-$R$5+1,0))</f>
        <v>0.87814734777037395</v>
      </c>
      <c r="S451" s="18">
        <f t="shared" si="87"/>
        <v>49.609999999999673</v>
      </c>
      <c r="T451" s="18">
        <f t="shared" si="88"/>
        <v>51.449999999999818</v>
      </c>
      <c r="U451" s="18">
        <f t="shared" si="96"/>
        <v>65.611501305836114</v>
      </c>
      <c r="V451" s="33">
        <f ca="1">AVERAGE(E451:OFFSET(E451,-V$5+1,0))</f>
        <v>7050.1278571428566</v>
      </c>
      <c r="W451" s="33">
        <f t="shared" ca="1" si="89"/>
        <v>7148.5451091016112</v>
      </c>
      <c r="X451" s="33">
        <f t="shared" ca="1" si="90"/>
        <v>6951.710605184102</v>
      </c>
      <c r="Y451" s="32">
        <f t="shared" ca="1" si="97"/>
        <v>0</v>
      </c>
    </row>
    <row r="452" spans="1:25">
      <c r="A452" s="5">
        <v>39020</v>
      </c>
      <c r="B452" s="4">
        <v>7050.05</v>
      </c>
      <c r="C452" s="4">
        <v>7050.05</v>
      </c>
      <c r="D452" s="4">
        <v>6995.1</v>
      </c>
      <c r="E452" s="4">
        <v>6995.2</v>
      </c>
      <c r="F452" s="4">
        <v>2819400</v>
      </c>
      <c r="G452" s="8">
        <f t="shared" si="85"/>
        <v>-36.6899999999996</v>
      </c>
      <c r="H452" s="8">
        <f t="shared" ref="H452:H515" si="98">E452-B452</f>
        <v>-54.850000000000364</v>
      </c>
      <c r="I452" s="20">
        <f t="shared" ca="1" si="91"/>
        <v>0</v>
      </c>
      <c r="J452" s="8">
        <f t="shared" ca="1" si="92"/>
        <v>2</v>
      </c>
      <c r="K452" s="8">
        <f t="shared" ca="1" si="93"/>
        <v>-183.07999999999993</v>
      </c>
      <c r="L452" s="8">
        <f t="shared" ca="1" si="94"/>
        <v>443.64000000000124</v>
      </c>
      <c r="M452" s="9">
        <f ca="1">AVERAGE(E452:OFFSET(E452,-M$5+1,0))</f>
        <v>7048.8279999999995</v>
      </c>
      <c r="N452" s="9">
        <f ca="1">AVERAGE(E452:OFFSET(E452,-N$5+1,0))</f>
        <v>7012.8985000000002</v>
      </c>
      <c r="O452" s="9">
        <f t="shared" ca="1" si="95"/>
        <v>0</v>
      </c>
      <c r="P452" s="14">
        <f t="shared" si="86"/>
        <v>-1.3001232703619308</v>
      </c>
      <c r="Q452" s="15">
        <f ca="1">STDEV(P452:OFFSET(P452,-$Q$5+1,0))</f>
        <v>0.7095166371507724</v>
      </c>
      <c r="R452" s="15">
        <f ca="1">STDEV(P452:OFFSET(P452,-$R$5+1,0))</f>
        <v>0.87957301688889045</v>
      </c>
      <c r="S452" s="18">
        <f t="shared" si="87"/>
        <v>54.949999999999818</v>
      </c>
      <c r="T452" s="18">
        <f t="shared" si="88"/>
        <v>91.639999999999418</v>
      </c>
      <c r="U452" s="18">
        <f t="shared" si="96"/>
        <v>69.081967798391219</v>
      </c>
      <c r="V452" s="33">
        <f ca="1">AVERAGE(E452:OFFSET(E452,-V$5+1,0))</f>
        <v>7049.9821428571431</v>
      </c>
      <c r="W452" s="33">
        <f t="shared" ca="1" si="89"/>
        <v>7153.6050945547304</v>
      </c>
      <c r="X452" s="33">
        <f t="shared" ca="1" si="90"/>
        <v>6946.3591911595558</v>
      </c>
      <c r="Y452" s="32">
        <f t="shared" ca="1" si="97"/>
        <v>0</v>
      </c>
    </row>
    <row r="453" spans="1:25">
      <c r="A453" s="5">
        <v>39021</v>
      </c>
      <c r="B453" s="4">
        <v>7020.35</v>
      </c>
      <c r="C453" s="4">
        <v>7025.21</v>
      </c>
      <c r="D453" s="4">
        <v>7004.15</v>
      </c>
      <c r="E453" s="4">
        <v>7021.32</v>
      </c>
      <c r="F453" s="4">
        <v>2393000</v>
      </c>
      <c r="G453" s="8">
        <f t="shared" ref="G453:G516" si="99">B453-E452</f>
        <v>25.150000000000546</v>
      </c>
      <c r="H453" s="8">
        <f t="shared" si="98"/>
        <v>0.96999999999934516</v>
      </c>
      <c r="I453" s="20">
        <f t="shared" ca="1" si="91"/>
        <v>0</v>
      </c>
      <c r="J453" s="8">
        <f t="shared" ca="1" si="92"/>
        <v>2</v>
      </c>
      <c r="K453" s="8">
        <f t="shared" ca="1" si="93"/>
        <v>52.239999999999782</v>
      </c>
      <c r="L453" s="8">
        <f t="shared" ca="1" si="94"/>
        <v>495.88000000000102</v>
      </c>
      <c r="M453" s="9">
        <f ca="1">AVERAGE(E453:OFFSET(E453,-M$5+1,0))</f>
        <v>7043.4469999999983</v>
      </c>
      <c r="N453" s="9">
        <f ca="1">AVERAGE(E453:OFFSET(E453,-N$5+1,0))</f>
        <v>7019.7085000000006</v>
      </c>
      <c r="O453" s="9">
        <f t="shared" ca="1" si="95"/>
        <v>0</v>
      </c>
      <c r="P453" s="14">
        <f t="shared" ref="P453:P516" si="100">100*LN(E453/E452)</f>
        <v>0.37270349895141586</v>
      </c>
      <c r="Q453" s="15">
        <f ca="1">STDEV(P453:OFFSET(P453,-$Q$5+1,0))</f>
        <v>0.6623936142741369</v>
      </c>
      <c r="R453" s="15">
        <f ca="1">STDEV(P453:OFFSET(P453,-$R$5+1,0))</f>
        <v>0.87956773399640653</v>
      </c>
      <c r="S453" s="18">
        <f t="shared" si="87"/>
        <v>21.0600000000004</v>
      </c>
      <c r="T453" s="18">
        <f t="shared" si="88"/>
        <v>30.010000000000218</v>
      </c>
      <c r="U453" s="18">
        <f t="shared" si="96"/>
        <v>63.872372091939091</v>
      </c>
      <c r="V453" s="33">
        <f ca="1">AVERAGE(E453:OFFSET(E453,-V$5+1,0))</f>
        <v>7051.0285714285728</v>
      </c>
      <c r="W453" s="33">
        <f t="shared" ca="1" si="89"/>
        <v>7146.8371295664811</v>
      </c>
      <c r="X453" s="33">
        <f t="shared" ca="1" si="90"/>
        <v>6955.2200132906646</v>
      </c>
      <c r="Y453" s="32">
        <f t="shared" ca="1" si="97"/>
        <v>0</v>
      </c>
    </row>
    <row r="454" spans="1:25">
      <c r="A454" s="5">
        <v>39022</v>
      </c>
      <c r="B454" s="4">
        <v>7036.07</v>
      </c>
      <c r="C454" s="4">
        <v>7058.69</v>
      </c>
      <c r="D454" s="4">
        <v>7013.99</v>
      </c>
      <c r="E454" s="4">
        <v>7013.99</v>
      </c>
      <c r="F454" s="4">
        <v>3055200</v>
      </c>
      <c r="G454" s="8">
        <f t="shared" si="99"/>
        <v>14.75</v>
      </c>
      <c r="H454" s="8">
        <f t="shared" si="98"/>
        <v>-22.079999999999927</v>
      </c>
      <c r="I454" s="20">
        <f t="shared" ca="1" si="91"/>
        <v>0</v>
      </c>
      <c r="J454" s="8">
        <f t="shared" ca="1" si="92"/>
        <v>2</v>
      </c>
      <c r="K454" s="8">
        <f t="shared" ca="1" si="93"/>
        <v>-14.659999999999854</v>
      </c>
      <c r="L454" s="8">
        <f t="shared" ca="1" si="94"/>
        <v>481.22000000000116</v>
      </c>
      <c r="M454" s="9">
        <f ca="1">AVERAGE(E454:OFFSET(E454,-M$5+1,0))</f>
        <v>7043.0860000000002</v>
      </c>
      <c r="N454" s="9">
        <f ca="1">AVERAGE(E454:OFFSET(E454,-N$5+1,0))</f>
        <v>7026.2554999999993</v>
      </c>
      <c r="O454" s="9">
        <f t="shared" ca="1" si="95"/>
        <v>0</v>
      </c>
      <c r="P454" s="14">
        <f t="shared" si="100"/>
        <v>-0.10445085525603692</v>
      </c>
      <c r="Q454" s="15">
        <f ca="1">STDEV(P454:OFFSET(P454,-$Q$5+1,0))</f>
        <v>0.61021151736128365</v>
      </c>
      <c r="R454" s="15">
        <f ca="1">STDEV(P454:OFFSET(P454,-$R$5+1,0))</f>
        <v>0.87740188026861821</v>
      </c>
      <c r="S454" s="18">
        <f t="shared" si="87"/>
        <v>44.699999999999818</v>
      </c>
      <c r="T454" s="18">
        <f t="shared" si="88"/>
        <v>44.699999999999818</v>
      </c>
      <c r="U454" s="18">
        <f t="shared" si="96"/>
        <v>61.316055813013861</v>
      </c>
      <c r="V454" s="33">
        <f ca="1">AVERAGE(E454:OFFSET(E454,-V$5+1,0))</f>
        <v>7053.1292857142862</v>
      </c>
      <c r="W454" s="33">
        <f t="shared" ca="1" si="89"/>
        <v>7145.1033694338066</v>
      </c>
      <c r="X454" s="33">
        <f t="shared" ca="1" si="90"/>
        <v>6961.1552019947658</v>
      </c>
      <c r="Y454" s="32">
        <f t="shared" ca="1" si="97"/>
        <v>0</v>
      </c>
    </row>
    <row r="455" spans="1:25">
      <c r="A455" s="5">
        <v>39023</v>
      </c>
      <c r="B455" s="4">
        <v>7008.42</v>
      </c>
      <c r="C455" s="4">
        <v>7089.7</v>
      </c>
      <c r="D455" s="4">
        <v>7005.13</v>
      </c>
      <c r="E455" s="4">
        <v>7078.1</v>
      </c>
      <c r="F455" s="4">
        <v>3360600</v>
      </c>
      <c r="G455" s="8">
        <f t="shared" si="99"/>
        <v>-5.569999999999709</v>
      </c>
      <c r="H455" s="8">
        <f t="shared" si="98"/>
        <v>69.680000000000291</v>
      </c>
      <c r="I455" s="20">
        <f t="shared" ca="1" si="91"/>
        <v>0</v>
      </c>
      <c r="J455" s="8">
        <f t="shared" ca="1" si="92"/>
        <v>2</v>
      </c>
      <c r="K455" s="8">
        <f t="shared" ca="1" si="93"/>
        <v>128.22000000000116</v>
      </c>
      <c r="L455" s="8">
        <f t="shared" ca="1" si="94"/>
        <v>609.44000000000233</v>
      </c>
      <c r="M455" s="9">
        <f ca="1">AVERAGE(E455:OFFSET(E455,-M$5+1,0))</f>
        <v>7051.3129999999992</v>
      </c>
      <c r="N455" s="9">
        <f ca="1">AVERAGE(E455:OFFSET(E455,-N$5+1,0))</f>
        <v>7032.1129999999994</v>
      </c>
      <c r="O455" s="9">
        <f t="shared" ca="1" si="95"/>
        <v>0</v>
      </c>
      <c r="P455" s="14">
        <f t="shared" si="100"/>
        <v>0.90987841113132506</v>
      </c>
      <c r="Q455" s="15">
        <f ca="1">STDEV(P455:OFFSET(P455,-$Q$5+1,0))</f>
        <v>0.66216354998751914</v>
      </c>
      <c r="R455" s="15">
        <f ca="1">STDEV(P455:OFFSET(P455,-$R$5+1,0))</f>
        <v>0.85931184098015667</v>
      </c>
      <c r="S455" s="18">
        <f t="shared" si="87"/>
        <v>84.569999999999709</v>
      </c>
      <c r="T455" s="18">
        <f t="shared" si="88"/>
        <v>84.569999999999709</v>
      </c>
      <c r="U455" s="18">
        <f t="shared" si="96"/>
        <v>64.416581704611986</v>
      </c>
      <c r="V455" s="33">
        <f ca="1">AVERAGE(E455:OFFSET(E455,-V$5+1,0))</f>
        <v>7053.7935714285732</v>
      </c>
      <c r="W455" s="33">
        <f t="shared" ca="1" si="89"/>
        <v>7150.4184439854907</v>
      </c>
      <c r="X455" s="33">
        <f t="shared" ca="1" si="90"/>
        <v>6957.1686988716556</v>
      </c>
      <c r="Y455" s="32">
        <f t="shared" ca="1" si="97"/>
        <v>0</v>
      </c>
    </row>
    <row r="456" spans="1:25">
      <c r="A456" s="5">
        <v>39024</v>
      </c>
      <c r="B456" s="4">
        <v>7079.71</v>
      </c>
      <c r="C456" s="4">
        <v>7186.98</v>
      </c>
      <c r="D456" s="4">
        <v>7079.71</v>
      </c>
      <c r="E456" s="4">
        <v>7161.61</v>
      </c>
      <c r="F456" s="4">
        <v>4542400</v>
      </c>
      <c r="G456" s="8">
        <f t="shared" si="99"/>
        <v>1.6099999999996726</v>
      </c>
      <c r="H456" s="8">
        <f t="shared" si="98"/>
        <v>81.899999999999636</v>
      </c>
      <c r="I456" s="20">
        <f t="shared" ca="1" si="91"/>
        <v>1</v>
      </c>
      <c r="J456" s="8">
        <f t="shared" ca="1" si="92"/>
        <v>2</v>
      </c>
      <c r="K456" s="8">
        <f t="shared" ca="1" si="93"/>
        <v>167.01999999999862</v>
      </c>
      <c r="L456" s="8">
        <f t="shared" ca="1" si="94"/>
        <v>776.46000000000095</v>
      </c>
      <c r="M456" s="9">
        <f ca="1">AVERAGE(E456:OFFSET(E456,-M$5+1,0))</f>
        <v>7063.5369999999994</v>
      </c>
      <c r="N456" s="9">
        <f ca="1">AVERAGE(E456:OFFSET(E456,-N$5+1,0))</f>
        <v>7042.3494999999984</v>
      </c>
      <c r="O456" s="9">
        <f t="shared" ca="1" si="95"/>
        <v>0</v>
      </c>
      <c r="P456" s="14">
        <f t="shared" si="100"/>
        <v>1.1729305922159003</v>
      </c>
      <c r="Q456" s="15">
        <f ca="1">STDEV(P456:OFFSET(P456,-$Q$5+1,0))</f>
        <v>0.72856426058196888</v>
      </c>
      <c r="R456" s="15">
        <f ca="1">STDEV(P456:OFFSET(P456,-$R$5+1,0))</f>
        <v>0.87315468110106376</v>
      </c>
      <c r="S456" s="18">
        <f t="shared" si="87"/>
        <v>107.26999999999953</v>
      </c>
      <c r="T456" s="18">
        <f t="shared" si="88"/>
        <v>108.8799999999992</v>
      </c>
      <c r="U456" s="18">
        <f t="shared" si="96"/>
        <v>70.34503747733028</v>
      </c>
      <c r="V456" s="33">
        <f ca="1">AVERAGE(E456:OFFSET(E456,-V$5+1,0))</f>
        <v>7054.5214285714301</v>
      </c>
      <c r="W456" s="33">
        <f t="shared" ca="1" si="89"/>
        <v>7160.0389847874258</v>
      </c>
      <c r="X456" s="33">
        <f t="shared" ca="1" si="90"/>
        <v>6949.0038723554344</v>
      </c>
      <c r="Y456" s="32">
        <f t="shared" ca="1" si="97"/>
        <v>1</v>
      </c>
    </row>
    <row r="457" spans="1:25">
      <c r="A457" s="5">
        <v>39027</v>
      </c>
      <c r="B457" s="4">
        <v>7036.89</v>
      </c>
      <c r="C457" s="4">
        <v>7160.66</v>
      </c>
      <c r="D457" s="4">
        <v>7036.89</v>
      </c>
      <c r="E457" s="4">
        <v>7120.44</v>
      </c>
      <c r="F457" s="4">
        <v>3831400</v>
      </c>
      <c r="G457" s="8">
        <f t="shared" si="99"/>
        <v>-124.71999999999935</v>
      </c>
      <c r="H457" s="8">
        <f t="shared" si="98"/>
        <v>83.549999999999272</v>
      </c>
      <c r="I457" s="20">
        <f t="shared" ca="1" si="91"/>
        <v>0</v>
      </c>
      <c r="J457" s="8">
        <f t="shared" ca="1" si="92"/>
        <v>3</v>
      </c>
      <c r="K457" s="8">
        <f t="shared" ca="1" si="93"/>
        <v>1.2099999999991269</v>
      </c>
      <c r="L457" s="8">
        <f t="shared" ca="1" si="94"/>
        <v>777.67000000000007</v>
      </c>
      <c r="M457" s="9">
        <f ca="1">AVERAGE(E457:OFFSET(E457,-M$5+1,0))</f>
        <v>7071.5549999999985</v>
      </c>
      <c r="N457" s="9">
        <f ca="1">AVERAGE(E457:OFFSET(E457,-N$5+1,0))</f>
        <v>7054.6225000000004</v>
      </c>
      <c r="O457" s="9">
        <f t="shared" ca="1" si="95"/>
        <v>0</v>
      </c>
      <c r="P457" s="14">
        <f t="shared" si="100"/>
        <v>-0.57652947631628837</v>
      </c>
      <c r="Q457" s="15">
        <f ca="1">STDEV(P457:OFFSET(P457,-$Q$5+1,0))</f>
        <v>0.76576993070598853</v>
      </c>
      <c r="R457" s="15">
        <f ca="1">STDEV(P457:OFFSET(P457,-$R$5+1,0))</f>
        <v>0.87051630691551829</v>
      </c>
      <c r="S457" s="18">
        <f t="shared" si="87"/>
        <v>123.76999999999953</v>
      </c>
      <c r="T457" s="18">
        <f t="shared" si="88"/>
        <v>124.71999999999935</v>
      </c>
      <c r="U457" s="18">
        <f t="shared" si="96"/>
        <v>77.595032480352828</v>
      </c>
      <c r="V457" s="33">
        <f ca="1">AVERAGE(E457:OFFSET(E457,-V$5+1,0))</f>
        <v>7057.7578571428576</v>
      </c>
      <c r="W457" s="33">
        <f t="shared" ca="1" si="89"/>
        <v>7174.1504058633873</v>
      </c>
      <c r="X457" s="33">
        <f t="shared" ca="1" si="90"/>
        <v>6941.3653084223279</v>
      </c>
      <c r="Y457" s="32">
        <f t="shared" ca="1" si="97"/>
        <v>0</v>
      </c>
    </row>
    <row r="458" spans="1:25">
      <c r="A458" s="5">
        <v>39028</v>
      </c>
      <c r="B458" s="4">
        <v>7198.9</v>
      </c>
      <c r="C458" s="4">
        <v>7219.06</v>
      </c>
      <c r="D458" s="4">
        <v>7180.75</v>
      </c>
      <c r="E458" s="4">
        <v>7184.65</v>
      </c>
      <c r="F458" s="4">
        <v>4562600</v>
      </c>
      <c r="G458" s="8">
        <f t="shared" si="99"/>
        <v>78.460000000000036</v>
      </c>
      <c r="H458" s="8">
        <f t="shared" si="98"/>
        <v>-14.25</v>
      </c>
      <c r="I458" s="20">
        <f t="shared" ca="1" si="91"/>
        <v>0</v>
      </c>
      <c r="J458" s="8">
        <f t="shared" ca="1" si="92"/>
        <v>3</v>
      </c>
      <c r="K458" s="8">
        <f t="shared" ca="1" si="93"/>
        <v>192.63000000000011</v>
      </c>
      <c r="L458" s="8">
        <f t="shared" ca="1" si="94"/>
        <v>970.30000000000018</v>
      </c>
      <c r="M458" s="9">
        <f ca="1">AVERAGE(E458:OFFSET(E458,-M$5+1,0))</f>
        <v>7080.2780000000002</v>
      </c>
      <c r="N458" s="9">
        <f ca="1">AVERAGE(E458:OFFSET(E458,-N$5+1,0))</f>
        <v>7063.9930000000004</v>
      </c>
      <c r="O458" s="9">
        <f t="shared" ca="1" si="95"/>
        <v>0</v>
      </c>
      <c r="P458" s="14">
        <f t="shared" si="100"/>
        <v>0.89772844815148056</v>
      </c>
      <c r="Q458" s="15">
        <f ca="1">STDEV(P458:OFFSET(P458,-$Q$5+1,0))</f>
        <v>0.77522049060714759</v>
      </c>
      <c r="R458" s="15">
        <f ca="1">STDEV(P458:OFFSET(P458,-$R$5+1,0))</f>
        <v>0.87763787026324735</v>
      </c>
      <c r="S458" s="18">
        <f t="shared" si="87"/>
        <v>38.3100000000004</v>
      </c>
      <c r="T458" s="18">
        <f t="shared" si="88"/>
        <v>98.6200000000008</v>
      </c>
      <c r="U458" s="18">
        <f t="shared" si="96"/>
        <v>80.398361482972561</v>
      </c>
      <c r="V458" s="33">
        <f ca="1">AVERAGE(E458:OFFSET(E458,-V$5+1,0))</f>
        <v>7069.6900000000005</v>
      </c>
      <c r="W458" s="33">
        <f t="shared" ca="1" si="89"/>
        <v>7190.2875422244597</v>
      </c>
      <c r="X458" s="33">
        <f t="shared" ca="1" si="90"/>
        <v>6949.0924577755413</v>
      </c>
      <c r="Y458" s="32">
        <f t="shared" ca="1" si="97"/>
        <v>0</v>
      </c>
    </row>
    <row r="459" spans="1:25">
      <c r="A459" s="5">
        <v>39029</v>
      </c>
      <c r="B459" s="4">
        <v>7200.77</v>
      </c>
      <c r="C459" s="4">
        <v>7207.33</v>
      </c>
      <c r="D459" s="4">
        <v>7176.66</v>
      </c>
      <c r="E459" s="4">
        <v>7178.34</v>
      </c>
      <c r="F459" s="4">
        <v>4177600</v>
      </c>
      <c r="G459" s="8">
        <f t="shared" si="99"/>
        <v>16.1200000000008</v>
      </c>
      <c r="H459" s="8">
        <f t="shared" si="98"/>
        <v>-22.430000000000291</v>
      </c>
      <c r="I459" s="20">
        <f t="shared" ca="1" si="91"/>
        <v>0</v>
      </c>
      <c r="J459" s="8">
        <f t="shared" ca="1" si="92"/>
        <v>3</v>
      </c>
      <c r="K459" s="8">
        <f t="shared" ca="1" si="93"/>
        <v>-18.929999999998472</v>
      </c>
      <c r="L459" s="8">
        <f t="shared" ca="1" si="94"/>
        <v>951.37000000000171</v>
      </c>
      <c r="M459" s="9">
        <f ca="1">AVERAGE(E459:OFFSET(E459,-M$5+1,0))</f>
        <v>7092.1229999999996</v>
      </c>
      <c r="N459" s="9">
        <f ca="1">AVERAGE(E459:OFFSET(E459,-N$5+1,0))</f>
        <v>7072.576500000001</v>
      </c>
      <c r="O459" s="9">
        <f t="shared" ca="1" si="95"/>
        <v>0</v>
      </c>
      <c r="P459" s="14">
        <f t="shared" si="100"/>
        <v>-8.786471905855156E-2</v>
      </c>
      <c r="Q459" s="15">
        <f ca="1">STDEV(P459:OFFSET(P459,-$Q$5+1,0))</f>
        <v>0.74592934344053541</v>
      </c>
      <c r="R459" s="15">
        <f ca="1">STDEV(P459:OFFSET(P459,-$R$5+1,0))</f>
        <v>0.87861420619337227</v>
      </c>
      <c r="S459" s="18">
        <f t="shared" si="87"/>
        <v>30.670000000000073</v>
      </c>
      <c r="T459" s="18">
        <f t="shared" si="88"/>
        <v>30.670000000000073</v>
      </c>
      <c r="U459" s="18">
        <f t="shared" si="96"/>
        <v>73.767913285242898</v>
      </c>
      <c r="V459" s="33">
        <f ca="1">AVERAGE(E459:OFFSET(E459,-V$5+1,0))</f>
        <v>7082.7264285714273</v>
      </c>
      <c r="W459" s="33">
        <f t="shared" ca="1" si="89"/>
        <v>7193.3782984992913</v>
      </c>
      <c r="X459" s="33">
        <f t="shared" ca="1" si="90"/>
        <v>6972.0745586435633</v>
      </c>
      <c r="Y459" s="32">
        <f t="shared" ca="1" si="97"/>
        <v>0</v>
      </c>
    </row>
    <row r="460" spans="1:25">
      <c r="A460" s="5">
        <v>39030</v>
      </c>
      <c r="B460" s="4">
        <v>7209.9</v>
      </c>
      <c r="C460" s="4">
        <v>7242.45</v>
      </c>
      <c r="D460" s="4">
        <v>7146.72</v>
      </c>
      <c r="E460" s="4">
        <v>7151.13</v>
      </c>
      <c r="F460" s="4">
        <v>5517600</v>
      </c>
      <c r="G460" s="8">
        <f t="shared" si="99"/>
        <v>31.559999999999491</v>
      </c>
      <c r="H460" s="8">
        <f t="shared" si="98"/>
        <v>-58.769999999999527</v>
      </c>
      <c r="I460" s="20">
        <f t="shared" ca="1" si="91"/>
        <v>0</v>
      </c>
      <c r="J460" s="8">
        <f t="shared" ca="1" si="92"/>
        <v>3</v>
      </c>
      <c r="K460" s="8">
        <f t="shared" ca="1" si="93"/>
        <v>-81.630000000000109</v>
      </c>
      <c r="L460" s="8">
        <f t="shared" ca="1" si="94"/>
        <v>869.7400000000016</v>
      </c>
      <c r="M460" s="9">
        <f ca="1">AVERAGE(E460:OFFSET(E460,-M$5+1,0))</f>
        <v>7099.152</v>
      </c>
      <c r="N460" s="9">
        <f ca="1">AVERAGE(E460:OFFSET(E460,-N$5+1,0))</f>
        <v>7080.9040000000005</v>
      </c>
      <c r="O460" s="9">
        <f t="shared" ca="1" si="95"/>
        <v>0</v>
      </c>
      <c r="P460" s="14">
        <f t="shared" si="100"/>
        <v>-0.37977723815765752</v>
      </c>
      <c r="Q460" s="15">
        <f ca="1">STDEV(P460:OFFSET(P460,-$Q$5+1,0))</f>
        <v>0.76328253998397944</v>
      </c>
      <c r="R460" s="15">
        <f ca="1">STDEV(P460:OFFSET(P460,-$R$5+1,0))</f>
        <v>0.88264975096141962</v>
      </c>
      <c r="S460" s="18">
        <f t="shared" si="87"/>
        <v>95.729999999999563</v>
      </c>
      <c r="T460" s="18">
        <f t="shared" si="88"/>
        <v>95.729999999999563</v>
      </c>
      <c r="U460" s="18">
        <f t="shared" si="96"/>
        <v>76.696191513877125</v>
      </c>
      <c r="V460" s="33">
        <f ca="1">AVERAGE(E460:OFFSET(E460,-V$5+1,0))</f>
        <v>7090.7092857142852</v>
      </c>
      <c r="W460" s="33">
        <f t="shared" ca="1" si="89"/>
        <v>7205.7535729851006</v>
      </c>
      <c r="X460" s="33">
        <f t="shared" ca="1" si="90"/>
        <v>6975.6649984434698</v>
      </c>
      <c r="Y460" s="32">
        <f t="shared" ca="1" si="97"/>
        <v>0</v>
      </c>
    </row>
    <row r="461" spans="1:25">
      <c r="A461" s="5">
        <v>39031</v>
      </c>
      <c r="B461" s="4">
        <v>7159.8</v>
      </c>
      <c r="C461" s="4">
        <v>7176.06</v>
      </c>
      <c r="D461" s="4">
        <v>7130.57</v>
      </c>
      <c r="E461" s="4">
        <v>7174.2</v>
      </c>
      <c r="F461" s="4">
        <v>3426600</v>
      </c>
      <c r="G461" s="8">
        <f t="shared" si="99"/>
        <v>8.6700000000000728</v>
      </c>
      <c r="H461" s="8">
        <f t="shared" si="98"/>
        <v>14.399999999999636</v>
      </c>
      <c r="I461" s="20">
        <f t="shared" ca="1" si="91"/>
        <v>0</v>
      </c>
      <c r="J461" s="8">
        <f t="shared" ca="1" si="92"/>
        <v>3</v>
      </c>
      <c r="K461" s="8">
        <f t="shared" ca="1" si="93"/>
        <v>69.209999999999127</v>
      </c>
      <c r="L461" s="8">
        <f t="shared" ca="1" si="94"/>
        <v>938.95000000000073</v>
      </c>
      <c r="M461" s="9">
        <f ca="1">AVERAGE(E461:OFFSET(E461,-M$5+1,0))</f>
        <v>7107.898000000001</v>
      </c>
      <c r="N461" s="9">
        <f ca="1">AVERAGE(E461:OFFSET(E461,-N$5+1,0))</f>
        <v>7086.1740000000018</v>
      </c>
      <c r="O461" s="9">
        <f t="shared" ca="1" si="95"/>
        <v>0</v>
      </c>
      <c r="P461" s="14">
        <f t="shared" si="100"/>
        <v>0.32208709948086089</v>
      </c>
      <c r="Q461" s="15">
        <f ca="1">STDEV(P461:OFFSET(P461,-$Q$5+1,0))</f>
        <v>0.76647291006508145</v>
      </c>
      <c r="R461" s="15">
        <f ca="1">STDEV(P461:OFFSET(P461,-$R$5+1,0))</f>
        <v>0.86158135441298889</v>
      </c>
      <c r="S461" s="18">
        <f t="shared" si="87"/>
        <v>45.490000000000691</v>
      </c>
      <c r="T461" s="18">
        <f t="shared" si="88"/>
        <v>45.490000000000691</v>
      </c>
      <c r="U461" s="18">
        <f t="shared" si="96"/>
        <v>72.535365978693605</v>
      </c>
      <c r="V461" s="33">
        <f ca="1">AVERAGE(E461:OFFSET(E461,-V$5+1,0))</f>
        <v>7100.2764285714275</v>
      </c>
      <c r="W461" s="33">
        <f t="shared" ca="1" si="89"/>
        <v>7209.0794775394679</v>
      </c>
      <c r="X461" s="33">
        <f t="shared" ca="1" si="90"/>
        <v>6991.473379603387</v>
      </c>
      <c r="Y461" s="32">
        <f t="shared" ca="1" si="97"/>
        <v>0</v>
      </c>
    </row>
    <row r="462" spans="1:25">
      <c r="A462" s="5">
        <v>39034</v>
      </c>
      <c r="B462" s="4">
        <v>7182.78</v>
      </c>
      <c r="C462" s="4">
        <v>7191.09</v>
      </c>
      <c r="D462" s="4">
        <v>7136.06</v>
      </c>
      <c r="E462" s="4">
        <v>7136.06</v>
      </c>
      <c r="F462" s="4">
        <v>3744600</v>
      </c>
      <c r="G462" s="8">
        <f t="shared" si="99"/>
        <v>8.5799999999999272</v>
      </c>
      <c r="H462" s="8">
        <f t="shared" si="98"/>
        <v>-46.719999999999345</v>
      </c>
      <c r="I462" s="20">
        <f t="shared" ca="1" si="91"/>
        <v>0</v>
      </c>
      <c r="J462" s="8">
        <f t="shared" ca="1" si="92"/>
        <v>3</v>
      </c>
      <c r="K462" s="8">
        <f t="shared" ca="1" si="93"/>
        <v>-114.41999999999825</v>
      </c>
      <c r="L462" s="8">
        <f t="shared" ca="1" si="94"/>
        <v>824.53000000000247</v>
      </c>
      <c r="M462" s="9">
        <f ca="1">AVERAGE(E462:OFFSET(E462,-M$5+1,0))</f>
        <v>7121.9839999999995</v>
      </c>
      <c r="N462" s="9">
        <f ca="1">AVERAGE(E462:OFFSET(E462,-N$5+1,0))</f>
        <v>7085.4060000000009</v>
      </c>
      <c r="O462" s="9">
        <f t="shared" ca="1" si="95"/>
        <v>0</v>
      </c>
      <c r="P462" s="14">
        <f t="shared" si="100"/>
        <v>-0.53304538573427052</v>
      </c>
      <c r="Q462" s="15">
        <f ca="1">STDEV(P462:OFFSET(P462,-$Q$5+1,0))</f>
        <v>0.63544609468994928</v>
      </c>
      <c r="R462" s="15">
        <f ca="1">STDEV(P462:OFFSET(P462,-$R$5+1,0))</f>
        <v>0.86680241540698899</v>
      </c>
      <c r="S462" s="18">
        <f t="shared" si="87"/>
        <v>55.029999999999745</v>
      </c>
      <c r="T462" s="18">
        <f t="shared" si="88"/>
        <v>55.029999999999745</v>
      </c>
      <c r="U462" s="18">
        <f t="shared" si="96"/>
        <v>70.201317181534435</v>
      </c>
      <c r="V462" s="33">
        <f ca="1">AVERAGE(E462:OFFSET(E462,-V$5+1,0))</f>
        <v>7103.0364285714286</v>
      </c>
      <c r="W462" s="33">
        <f t="shared" ca="1" si="89"/>
        <v>7208.33840434373</v>
      </c>
      <c r="X462" s="33">
        <f t="shared" ca="1" si="90"/>
        <v>6997.7344527991272</v>
      </c>
      <c r="Y462" s="32">
        <f t="shared" ca="1" si="97"/>
        <v>0</v>
      </c>
    </row>
    <row r="463" spans="1:25">
      <c r="A463" s="5">
        <v>39035</v>
      </c>
      <c r="B463" s="4">
        <v>7185.66</v>
      </c>
      <c r="C463" s="4">
        <v>7216.64</v>
      </c>
      <c r="D463" s="4">
        <v>7168.85</v>
      </c>
      <c r="E463" s="4">
        <v>7204.04</v>
      </c>
      <c r="F463" s="4">
        <v>4906000</v>
      </c>
      <c r="G463" s="8">
        <f t="shared" si="99"/>
        <v>49.599999999999454</v>
      </c>
      <c r="H463" s="8">
        <f t="shared" si="98"/>
        <v>18.380000000000109</v>
      </c>
      <c r="I463" s="20">
        <f t="shared" ca="1" si="91"/>
        <v>0</v>
      </c>
      <c r="J463" s="8">
        <f t="shared" ca="1" si="92"/>
        <v>3</v>
      </c>
      <c r="K463" s="8">
        <f t="shared" ca="1" si="93"/>
        <v>203.93999999999869</v>
      </c>
      <c r="L463" s="8">
        <f t="shared" ca="1" si="94"/>
        <v>1028.4700000000012</v>
      </c>
      <c r="M463" s="9">
        <f ca="1">AVERAGE(E463:OFFSET(E463,-M$5+1,0))</f>
        <v>7140.2559999999994</v>
      </c>
      <c r="N463" s="9">
        <f ca="1">AVERAGE(E463:OFFSET(E463,-N$5+1,0))</f>
        <v>7091.8514999999998</v>
      </c>
      <c r="O463" s="9">
        <f t="shared" ca="1" si="95"/>
        <v>0</v>
      </c>
      <c r="P463" s="14">
        <f t="shared" si="100"/>
        <v>0.94811764550346933</v>
      </c>
      <c r="Q463" s="15">
        <f ca="1">STDEV(P463:OFFSET(P463,-$Q$5+1,0))</f>
        <v>0.67754447202982215</v>
      </c>
      <c r="R463" s="15">
        <f ca="1">STDEV(P463:OFFSET(P463,-$R$5+1,0))</f>
        <v>0.85414303476439024</v>
      </c>
      <c r="S463" s="18">
        <f t="shared" si="87"/>
        <v>47.789999999999964</v>
      </c>
      <c r="T463" s="18">
        <f t="shared" si="88"/>
        <v>80.579999999999927</v>
      </c>
      <c r="U463" s="18">
        <f t="shared" si="96"/>
        <v>71.585141557329834</v>
      </c>
      <c r="V463" s="33">
        <f ca="1">AVERAGE(E463:OFFSET(E463,-V$5+1,0))</f>
        <v>7113.3328571428565</v>
      </c>
      <c r="W463" s="33">
        <f t="shared" ca="1" si="89"/>
        <v>7220.7105694788515</v>
      </c>
      <c r="X463" s="33">
        <f t="shared" ca="1" si="90"/>
        <v>7005.9551448068614</v>
      </c>
      <c r="Y463" s="32">
        <f t="shared" ca="1" si="97"/>
        <v>0</v>
      </c>
    </row>
    <row r="464" spans="1:25">
      <c r="A464" s="5">
        <v>39036</v>
      </c>
      <c r="B464" s="4">
        <v>7254.47</v>
      </c>
      <c r="C464" s="4">
        <v>7269.01</v>
      </c>
      <c r="D464" s="4">
        <v>7229.02</v>
      </c>
      <c r="E464" s="4">
        <v>7236.85</v>
      </c>
      <c r="F464" s="4">
        <v>4926600</v>
      </c>
      <c r="G464" s="8">
        <f t="shared" si="99"/>
        <v>50.430000000000291</v>
      </c>
      <c r="H464" s="8">
        <f t="shared" si="98"/>
        <v>-17.619999999999891</v>
      </c>
      <c r="I464" s="20">
        <f t="shared" ca="1" si="91"/>
        <v>1</v>
      </c>
      <c r="J464" s="8">
        <f t="shared" ca="1" si="92"/>
        <v>3</v>
      </c>
      <c r="K464" s="8">
        <f t="shared" ca="1" si="93"/>
        <v>98.430000000001201</v>
      </c>
      <c r="L464" s="8">
        <f t="shared" ca="1" si="94"/>
        <v>1126.9000000000024</v>
      </c>
      <c r="M464" s="9">
        <f ca="1">AVERAGE(E464:OFFSET(E464,-M$5+1,0))</f>
        <v>7162.5419999999995</v>
      </c>
      <c r="N464" s="9">
        <f ca="1">AVERAGE(E464:OFFSET(E464,-N$5+1,0))</f>
        <v>7102.8140000000003</v>
      </c>
      <c r="O464" s="9">
        <f t="shared" ca="1" si="95"/>
        <v>0</v>
      </c>
      <c r="P464" s="14">
        <f t="shared" si="100"/>
        <v>0.45440490795371291</v>
      </c>
      <c r="Q464" s="15">
        <f ca="1">STDEV(P464:OFFSET(P464,-$Q$5+1,0))</f>
        <v>0.6673989350424695</v>
      </c>
      <c r="R464" s="15">
        <f ca="1">STDEV(P464:OFFSET(P464,-$R$5+1,0))</f>
        <v>0.8390249679835331</v>
      </c>
      <c r="S464" s="18">
        <f t="shared" si="87"/>
        <v>39.989999999999782</v>
      </c>
      <c r="T464" s="18">
        <f t="shared" si="88"/>
        <v>64.970000000000255</v>
      </c>
      <c r="U464" s="18">
        <f t="shared" si="96"/>
        <v>70.703122683019217</v>
      </c>
      <c r="V464" s="33">
        <f ca="1">AVERAGE(E464:OFFSET(E464,-V$5+1,0))</f>
        <v>7124.4764285714282</v>
      </c>
      <c r="W464" s="33">
        <f t="shared" ca="1" si="89"/>
        <v>7230.531112595957</v>
      </c>
      <c r="X464" s="33">
        <f t="shared" ca="1" si="90"/>
        <v>7018.4217445468994</v>
      </c>
      <c r="Y464" s="32">
        <f t="shared" ca="1" si="97"/>
        <v>1</v>
      </c>
    </row>
    <row r="465" spans="1:25">
      <c r="A465" s="5">
        <v>39037</v>
      </c>
      <c r="B465" s="4">
        <v>7272.5</v>
      </c>
      <c r="C465" s="4">
        <v>7290.25</v>
      </c>
      <c r="D465" s="4">
        <v>7240.25</v>
      </c>
      <c r="E465" s="4">
        <v>7257.48</v>
      </c>
      <c r="F465" s="4">
        <v>4700000</v>
      </c>
      <c r="G465" s="8">
        <f t="shared" si="99"/>
        <v>35.649999999999636</v>
      </c>
      <c r="H465" s="8">
        <f t="shared" si="98"/>
        <v>-15.020000000000437</v>
      </c>
      <c r="I465" s="20">
        <f t="shared" ca="1" si="91"/>
        <v>0</v>
      </c>
      <c r="J465" s="8">
        <f t="shared" ca="1" si="92"/>
        <v>3</v>
      </c>
      <c r="K465" s="8">
        <f t="shared" ca="1" si="93"/>
        <v>61.889999999997599</v>
      </c>
      <c r="L465" s="8">
        <f t="shared" ca="1" si="94"/>
        <v>1188.79</v>
      </c>
      <c r="M465" s="9">
        <f ca="1">AVERAGE(E465:OFFSET(E465,-M$5+1,0))</f>
        <v>7180.4799999999987</v>
      </c>
      <c r="N465" s="9">
        <f ca="1">AVERAGE(E465:OFFSET(E465,-N$5+1,0))</f>
        <v>7115.8964999999998</v>
      </c>
      <c r="O465" s="9">
        <f t="shared" ca="1" si="95"/>
        <v>0</v>
      </c>
      <c r="P465" s="14">
        <f t="shared" si="100"/>
        <v>0.28466322942760591</v>
      </c>
      <c r="Q465" s="15">
        <f ca="1">STDEV(P465:OFFSET(P465,-$Q$5+1,0))</f>
        <v>0.63368262083933125</v>
      </c>
      <c r="R465" s="15">
        <f ca="1">STDEV(P465:OFFSET(P465,-$R$5+1,0))</f>
        <v>0.70907048445781784</v>
      </c>
      <c r="S465" s="18">
        <f t="shared" si="87"/>
        <v>50</v>
      </c>
      <c r="T465" s="18">
        <f t="shared" si="88"/>
        <v>53.399999999999636</v>
      </c>
      <c r="U465" s="18">
        <f t="shared" si="96"/>
        <v>68.396039658616601</v>
      </c>
      <c r="V465" s="33">
        <f ca="1">AVERAGE(E465:OFFSET(E465,-V$5+1,0))</f>
        <v>7136.6721428571427</v>
      </c>
      <c r="W465" s="33">
        <f t="shared" ca="1" si="89"/>
        <v>7239.2662023450675</v>
      </c>
      <c r="X465" s="33">
        <f t="shared" ca="1" si="90"/>
        <v>7034.0780833692179</v>
      </c>
      <c r="Y465" s="32">
        <f t="shared" ca="1" si="97"/>
        <v>0</v>
      </c>
    </row>
    <row r="466" spans="1:25">
      <c r="A466" s="5">
        <v>39038</v>
      </c>
      <c r="B466" s="4">
        <v>7282.38</v>
      </c>
      <c r="C466" s="4">
        <v>7287.91</v>
      </c>
      <c r="D466" s="4">
        <v>7251.65</v>
      </c>
      <c r="E466" s="4">
        <v>7259.54</v>
      </c>
      <c r="F466" s="4">
        <v>4341200</v>
      </c>
      <c r="G466" s="8">
        <f t="shared" si="99"/>
        <v>24.900000000000546</v>
      </c>
      <c r="H466" s="8">
        <f t="shared" si="98"/>
        <v>-22.840000000000146</v>
      </c>
      <c r="I466" s="20">
        <f t="shared" ca="1" si="91"/>
        <v>0</v>
      </c>
      <c r="J466" s="8">
        <f t="shared" ca="1" si="92"/>
        <v>3</v>
      </c>
      <c r="K466" s="8">
        <f t="shared" ca="1" si="93"/>
        <v>6.1800000000012005</v>
      </c>
      <c r="L466" s="8">
        <f t="shared" ca="1" si="94"/>
        <v>1194.9700000000012</v>
      </c>
      <c r="M466" s="9">
        <f ca="1">AVERAGE(E466:OFFSET(E466,-M$5+1,0))</f>
        <v>7190.2729999999992</v>
      </c>
      <c r="N466" s="9">
        <f ca="1">AVERAGE(E466:OFFSET(E466,-N$5+1,0))</f>
        <v>7126.9050000000007</v>
      </c>
      <c r="O466" s="9">
        <f t="shared" ca="1" si="95"/>
        <v>0</v>
      </c>
      <c r="P466" s="14">
        <f t="shared" si="100"/>
        <v>2.838048048190786E-2</v>
      </c>
      <c r="Q466" s="15">
        <f ca="1">STDEV(P466:OFFSET(P466,-$Q$5+1,0))</f>
        <v>0.54578377154487945</v>
      </c>
      <c r="R466" s="15">
        <f ca="1">STDEV(P466:OFFSET(P466,-$R$5+1,0))</f>
        <v>0.70890434973897398</v>
      </c>
      <c r="S466" s="18">
        <f t="shared" si="87"/>
        <v>36.260000000000218</v>
      </c>
      <c r="T466" s="18">
        <f t="shared" si="88"/>
        <v>36.260000000000218</v>
      </c>
      <c r="U466" s="18">
        <f t="shared" si="96"/>
        <v>64.111234370801085</v>
      </c>
      <c r="V466" s="33">
        <f ca="1">AVERAGE(E466:OFFSET(E466,-V$5+1,0))</f>
        <v>7155.5535714285706</v>
      </c>
      <c r="W466" s="33">
        <f t="shared" ca="1" si="89"/>
        <v>7251.7204229847721</v>
      </c>
      <c r="X466" s="33">
        <f t="shared" ca="1" si="90"/>
        <v>7059.3867198723692</v>
      </c>
      <c r="Y466" s="32">
        <f t="shared" ca="1" si="97"/>
        <v>0</v>
      </c>
    </row>
    <row r="467" spans="1:25">
      <c r="A467" s="5">
        <v>39041</v>
      </c>
      <c r="B467" s="4">
        <v>7266.4</v>
      </c>
      <c r="C467" s="4">
        <v>7270.28</v>
      </c>
      <c r="D467" s="4">
        <v>7228.97</v>
      </c>
      <c r="E467" s="4">
        <v>7261.48</v>
      </c>
      <c r="F467" s="4">
        <v>4126200</v>
      </c>
      <c r="G467" s="8">
        <f t="shared" si="99"/>
        <v>6.8599999999996726</v>
      </c>
      <c r="H467" s="8">
        <f t="shared" si="98"/>
        <v>-4.9200000000000728</v>
      </c>
      <c r="I467" s="20">
        <f t="shared" ca="1" si="91"/>
        <v>0</v>
      </c>
      <c r="J467" s="8">
        <f t="shared" ca="1" si="92"/>
        <v>3</v>
      </c>
      <c r="K467" s="8">
        <f t="shared" ca="1" si="93"/>
        <v>5.8199999999987995</v>
      </c>
      <c r="L467" s="8">
        <f t="shared" ca="1" si="94"/>
        <v>1200.79</v>
      </c>
      <c r="M467" s="9">
        <f ca="1">AVERAGE(E467:OFFSET(E467,-M$5+1,0))</f>
        <v>7204.3770000000004</v>
      </c>
      <c r="N467" s="9">
        <f ca="1">AVERAGE(E467:OFFSET(E467,-N$5+1,0))</f>
        <v>7137.9659999999985</v>
      </c>
      <c r="O467" s="9">
        <f t="shared" ca="1" si="95"/>
        <v>0</v>
      </c>
      <c r="P467" s="14">
        <f t="shared" si="100"/>
        <v>2.6719886227576064E-2</v>
      </c>
      <c r="Q467" s="15">
        <f ca="1">STDEV(P467:OFFSET(P467,-$Q$5+1,0))</f>
        <v>0.48864820683129084</v>
      </c>
      <c r="R467" s="15">
        <f ca="1">STDEV(P467:OFFSET(P467,-$R$5+1,0))</f>
        <v>0.70843251825236175</v>
      </c>
      <c r="S467" s="18">
        <f t="shared" si="87"/>
        <v>41.309999999999491</v>
      </c>
      <c r="T467" s="18">
        <f t="shared" si="88"/>
        <v>41.309999999999491</v>
      </c>
      <c r="U467" s="18">
        <f t="shared" si="96"/>
        <v>61.071069788027543</v>
      </c>
      <c r="V467" s="33">
        <f ca="1">AVERAGE(E467:OFFSET(E467,-V$5+1,0))</f>
        <v>7172.7078571428565</v>
      </c>
      <c r="W467" s="33">
        <f t="shared" ca="1" si="89"/>
        <v>7264.314461824898</v>
      </c>
      <c r="X467" s="33">
        <f t="shared" ca="1" si="90"/>
        <v>7081.101252460815</v>
      </c>
      <c r="Y467" s="32">
        <f t="shared" ca="1" si="97"/>
        <v>0</v>
      </c>
    </row>
    <row r="468" spans="1:25">
      <c r="A468" s="5">
        <v>39042</v>
      </c>
      <c r="B468" s="4">
        <v>7258.63</v>
      </c>
      <c r="C468" s="4">
        <v>7320.06</v>
      </c>
      <c r="D468" s="4">
        <v>7245.42</v>
      </c>
      <c r="E468" s="4">
        <v>7309.69</v>
      </c>
      <c r="F468" s="4">
        <v>4161600</v>
      </c>
      <c r="G468" s="8">
        <f t="shared" si="99"/>
        <v>-2.8499999999994543</v>
      </c>
      <c r="H468" s="8">
        <f t="shared" si="98"/>
        <v>51.059999999999491</v>
      </c>
      <c r="I468" s="20">
        <f t="shared" ca="1" si="91"/>
        <v>1</v>
      </c>
      <c r="J468" s="8">
        <f t="shared" ca="1" si="92"/>
        <v>3</v>
      </c>
      <c r="K468" s="8">
        <f t="shared" ca="1" si="93"/>
        <v>144.63000000000011</v>
      </c>
      <c r="L468" s="8">
        <f t="shared" ca="1" si="94"/>
        <v>1345.42</v>
      </c>
      <c r="M468" s="9">
        <f ca="1">AVERAGE(E468:OFFSET(E468,-M$5+1,0))</f>
        <v>7216.8810000000012</v>
      </c>
      <c r="N468" s="9">
        <f ca="1">AVERAGE(E468:OFFSET(E468,-N$5+1,0))</f>
        <v>7148.5794999999998</v>
      </c>
      <c r="O468" s="9">
        <f t="shared" ca="1" si="95"/>
        <v>0</v>
      </c>
      <c r="P468" s="14">
        <f t="shared" si="100"/>
        <v>0.66172003916656552</v>
      </c>
      <c r="Q468" s="15">
        <f ca="1">STDEV(P468:OFFSET(P468,-$Q$5+1,0))</f>
        <v>0.45557811054630565</v>
      </c>
      <c r="R468" s="15">
        <f ca="1">STDEV(P468:OFFSET(P468,-$R$5+1,0))</f>
        <v>0.71328667947963054</v>
      </c>
      <c r="S468" s="18">
        <f t="shared" si="87"/>
        <v>74.640000000000327</v>
      </c>
      <c r="T468" s="18">
        <f t="shared" si="88"/>
        <v>74.640000000000327</v>
      </c>
      <c r="U468" s="18">
        <f t="shared" si="96"/>
        <v>62.880260482957254</v>
      </c>
      <c r="V468" s="33">
        <f ca="1">AVERAGE(E468:OFFSET(E468,-V$5+1,0))</f>
        <v>7193.8292857142851</v>
      </c>
      <c r="W468" s="33">
        <f t="shared" ca="1" si="89"/>
        <v>7288.1496764387211</v>
      </c>
      <c r="X468" s="33">
        <f t="shared" ca="1" si="90"/>
        <v>7099.5088949898491</v>
      </c>
      <c r="Y468" s="32">
        <f t="shared" ca="1" si="97"/>
        <v>1</v>
      </c>
    </row>
    <row r="469" spans="1:25">
      <c r="A469" s="5">
        <v>39043</v>
      </c>
      <c r="B469" s="4">
        <v>7330.01</v>
      </c>
      <c r="C469" s="4">
        <v>7350.63</v>
      </c>
      <c r="D469" s="4">
        <v>7314.36</v>
      </c>
      <c r="E469" s="4">
        <v>7348.77</v>
      </c>
      <c r="F469" s="4">
        <v>4604400</v>
      </c>
      <c r="G469" s="8">
        <f t="shared" si="99"/>
        <v>20.320000000000618</v>
      </c>
      <c r="H469" s="8">
        <f t="shared" si="98"/>
        <v>18.760000000000218</v>
      </c>
      <c r="I469" s="20">
        <f t="shared" ca="1" si="91"/>
        <v>0</v>
      </c>
      <c r="J469" s="8">
        <f t="shared" ca="1" si="92"/>
        <v>3</v>
      </c>
      <c r="K469" s="8">
        <f t="shared" ca="1" si="93"/>
        <v>117.24000000000251</v>
      </c>
      <c r="L469" s="8">
        <f t="shared" ca="1" si="94"/>
        <v>1462.6600000000026</v>
      </c>
      <c r="M469" s="9">
        <f ca="1">AVERAGE(E469:OFFSET(E469,-M$5+1,0))</f>
        <v>7233.9240000000009</v>
      </c>
      <c r="N469" s="9">
        <f ca="1">AVERAGE(E469:OFFSET(E469,-N$5+1,0))</f>
        <v>7163.0234999999984</v>
      </c>
      <c r="O469" s="9">
        <f t="shared" ca="1" si="95"/>
        <v>0</v>
      </c>
      <c r="P469" s="14">
        <f t="shared" si="100"/>
        <v>0.53320870801904918</v>
      </c>
      <c r="Q469" s="15">
        <f ca="1">STDEV(P469:OFFSET(P469,-$Q$5+1,0))</f>
        <v>0.45845877966193233</v>
      </c>
      <c r="R469" s="15">
        <f ca="1">STDEV(P469:OFFSET(P469,-$R$5+1,0))</f>
        <v>0.71500044819021313</v>
      </c>
      <c r="S469" s="18">
        <f t="shared" si="87"/>
        <v>36.270000000000437</v>
      </c>
      <c r="T469" s="18">
        <f t="shared" si="88"/>
        <v>40.940000000000509</v>
      </c>
      <c r="U469" s="18">
        <f t="shared" si="96"/>
        <v>59.954892418563027</v>
      </c>
      <c r="V469" s="33">
        <f ca="1">AVERAGE(E469:OFFSET(E469,-V$5+1,0))</f>
        <v>7213.1628571428564</v>
      </c>
      <c r="W469" s="33">
        <f t="shared" ca="1" si="89"/>
        <v>7303.0951957707011</v>
      </c>
      <c r="X469" s="33">
        <f t="shared" ca="1" si="90"/>
        <v>7123.2305185150117</v>
      </c>
      <c r="Y469" s="32">
        <f t="shared" ca="1" si="97"/>
        <v>0</v>
      </c>
    </row>
    <row r="470" spans="1:25">
      <c r="A470" s="5">
        <v>39044</v>
      </c>
      <c r="B470" s="4">
        <v>7371.3</v>
      </c>
      <c r="C470" s="4">
        <v>7430.9</v>
      </c>
      <c r="D470" s="4">
        <v>7368.01</v>
      </c>
      <c r="E470" s="4">
        <v>7384.69</v>
      </c>
      <c r="F470" s="4">
        <v>5207800</v>
      </c>
      <c r="G470" s="8">
        <f t="shared" si="99"/>
        <v>22.529999999999745</v>
      </c>
      <c r="H470" s="8">
        <f t="shared" si="98"/>
        <v>13.389999999999418</v>
      </c>
      <c r="I470" s="20">
        <f t="shared" ca="1" si="91"/>
        <v>0</v>
      </c>
      <c r="J470" s="8">
        <f t="shared" ca="1" si="92"/>
        <v>3</v>
      </c>
      <c r="K470" s="8">
        <f t="shared" ca="1" si="93"/>
        <v>107.75999999999749</v>
      </c>
      <c r="L470" s="8">
        <f t="shared" ca="1" si="94"/>
        <v>1570.42</v>
      </c>
      <c r="M470" s="9">
        <f ca="1">AVERAGE(E470:OFFSET(E470,-M$5+1,0))</f>
        <v>7257.2800000000016</v>
      </c>
      <c r="N470" s="9">
        <f ca="1">AVERAGE(E470:OFFSET(E470,-N$5+1,0))</f>
        <v>7178.2159999999985</v>
      </c>
      <c r="O470" s="9">
        <f t="shared" ca="1" si="95"/>
        <v>0</v>
      </c>
      <c r="P470" s="14">
        <f t="shared" si="100"/>
        <v>0.48759858400108241</v>
      </c>
      <c r="Q470" s="15">
        <f ca="1">STDEV(P470:OFFSET(P470,-$Q$5+1,0))</f>
        <v>0.40864161501454166</v>
      </c>
      <c r="R470" s="15">
        <f ca="1">STDEV(P470:OFFSET(P470,-$R$5+1,0))</f>
        <v>0.71610623248505789</v>
      </c>
      <c r="S470" s="18">
        <f t="shared" si="87"/>
        <v>62.889999999999418</v>
      </c>
      <c r="T470" s="18">
        <f t="shared" si="88"/>
        <v>82.1299999999992</v>
      </c>
      <c r="U470" s="18">
        <f t="shared" si="96"/>
        <v>62.911573429421182</v>
      </c>
      <c r="V470" s="33">
        <f ca="1">AVERAGE(E470:OFFSET(E470,-V$5+1,0))</f>
        <v>7229.0971428571429</v>
      </c>
      <c r="W470" s="33">
        <f t="shared" ca="1" si="89"/>
        <v>7323.4645030012744</v>
      </c>
      <c r="X470" s="33">
        <f t="shared" ca="1" si="90"/>
        <v>7134.7297827130114</v>
      </c>
      <c r="Y470" s="32">
        <f t="shared" ca="1" si="97"/>
        <v>0</v>
      </c>
    </row>
    <row r="471" spans="1:25">
      <c r="A471" s="5">
        <v>39045</v>
      </c>
      <c r="B471" s="4">
        <v>7394.75</v>
      </c>
      <c r="C471" s="4">
        <v>7427.36</v>
      </c>
      <c r="D471" s="4">
        <v>7366.08</v>
      </c>
      <c r="E471" s="4">
        <v>7427.36</v>
      </c>
      <c r="F471" s="4">
        <v>4488200</v>
      </c>
      <c r="G471" s="8">
        <f t="shared" si="99"/>
        <v>10.0600000000004</v>
      </c>
      <c r="H471" s="8">
        <f t="shared" si="98"/>
        <v>32.609999999999673</v>
      </c>
      <c r="I471" s="20">
        <f t="shared" ca="1" si="91"/>
        <v>0</v>
      </c>
      <c r="J471" s="8">
        <f t="shared" ca="1" si="92"/>
        <v>3</v>
      </c>
      <c r="K471" s="8">
        <f t="shared" ca="1" si="93"/>
        <v>128.01000000000022</v>
      </c>
      <c r="L471" s="8">
        <f t="shared" ca="1" si="94"/>
        <v>1698.4300000000003</v>
      </c>
      <c r="M471" s="9">
        <f ca="1">AVERAGE(E471:OFFSET(E471,-M$5+1,0))</f>
        <v>7282.5960000000005</v>
      </c>
      <c r="N471" s="9">
        <f ca="1">AVERAGE(E471:OFFSET(E471,-N$5+1,0))</f>
        <v>7195.2469999999985</v>
      </c>
      <c r="O471" s="9">
        <f t="shared" ca="1" si="95"/>
        <v>0</v>
      </c>
      <c r="P471" s="14">
        <f t="shared" si="100"/>
        <v>0.57615411826304086</v>
      </c>
      <c r="Q471" s="15">
        <f ca="1">STDEV(P471:OFFSET(P471,-$Q$5+1,0))</f>
        <v>0.41651240710040599</v>
      </c>
      <c r="R471" s="15">
        <f ca="1">STDEV(P471:OFFSET(P471,-$R$5+1,0))</f>
        <v>0.71725476663539456</v>
      </c>
      <c r="S471" s="18">
        <f t="shared" si="87"/>
        <v>61.279999999999745</v>
      </c>
      <c r="T471" s="18">
        <f t="shared" si="88"/>
        <v>61.279999999999745</v>
      </c>
      <c r="U471" s="18">
        <f t="shared" si="96"/>
        <v>62.694030305498323</v>
      </c>
      <c r="V471" s="33">
        <f ca="1">AVERAGE(E471:OFFSET(E471,-V$5+1,0))</f>
        <v>7251.0200000000013</v>
      </c>
      <c r="W471" s="33">
        <f t="shared" ca="1" si="89"/>
        <v>7345.0610454582493</v>
      </c>
      <c r="X471" s="33">
        <f t="shared" ca="1" si="90"/>
        <v>7156.9789545417534</v>
      </c>
      <c r="Y471" s="32">
        <f t="shared" ca="1" si="97"/>
        <v>0</v>
      </c>
    </row>
    <row r="472" spans="1:25">
      <c r="A472" s="5">
        <v>39048</v>
      </c>
      <c r="B472" s="4">
        <v>7494.59</v>
      </c>
      <c r="C472" s="4">
        <v>7506.07</v>
      </c>
      <c r="D472" s="4">
        <v>7463.88</v>
      </c>
      <c r="E472" s="4">
        <v>7498.15</v>
      </c>
      <c r="F472" s="4">
        <v>5589200</v>
      </c>
      <c r="G472" s="8">
        <f t="shared" si="99"/>
        <v>67.230000000000473</v>
      </c>
      <c r="H472" s="8">
        <f t="shared" si="98"/>
        <v>3.5599999999994907</v>
      </c>
      <c r="I472" s="20">
        <f t="shared" ca="1" si="91"/>
        <v>0</v>
      </c>
      <c r="J472" s="8">
        <f t="shared" ca="1" si="92"/>
        <v>3</v>
      </c>
      <c r="K472" s="8">
        <f t="shared" ca="1" si="93"/>
        <v>212.36999999999989</v>
      </c>
      <c r="L472" s="8">
        <f t="shared" ca="1" si="94"/>
        <v>1910.8000000000002</v>
      </c>
      <c r="M472" s="9">
        <f ca="1">AVERAGE(E472:OFFSET(E472,-M$5+1,0))</f>
        <v>7318.8050000000003</v>
      </c>
      <c r="N472" s="9">
        <f ca="1">AVERAGE(E472:OFFSET(E472,-N$5+1,0))</f>
        <v>7220.3944999999994</v>
      </c>
      <c r="O472" s="9">
        <f t="shared" ca="1" si="95"/>
        <v>0</v>
      </c>
      <c r="P472" s="14">
        <f t="shared" si="100"/>
        <v>0.94858441438223084</v>
      </c>
      <c r="Q472" s="15">
        <f ca="1">STDEV(P472:OFFSET(P472,-$Q$5+1,0))</f>
        <v>0.32143086517234654</v>
      </c>
      <c r="R472" s="15">
        <f ca="1">STDEV(P472:OFFSET(P472,-$R$5+1,0))</f>
        <v>0.72387178268208863</v>
      </c>
      <c r="S472" s="18">
        <f t="shared" si="87"/>
        <v>42.1899999999996</v>
      </c>
      <c r="T472" s="18">
        <f t="shared" si="88"/>
        <v>78.710000000000036</v>
      </c>
      <c r="U472" s="18">
        <f t="shared" si="96"/>
        <v>64.829492931431886</v>
      </c>
      <c r="V472" s="33">
        <f ca="1">AVERAGE(E472:OFFSET(E472,-V$5+1,0))</f>
        <v>7273.4128571428582</v>
      </c>
      <c r="W472" s="33">
        <f t="shared" ca="1" si="89"/>
        <v>7370.657096540006</v>
      </c>
      <c r="X472" s="33">
        <f t="shared" ca="1" si="90"/>
        <v>7176.1686177457104</v>
      </c>
      <c r="Y472" s="32">
        <f t="shared" ca="1" si="97"/>
        <v>0</v>
      </c>
    </row>
    <row r="473" spans="1:25">
      <c r="A473" s="5">
        <v>39049</v>
      </c>
      <c r="B473" s="4">
        <v>7447.67</v>
      </c>
      <c r="C473" s="4">
        <v>7483.43</v>
      </c>
      <c r="D473" s="4">
        <v>7444.94</v>
      </c>
      <c r="E473" s="4">
        <v>7444.94</v>
      </c>
      <c r="F473" s="4">
        <v>5025800</v>
      </c>
      <c r="G473" s="8">
        <f t="shared" si="99"/>
        <v>-50.479999999999563</v>
      </c>
      <c r="H473" s="8">
        <f t="shared" si="98"/>
        <v>-2.7300000000004729</v>
      </c>
      <c r="I473" s="20">
        <f t="shared" ca="1" si="91"/>
        <v>0</v>
      </c>
      <c r="J473" s="8">
        <f t="shared" ca="1" si="92"/>
        <v>3</v>
      </c>
      <c r="K473" s="8">
        <f t="shared" ca="1" si="93"/>
        <v>-159.63000000000011</v>
      </c>
      <c r="L473" s="8">
        <f t="shared" ca="1" si="94"/>
        <v>1751.17</v>
      </c>
      <c r="M473" s="9">
        <f ca="1">AVERAGE(E473:OFFSET(E473,-M$5+1,0))</f>
        <v>7342.8949999999995</v>
      </c>
      <c r="N473" s="9">
        <f ca="1">AVERAGE(E473:OFFSET(E473,-N$5+1,0))</f>
        <v>7241.5755000000008</v>
      </c>
      <c r="O473" s="9">
        <f t="shared" ca="1" si="95"/>
        <v>0</v>
      </c>
      <c r="P473" s="14">
        <f t="shared" si="100"/>
        <v>-0.71217164449417458</v>
      </c>
      <c r="Q473" s="15">
        <f ca="1">STDEV(P473:OFFSET(P473,-$Q$5+1,0))</f>
        <v>0.46019357983147424</v>
      </c>
      <c r="R473" s="15">
        <f ca="1">STDEV(P473:OFFSET(P473,-$R$5+1,0))</f>
        <v>0.71780375265217899</v>
      </c>
      <c r="S473" s="18">
        <f t="shared" si="87"/>
        <v>38.490000000000691</v>
      </c>
      <c r="T473" s="18">
        <f t="shared" si="88"/>
        <v>53.210000000000036</v>
      </c>
      <c r="U473" s="18">
        <f t="shared" si="96"/>
        <v>63.280227207240969</v>
      </c>
      <c r="V473" s="33">
        <f ca="1">AVERAGE(E473:OFFSET(E473,-V$5+1,0))</f>
        <v>7292.4557142857147</v>
      </c>
      <c r="W473" s="33">
        <f t="shared" ca="1" si="89"/>
        <v>7387.3760550965762</v>
      </c>
      <c r="X473" s="33">
        <f t="shared" ca="1" si="90"/>
        <v>7197.5353734748533</v>
      </c>
      <c r="Y473" s="32">
        <f t="shared" ca="1" si="97"/>
        <v>0</v>
      </c>
    </row>
    <row r="474" spans="1:25">
      <c r="A474" s="5">
        <v>39050</v>
      </c>
      <c r="B474" s="4">
        <v>7476.54</v>
      </c>
      <c r="C474" s="4">
        <v>7513.51</v>
      </c>
      <c r="D474" s="4">
        <v>7431.87</v>
      </c>
      <c r="E474" s="4">
        <v>7474.19</v>
      </c>
      <c r="F474" s="4">
        <v>5273000</v>
      </c>
      <c r="G474" s="8">
        <f t="shared" si="99"/>
        <v>31.600000000000364</v>
      </c>
      <c r="H474" s="8">
        <f t="shared" si="98"/>
        <v>-2.3500000000003638</v>
      </c>
      <c r="I474" s="20">
        <f t="shared" ca="1" si="91"/>
        <v>0</v>
      </c>
      <c r="J474" s="8">
        <f t="shared" ca="1" si="92"/>
        <v>3</v>
      </c>
      <c r="K474" s="8">
        <f t="shared" ca="1" si="93"/>
        <v>87.75</v>
      </c>
      <c r="L474" s="8">
        <f t="shared" ca="1" si="94"/>
        <v>1838.92</v>
      </c>
      <c r="M474" s="9">
        <f ca="1">AVERAGE(E474:OFFSET(E474,-M$5+1,0))</f>
        <v>7366.6290000000008</v>
      </c>
      <c r="N474" s="9">
        <f ca="1">AVERAGE(E474:OFFSET(E474,-N$5+1,0))</f>
        <v>7264.5854999999992</v>
      </c>
      <c r="O474" s="9">
        <f t="shared" ca="1" si="95"/>
        <v>0</v>
      </c>
      <c r="P474" s="14">
        <f t="shared" si="100"/>
        <v>0.39211451978068679</v>
      </c>
      <c r="Q474" s="15">
        <f ca="1">STDEV(P474:OFFSET(P474,-$Q$5+1,0))</f>
        <v>0.45872565459307374</v>
      </c>
      <c r="R474" s="15">
        <f ca="1">STDEV(P474:OFFSET(P474,-$R$5+1,0))</f>
        <v>0.71750682350213635</v>
      </c>
      <c r="S474" s="18">
        <f t="shared" si="87"/>
        <v>81.640000000000327</v>
      </c>
      <c r="T474" s="18">
        <f t="shared" si="88"/>
        <v>81.640000000000327</v>
      </c>
      <c r="U474" s="18">
        <f t="shared" si="96"/>
        <v>65.728196912942209</v>
      </c>
      <c r="V474" s="33">
        <f ca="1">AVERAGE(E474:OFFSET(E474,-V$5+1,0))</f>
        <v>7315.5314285714294</v>
      </c>
      <c r="W474" s="33">
        <f t="shared" ca="1" si="89"/>
        <v>7414.1237239408429</v>
      </c>
      <c r="X474" s="33">
        <f t="shared" ca="1" si="90"/>
        <v>7216.9391332020159</v>
      </c>
      <c r="Y474" s="32">
        <f t="shared" ca="1" si="97"/>
        <v>0</v>
      </c>
    </row>
    <row r="475" spans="1:25">
      <c r="A475" s="5">
        <v>39051</v>
      </c>
      <c r="B475" s="4">
        <v>7527.47</v>
      </c>
      <c r="C475" s="4">
        <v>7567.72</v>
      </c>
      <c r="D475" s="4">
        <v>7500.24</v>
      </c>
      <c r="E475" s="4">
        <v>7567.72</v>
      </c>
      <c r="F475" s="4">
        <v>5726800</v>
      </c>
      <c r="G475" s="8">
        <f t="shared" si="99"/>
        <v>53.280000000000655</v>
      </c>
      <c r="H475" s="8">
        <f t="shared" si="98"/>
        <v>40.25</v>
      </c>
      <c r="I475" s="20">
        <f t="shared" ca="1" si="91"/>
        <v>0</v>
      </c>
      <c r="J475" s="8">
        <f t="shared" ca="1" si="92"/>
        <v>3</v>
      </c>
      <c r="K475" s="8">
        <f t="shared" ca="1" si="93"/>
        <v>280.59000000000196</v>
      </c>
      <c r="L475" s="8">
        <f t="shared" ca="1" si="94"/>
        <v>2119.510000000002</v>
      </c>
      <c r="M475" s="9">
        <f ca="1">AVERAGE(E475:OFFSET(E475,-M$5+1,0))</f>
        <v>7397.6530000000002</v>
      </c>
      <c r="N475" s="9">
        <f ca="1">AVERAGE(E475:OFFSET(E475,-N$5+1,0))</f>
        <v>7289.066499999999</v>
      </c>
      <c r="O475" s="9">
        <f t="shared" ca="1" si="95"/>
        <v>0</v>
      </c>
      <c r="P475" s="14">
        <f t="shared" si="100"/>
        <v>1.2436080978066244</v>
      </c>
      <c r="Q475" s="15">
        <f ca="1">STDEV(P475:OFFSET(P475,-$Q$5+1,0))</f>
        <v>0.54247741827663309</v>
      </c>
      <c r="R475" s="15">
        <f ca="1">STDEV(P475:OFFSET(P475,-$R$5+1,0))</f>
        <v>0.72162205687849812</v>
      </c>
      <c r="S475" s="18">
        <f t="shared" si="87"/>
        <v>67.480000000000473</v>
      </c>
      <c r="T475" s="18">
        <f t="shared" si="88"/>
        <v>93.530000000000655</v>
      </c>
      <c r="U475" s="18">
        <f t="shared" si="96"/>
        <v>69.435103991216678</v>
      </c>
      <c r="V475" s="33">
        <f ca="1">AVERAGE(E475:OFFSET(E475,-V$5+1,0))</f>
        <v>7343.64</v>
      </c>
      <c r="W475" s="33">
        <f t="shared" ca="1" si="89"/>
        <v>7447.7926559868256</v>
      </c>
      <c r="X475" s="33">
        <f t="shared" ca="1" si="90"/>
        <v>7239.4873440131751</v>
      </c>
      <c r="Y475" s="32">
        <f t="shared" ca="1" si="97"/>
        <v>0</v>
      </c>
    </row>
    <row r="476" spans="1:25">
      <c r="A476" s="5">
        <v>39052</v>
      </c>
      <c r="B476" s="4">
        <v>7587.51</v>
      </c>
      <c r="C476" s="4">
        <v>7621.81</v>
      </c>
      <c r="D476" s="4">
        <v>7557.62</v>
      </c>
      <c r="E476" s="4">
        <v>7613.57</v>
      </c>
      <c r="F476" s="4">
        <v>6260800</v>
      </c>
      <c r="G476" s="8">
        <f t="shared" si="99"/>
        <v>19.789999999999964</v>
      </c>
      <c r="H476" s="8">
        <f t="shared" si="98"/>
        <v>26.059999999999491</v>
      </c>
      <c r="I476" s="20">
        <f t="shared" ca="1" si="91"/>
        <v>0</v>
      </c>
      <c r="J476" s="8">
        <f t="shared" ca="1" si="92"/>
        <v>3</v>
      </c>
      <c r="K476" s="8">
        <f t="shared" ca="1" si="93"/>
        <v>137.54999999999836</v>
      </c>
      <c r="L476" s="8">
        <f t="shared" ca="1" si="94"/>
        <v>2257.0600000000004</v>
      </c>
      <c r="M476" s="9">
        <f ca="1">AVERAGE(E476:OFFSET(E476,-M$5+1,0))</f>
        <v>7433.0559999999996</v>
      </c>
      <c r="N476" s="9">
        <f ca="1">AVERAGE(E476:OFFSET(E476,-N$5+1,0))</f>
        <v>7311.6645000000008</v>
      </c>
      <c r="O476" s="9">
        <f t="shared" ca="1" si="95"/>
        <v>0</v>
      </c>
      <c r="P476" s="14">
        <f t="shared" si="100"/>
        <v>0.60403482716031121</v>
      </c>
      <c r="Q476" s="15">
        <f ca="1">STDEV(P476:OFFSET(P476,-$Q$5+1,0))</f>
        <v>0.52678503791124087</v>
      </c>
      <c r="R476" s="15">
        <f ca="1">STDEV(P476:OFFSET(P476,-$R$5+1,0))</f>
        <v>0.72292865166154574</v>
      </c>
      <c r="S476" s="18">
        <f t="shared" si="87"/>
        <v>64.190000000000509</v>
      </c>
      <c r="T476" s="18">
        <f t="shared" si="88"/>
        <v>64.190000000000509</v>
      </c>
      <c r="U476" s="18">
        <f t="shared" si="96"/>
        <v>68.735756792387861</v>
      </c>
      <c r="V476" s="33">
        <f ca="1">AVERAGE(E476:OFFSET(E476,-V$5+1,0))</f>
        <v>7377.7478571428574</v>
      </c>
      <c r="W476" s="33">
        <f t="shared" ca="1" si="89"/>
        <v>7480.8514923314387</v>
      </c>
      <c r="X476" s="33">
        <f t="shared" ca="1" si="90"/>
        <v>7274.644221954276</v>
      </c>
      <c r="Y476" s="32">
        <f t="shared" ca="1" si="97"/>
        <v>0</v>
      </c>
    </row>
    <row r="477" spans="1:25">
      <c r="A477" s="5">
        <v>39055</v>
      </c>
      <c r="B477" s="4">
        <v>7622.09</v>
      </c>
      <c r="C477" s="4">
        <v>7659.84</v>
      </c>
      <c r="D477" s="4">
        <v>7590.92</v>
      </c>
      <c r="E477" s="4">
        <v>7647.01</v>
      </c>
      <c r="F477" s="4">
        <v>6067800</v>
      </c>
      <c r="G477" s="8">
        <f t="shared" si="99"/>
        <v>8.5200000000004366</v>
      </c>
      <c r="H477" s="8">
        <f t="shared" si="98"/>
        <v>24.920000000000073</v>
      </c>
      <c r="I477" s="20">
        <f t="shared" ca="1" si="91"/>
        <v>0</v>
      </c>
      <c r="J477" s="8">
        <f t="shared" ca="1" si="92"/>
        <v>3</v>
      </c>
      <c r="K477" s="8">
        <f t="shared" ca="1" si="93"/>
        <v>100.32000000000153</v>
      </c>
      <c r="L477" s="8">
        <f t="shared" ca="1" si="94"/>
        <v>2357.3800000000019</v>
      </c>
      <c r="M477" s="9">
        <f ca="1">AVERAGE(E477:OFFSET(E477,-M$5+1,0))</f>
        <v>7471.6089999999995</v>
      </c>
      <c r="N477" s="9">
        <f ca="1">AVERAGE(E477:OFFSET(E477,-N$5+1,0))</f>
        <v>7337.9930000000004</v>
      </c>
      <c r="O477" s="9">
        <f t="shared" ca="1" si="95"/>
        <v>0</v>
      </c>
      <c r="P477" s="14">
        <f t="shared" si="100"/>
        <v>0.4382540312693417</v>
      </c>
      <c r="Q477" s="15">
        <f ca="1">STDEV(P477:OFFSET(P477,-$Q$5+1,0))</f>
        <v>0.50332550087194683</v>
      </c>
      <c r="R477" s="15">
        <f ca="1">STDEV(P477:OFFSET(P477,-$R$5+1,0))</f>
        <v>0.68639703338170532</v>
      </c>
      <c r="S477" s="18">
        <f t="shared" si="87"/>
        <v>68.920000000000073</v>
      </c>
      <c r="T477" s="18">
        <f t="shared" si="88"/>
        <v>68.920000000000073</v>
      </c>
      <c r="U477" s="18">
        <f t="shared" si="96"/>
        <v>68.760322553402816</v>
      </c>
      <c r="V477" s="33">
        <f ca="1">AVERAGE(E477:OFFSET(E477,-V$5+1,0))</f>
        <v>7409.3885714285707</v>
      </c>
      <c r="W477" s="33">
        <f t="shared" ca="1" si="89"/>
        <v>7512.5290552586748</v>
      </c>
      <c r="X477" s="33">
        <f t="shared" ca="1" si="90"/>
        <v>7306.2480875984666</v>
      </c>
      <c r="Y477" s="32">
        <f t="shared" ca="1" si="97"/>
        <v>0</v>
      </c>
    </row>
    <row r="478" spans="1:25">
      <c r="A478" s="5">
        <v>39056</v>
      </c>
      <c r="B478" s="4">
        <v>7700.15</v>
      </c>
      <c r="C478" s="4">
        <v>7703.25</v>
      </c>
      <c r="D478" s="4">
        <v>7575.14</v>
      </c>
      <c r="E478" s="4">
        <v>7609.9</v>
      </c>
      <c r="F478" s="4">
        <v>6159200</v>
      </c>
      <c r="G478" s="8">
        <f t="shared" si="99"/>
        <v>53.139999999999418</v>
      </c>
      <c r="H478" s="8">
        <f t="shared" si="98"/>
        <v>-90.25</v>
      </c>
      <c r="I478" s="20">
        <f t="shared" ca="1" si="91"/>
        <v>0</v>
      </c>
      <c r="J478" s="8">
        <f t="shared" ca="1" si="92"/>
        <v>3</v>
      </c>
      <c r="K478" s="8">
        <f t="shared" ca="1" si="93"/>
        <v>-111.33000000000175</v>
      </c>
      <c r="L478" s="8">
        <f t="shared" ca="1" si="94"/>
        <v>2246.0500000000002</v>
      </c>
      <c r="M478" s="9">
        <f ca="1">AVERAGE(E478:OFFSET(E478,-M$5+1,0))</f>
        <v>7501.63</v>
      </c>
      <c r="N478" s="9">
        <f ca="1">AVERAGE(E478:OFFSET(E478,-N$5+1,0))</f>
        <v>7359.2555000000011</v>
      </c>
      <c r="O478" s="9">
        <f t="shared" ca="1" si="95"/>
        <v>0</v>
      </c>
      <c r="P478" s="14">
        <f t="shared" si="100"/>
        <v>-0.48646905808119295</v>
      </c>
      <c r="Q478" s="15">
        <f ca="1">STDEV(P478:OFFSET(P478,-$Q$5+1,0))</f>
        <v>0.5901896742241457</v>
      </c>
      <c r="R478" s="15">
        <f ca="1">STDEV(P478:OFFSET(P478,-$R$5+1,0))</f>
        <v>0.6519084554240816</v>
      </c>
      <c r="S478" s="18">
        <f t="shared" si="87"/>
        <v>128.10999999999967</v>
      </c>
      <c r="T478" s="18">
        <f t="shared" si="88"/>
        <v>128.10999999999967</v>
      </c>
      <c r="U478" s="18">
        <f t="shared" si="96"/>
        <v>76.673612879615732</v>
      </c>
      <c r="V478" s="33">
        <f ca="1">AVERAGE(E478:OFFSET(E478,-V$5+1,0))</f>
        <v>7436.0350000000008</v>
      </c>
      <c r="W478" s="33">
        <f t="shared" ca="1" si="89"/>
        <v>7551.0454193194246</v>
      </c>
      <c r="X478" s="33">
        <f t="shared" ca="1" si="90"/>
        <v>7321.0245806805769</v>
      </c>
      <c r="Y478" s="32">
        <f t="shared" ca="1" si="97"/>
        <v>0</v>
      </c>
    </row>
    <row r="479" spans="1:25">
      <c r="A479" s="5">
        <v>39057</v>
      </c>
      <c r="B479" s="4">
        <v>7634.79</v>
      </c>
      <c r="C479" s="4">
        <v>7697.24</v>
      </c>
      <c r="D479" s="4">
        <v>7620.98</v>
      </c>
      <c r="E479" s="4">
        <v>7693.33</v>
      </c>
      <c r="F479" s="4">
        <v>4674400</v>
      </c>
      <c r="G479" s="8">
        <f t="shared" si="99"/>
        <v>24.890000000000327</v>
      </c>
      <c r="H479" s="8">
        <f t="shared" si="98"/>
        <v>58.539999999999964</v>
      </c>
      <c r="I479" s="20">
        <f t="shared" ca="1" si="91"/>
        <v>0</v>
      </c>
      <c r="J479" s="8">
        <f t="shared" ca="1" si="92"/>
        <v>3</v>
      </c>
      <c r="K479" s="8">
        <f t="shared" ca="1" si="93"/>
        <v>250.29000000000087</v>
      </c>
      <c r="L479" s="8">
        <f t="shared" ca="1" si="94"/>
        <v>2496.3400000000011</v>
      </c>
      <c r="M479" s="9">
        <f ca="1">AVERAGE(E479:OFFSET(E479,-M$5+1,0))</f>
        <v>7536.0860000000002</v>
      </c>
      <c r="N479" s="9">
        <f ca="1">AVERAGE(E479:OFFSET(E479,-N$5+1,0))</f>
        <v>7385.0050000000001</v>
      </c>
      <c r="O479" s="9">
        <f t="shared" ca="1" si="95"/>
        <v>0</v>
      </c>
      <c r="P479" s="14">
        <f t="shared" si="100"/>
        <v>1.0903688513343839</v>
      </c>
      <c r="Q479" s="15">
        <f ca="1">STDEV(P479:OFFSET(P479,-$Q$5+1,0))</f>
        <v>0.62892854261509434</v>
      </c>
      <c r="R479" s="15">
        <f ca="1">STDEV(P479:OFFSET(P479,-$R$5+1,0))</f>
        <v>0.66643438838737423</v>
      </c>
      <c r="S479" s="18">
        <f t="shared" si="87"/>
        <v>76.260000000000218</v>
      </c>
      <c r="T479" s="18">
        <f t="shared" si="88"/>
        <v>87.340000000000146</v>
      </c>
      <c r="U479" s="18">
        <f t="shared" si="96"/>
        <v>78.095797829000318</v>
      </c>
      <c r="V479" s="33">
        <f ca="1">AVERAGE(E479:OFFSET(E479,-V$5+1,0))</f>
        <v>7467.1671428571426</v>
      </c>
      <c r="W479" s="33">
        <f t="shared" ca="1" si="89"/>
        <v>7584.3108396006428</v>
      </c>
      <c r="X479" s="33">
        <f t="shared" ca="1" si="90"/>
        <v>7350.0234461136424</v>
      </c>
      <c r="Y479" s="32">
        <f t="shared" ca="1" si="97"/>
        <v>0</v>
      </c>
    </row>
    <row r="480" spans="1:25">
      <c r="A480" s="5">
        <v>39058</v>
      </c>
      <c r="B480" s="4">
        <v>7697.12</v>
      </c>
      <c r="C480" s="4">
        <v>7716.85</v>
      </c>
      <c r="D480" s="4">
        <v>7669.22</v>
      </c>
      <c r="E480" s="4">
        <v>7686.52</v>
      </c>
      <c r="F480" s="4">
        <v>5082000</v>
      </c>
      <c r="G480" s="8">
        <f t="shared" si="99"/>
        <v>3.7899999999999636</v>
      </c>
      <c r="H480" s="8">
        <f t="shared" si="98"/>
        <v>-10.599999999999454</v>
      </c>
      <c r="I480" s="20">
        <f t="shared" ca="1" si="91"/>
        <v>0</v>
      </c>
      <c r="J480" s="8">
        <f t="shared" ca="1" si="92"/>
        <v>3</v>
      </c>
      <c r="K480" s="8">
        <f t="shared" ca="1" si="93"/>
        <v>-20.429999999998472</v>
      </c>
      <c r="L480" s="8">
        <f t="shared" ca="1" si="94"/>
        <v>2475.9100000000026</v>
      </c>
      <c r="M480" s="9">
        <f ca="1">AVERAGE(E480:OFFSET(E480,-M$5+1,0))</f>
        <v>7566.2690000000002</v>
      </c>
      <c r="N480" s="9">
        <f ca="1">AVERAGE(E480:OFFSET(E480,-N$5+1,0))</f>
        <v>7411.7744999999995</v>
      </c>
      <c r="O480" s="9">
        <f t="shared" ca="1" si="95"/>
        <v>0</v>
      </c>
      <c r="P480" s="14">
        <f t="shared" si="100"/>
        <v>-8.8557436451678517E-2</v>
      </c>
      <c r="Q480" s="15">
        <f ca="1">STDEV(P480:OFFSET(P480,-$Q$5+1,0))</f>
        <v>0.65190768688975564</v>
      </c>
      <c r="R480" s="15">
        <f ca="1">STDEV(P480:OFFSET(P480,-$R$5+1,0))</f>
        <v>0.66258791917603366</v>
      </c>
      <c r="S480" s="18">
        <f t="shared" si="87"/>
        <v>47.630000000000109</v>
      </c>
      <c r="T480" s="18">
        <f t="shared" si="88"/>
        <v>47.630000000000109</v>
      </c>
      <c r="U480" s="18">
        <f t="shared" si="96"/>
        <v>74.033691451800294</v>
      </c>
      <c r="V480" s="33">
        <f ca="1">AVERAGE(E480:OFFSET(E480,-V$5+1,0))</f>
        <v>7497.6657142857139</v>
      </c>
      <c r="W480" s="33">
        <f t="shared" ca="1" si="89"/>
        <v>7608.7162514634147</v>
      </c>
      <c r="X480" s="33">
        <f t="shared" ca="1" si="90"/>
        <v>7386.6151771080131</v>
      </c>
      <c r="Y480" s="32">
        <f t="shared" ca="1" si="97"/>
        <v>0</v>
      </c>
    </row>
    <row r="481" spans="1:25">
      <c r="A481" s="5">
        <v>39059</v>
      </c>
      <c r="B481" s="4">
        <v>7658.04</v>
      </c>
      <c r="C481" s="4">
        <v>7658.04</v>
      </c>
      <c r="D481" s="4">
        <v>7601.3</v>
      </c>
      <c r="E481" s="4">
        <v>7636.3</v>
      </c>
      <c r="F481" s="4">
        <v>4391200</v>
      </c>
      <c r="G481" s="8">
        <f t="shared" si="99"/>
        <v>-28.480000000000473</v>
      </c>
      <c r="H481" s="8">
        <f t="shared" si="98"/>
        <v>-21.739999999999782</v>
      </c>
      <c r="I481" s="20">
        <f t="shared" ca="1" si="91"/>
        <v>0</v>
      </c>
      <c r="J481" s="8">
        <f t="shared" ca="1" si="92"/>
        <v>3</v>
      </c>
      <c r="K481" s="8">
        <f t="shared" ca="1" si="93"/>
        <v>-150.66000000000076</v>
      </c>
      <c r="L481" s="8">
        <f t="shared" ca="1" si="94"/>
        <v>2325.2500000000018</v>
      </c>
      <c r="M481" s="9">
        <f ca="1">AVERAGE(E481:OFFSET(E481,-M$5+1,0))</f>
        <v>7587.1630000000005</v>
      </c>
      <c r="N481" s="9">
        <f ca="1">AVERAGE(E481:OFFSET(E481,-N$5+1,0))</f>
        <v>7434.8794999999982</v>
      </c>
      <c r="O481" s="9">
        <f t="shared" ca="1" si="95"/>
        <v>0</v>
      </c>
      <c r="P481" s="14">
        <f t="shared" si="100"/>
        <v>-0.65549526547278747</v>
      </c>
      <c r="Q481" s="15">
        <f ca="1">STDEV(P481:OFFSET(P481,-$Q$5+1,0))</f>
        <v>0.72706832187819803</v>
      </c>
      <c r="R481" s="15">
        <f ca="1">STDEV(P481:OFFSET(P481,-$R$5+1,0))</f>
        <v>0.65860720523674954</v>
      </c>
      <c r="S481" s="18">
        <f t="shared" si="87"/>
        <v>56.739999999999782</v>
      </c>
      <c r="T481" s="18">
        <f t="shared" si="88"/>
        <v>85.220000000000255</v>
      </c>
      <c r="U481" s="18">
        <f t="shared" si="96"/>
        <v>75.525199258226948</v>
      </c>
      <c r="V481" s="33">
        <f ca="1">AVERAGE(E481:OFFSET(E481,-V$5+1,0))</f>
        <v>7524.4385714285718</v>
      </c>
      <c r="W481" s="33">
        <f t="shared" ca="1" si="89"/>
        <v>7637.7263703159124</v>
      </c>
      <c r="X481" s="33">
        <f t="shared" ca="1" si="90"/>
        <v>7411.1507725412312</v>
      </c>
      <c r="Y481" s="32">
        <f t="shared" ca="1" si="97"/>
        <v>0</v>
      </c>
    </row>
    <row r="482" spans="1:25">
      <c r="A482" s="5">
        <v>39062</v>
      </c>
      <c r="B482" s="4">
        <v>7635.69</v>
      </c>
      <c r="C482" s="4">
        <v>7635.72</v>
      </c>
      <c r="D482" s="4">
        <v>7582.62</v>
      </c>
      <c r="E482" s="4">
        <v>7612.12</v>
      </c>
      <c r="F482" s="4">
        <v>4119800</v>
      </c>
      <c r="G482" s="8">
        <f t="shared" si="99"/>
        <v>-0.61000000000058208</v>
      </c>
      <c r="H482" s="8">
        <f t="shared" si="98"/>
        <v>-23.569999999999709</v>
      </c>
      <c r="I482" s="20">
        <f t="shared" ca="1" si="91"/>
        <v>0</v>
      </c>
      <c r="J482" s="8">
        <f t="shared" ca="1" si="92"/>
        <v>3</v>
      </c>
      <c r="K482" s="8">
        <f t="shared" ca="1" si="93"/>
        <v>-72.540000000000873</v>
      </c>
      <c r="L482" s="8">
        <f t="shared" ca="1" si="94"/>
        <v>2252.7100000000009</v>
      </c>
      <c r="M482" s="9">
        <f ca="1">AVERAGE(E482:OFFSET(E482,-M$5+1,0))</f>
        <v>7598.56</v>
      </c>
      <c r="N482" s="9">
        <f ca="1">AVERAGE(E482:OFFSET(E482,-N$5+1,0))</f>
        <v>7458.6824999999981</v>
      </c>
      <c r="O482" s="9">
        <f t="shared" ca="1" si="95"/>
        <v>0</v>
      </c>
      <c r="P482" s="14">
        <f t="shared" si="100"/>
        <v>-0.31714787850054665</v>
      </c>
      <c r="Q482" s="15">
        <f ca="1">STDEV(P482:OFFSET(P482,-$Q$5+1,0))</f>
        <v>0.70714721303779338</v>
      </c>
      <c r="R482" s="15">
        <f ca="1">STDEV(P482:OFFSET(P482,-$R$5+1,0))</f>
        <v>0.64417493450664909</v>
      </c>
      <c r="S482" s="18">
        <f t="shared" si="87"/>
        <v>53.100000000000364</v>
      </c>
      <c r="T482" s="18">
        <f t="shared" si="88"/>
        <v>53.680000000000291</v>
      </c>
      <c r="U482" s="18">
        <f t="shared" si="96"/>
        <v>72.612506023796726</v>
      </c>
      <c r="V482" s="33">
        <f ca="1">AVERAGE(E482:OFFSET(E482,-V$5+1,0))</f>
        <v>7546.0407142857148</v>
      </c>
      <c r="W482" s="33">
        <f t="shared" ca="1" si="89"/>
        <v>7654.9594733214099</v>
      </c>
      <c r="X482" s="33">
        <f t="shared" ca="1" si="90"/>
        <v>7437.1219552500197</v>
      </c>
      <c r="Y482" s="32">
        <f t="shared" ca="1" si="97"/>
        <v>0</v>
      </c>
    </row>
    <row r="483" spans="1:25">
      <c r="A483" s="5">
        <v>39063</v>
      </c>
      <c r="B483" s="4">
        <v>7604.75</v>
      </c>
      <c r="C483" s="4">
        <v>7604.75</v>
      </c>
      <c r="D483" s="4">
        <v>7441.01</v>
      </c>
      <c r="E483" s="4">
        <v>7458.56</v>
      </c>
      <c r="F483" s="4">
        <v>5038400</v>
      </c>
      <c r="G483" s="8">
        <f t="shared" si="99"/>
        <v>-7.3699999999998909</v>
      </c>
      <c r="H483" s="8">
        <f t="shared" si="98"/>
        <v>-146.1899999999996</v>
      </c>
      <c r="I483" s="20">
        <f t="shared" ca="1" si="91"/>
        <v>0</v>
      </c>
      <c r="J483" s="8">
        <f t="shared" ca="1" si="92"/>
        <v>3</v>
      </c>
      <c r="K483" s="8">
        <f t="shared" ca="1" si="93"/>
        <v>-460.67999999999847</v>
      </c>
      <c r="L483" s="8">
        <f t="shared" ca="1" si="94"/>
        <v>1792.0300000000025</v>
      </c>
      <c r="M483" s="9">
        <f ca="1">AVERAGE(E483:OFFSET(E483,-M$5+1,0))</f>
        <v>7599.9220000000005</v>
      </c>
      <c r="N483" s="9">
        <f ca="1">AVERAGE(E483:OFFSET(E483,-N$5+1,0))</f>
        <v>7471.4084999999995</v>
      </c>
      <c r="O483" s="9">
        <f t="shared" ca="1" si="95"/>
        <v>0</v>
      </c>
      <c r="P483" s="14">
        <f t="shared" si="100"/>
        <v>-2.0379347799418945</v>
      </c>
      <c r="Q483" s="15">
        <f ca="1">STDEV(P483:OFFSET(P483,-$Q$5+1,0))</f>
        <v>0.96440728174729962</v>
      </c>
      <c r="R483" s="15">
        <f ca="1">STDEV(P483:OFFSET(P483,-$R$5+1,0))</f>
        <v>0.70646189589792241</v>
      </c>
      <c r="S483" s="18">
        <f t="shared" si="87"/>
        <v>163.73999999999978</v>
      </c>
      <c r="T483" s="18">
        <f t="shared" si="88"/>
        <v>171.10999999999967</v>
      </c>
      <c r="U483" s="18">
        <f t="shared" si="96"/>
        <v>85.745505220623784</v>
      </c>
      <c r="V483" s="33">
        <f ca="1">AVERAGE(E483:OFFSET(E483,-V$5+1,0))</f>
        <v>7553.8828571428576</v>
      </c>
      <c r="W483" s="33">
        <f t="shared" ca="1" si="89"/>
        <v>7682.5011149737929</v>
      </c>
      <c r="X483" s="33">
        <f t="shared" ca="1" si="90"/>
        <v>7425.2645993119222</v>
      </c>
      <c r="Y483" s="32">
        <f t="shared" ca="1" si="97"/>
        <v>0</v>
      </c>
    </row>
    <row r="484" spans="1:25">
      <c r="A484" s="5">
        <v>39064</v>
      </c>
      <c r="B484" s="4">
        <v>7480.04</v>
      </c>
      <c r="C484" s="4">
        <v>7494.49</v>
      </c>
      <c r="D484" s="4">
        <v>7369.09</v>
      </c>
      <c r="E484" s="4">
        <v>7450.3</v>
      </c>
      <c r="F484" s="4">
        <v>4593600</v>
      </c>
      <c r="G484" s="8">
        <f t="shared" si="99"/>
        <v>21.479999999999563</v>
      </c>
      <c r="H484" s="8">
        <f t="shared" si="98"/>
        <v>-29.739999999999782</v>
      </c>
      <c r="I484" s="20">
        <f t="shared" ca="1" si="91"/>
        <v>0</v>
      </c>
      <c r="J484" s="8">
        <f t="shared" ca="1" si="92"/>
        <v>3</v>
      </c>
      <c r="K484" s="8">
        <f t="shared" ca="1" si="93"/>
        <v>-24.780000000000655</v>
      </c>
      <c r="L484" s="8">
        <f t="shared" ca="1" si="94"/>
        <v>1767.2500000000018</v>
      </c>
      <c r="M484" s="9">
        <f ca="1">AVERAGE(E484:OFFSET(E484,-M$5+1,0))</f>
        <v>7597.5330000000013</v>
      </c>
      <c r="N484" s="9">
        <f ca="1">AVERAGE(E484:OFFSET(E484,-N$5+1,0))</f>
        <v>7482.0810000000001</v>
      </c>
      <c r="O484" s="9">
        <f t="shared" ca="1" si="95"/>
        <v>0</v>
      </c>
      <c r="P484" s="14">
        <f t="shared" si="100"/>
        <v>-0.11080660553715448</v>
      </c>
      <c r="Q484" s="15">
        <f ca="1">STDEV(P484:OFFSET(P484,-$Q$5+1,0))</f>
        <v>0.95582125016024222</v>
      </c>
      <c r="R484" s="15">
        <f ca="1">STDEV(P484:OFFSET(P484,-$R$5+1,0))</f>
        <v>0.69080912433767661</v>
      </c>
      <c r="S484" s="18">
        <f t="shared" si="87"/>
        <v>125.39999999999964</v>
      </c>
      <c r="T484" s="18">
        <f t="shared" si="88"/>
        <v>125.39999999999964</v>
      </c>
      <c r="U484" s="18">
        <f t="shared" si="96"/>
        <v>91.032771191207232</v>
      </c>
      <c r="V484" s="33">
        <f ca="1">AVERAGE(E484:OFFSET(E484,-V$5+1,0))</f>
        <v>7558.5692857142858</v>
      </c>
      <c r="W484" s="33">
        <f t="shared" ca="1" si="89"/>
        <v>7695.118442501097</v>
      </c>
      <c r="X484" s="33">
        <f t="shared" ca="1" si="90"/>
        <v>7422.0201289274746</v>
      </c>
      <c r="Y484" s="32">
        <f t="shared" ca="1" si="97"/>
        <v>0</v>
      </c>
    </row>
    <row r="485" spans="1:25">
      <c r="A485" s="5">
        <v>39065</v>
      </c>
      <c r="B485" s="4">
        <v>7456.31</v>
      </c>
      <c r="C485" s="4">
        <v>7492.3</v>
      </c>
      <c r="D485" s="4">
        <v>7428.38</v>
      </c>
      <c r="E485" s="4">
        <v>7480.41</v>
      </c>
      <c r="F485" s="4">
        <v>3802600</v>
      </c>
      <c r="G485" s="8">
        <f t="shared" si="99"/>
        <v>6.0100000000002183</v>
      </c>
      <c r="H485" s="8">
        <f t="shared" si="98"/>
        <v>24.099999999999454</v>
      </c>
      <c r="I485" s="20">
        <f t="shared" ca="1" si="91"/>
        <v>0</v>
      </c>
      <c r="J485" s="8">
        <f t="shared" ca="1" si="92"/>
        <v>3</v>
      </c>
      <c r="K485" s="8">
        <f t="shared" ca="1" si="93"/>
        <v>90.329999999999018</v>
      </c>
      <c r="L485" s="8">
        <f t="shared" ca="1" si="94"/>
        <v>1857.5800000000008</v>
      </c>
      <c r="M485" s="9">
        <f ca="1">AVERAGE(E485:OFFSET(E485,-M$5+1,0))</f>
        <v>7588.8020000000006</v>
      </c>
      <c r="N485" s="9">
        <f ca="1">AVERAGE(E485:OFFSET(E485,-N$5+1,0))</f>
        <v>7493.2274999999991</v>
      </c>
      <c r="O485" s="9">
        <f t="shared" ca="1" si="95"/>
        <v>0</v>
      </c>
      <c r="P485" s="14">
        <f t="shared" si="100"/>
        <v>0.4033303281350521</v>
      </c>
      <c r="Q485" s="15">
        <f ca="1">STDEV(P485:OFFSET(P485,-$Q$5+1,0))</f>
        <v>0.86371637308911342</v>
      </c>
      <c r="R485" s="15">
        <f ca="1">STDEV(P485:OFFSET(P485,-$R$5+1,0))</f>
        <v>0.68782922049433382</v>
      </c>
      <c r="S485" s="18">
        <f t="shared" si="87"/>
        <v>63.920000000000073</v>
      </c>
      <c r="T485" s="18">
        <f t="shared" si="88"/>
        <v>63.920000000000073</v>
      </c>
      <c r="U485" s="18">
        <f t="shared" si="96"/>
        <v>87.417735032379611</v>
      </c>
      <c r="V485" s="33">
        <f ca="1">AVERAGE(E485:OFFSET(E485,-V$5+1,0))</f>
        <v>7562.3585714285718</v>
      </c>
      <c r="W485" s="33">
        <f t="shared" ca="1" si="89"/>
        <v>7693.4851739771411</v>
      </c>
      <c r="X485" s="33">
        <f t="shared" ca="1" si="90"/>
        <v>7431.2319688800026</v>
      </c>
      <c r="Y485" s="32">
        <f t="shared" ca="1" si="97"/>
        <v>0</v>
      </c>
    </row>
    <row r="486" spans="1:25">
      <c r="A486" s="5">
        <v>39066</v>
      </c>
      <c r="B486" s="4">
        <v>7546.81</v>
      </c>
      <c r="C486" s="4">
        <v>7568.02</v>
      </c>
      <c r="D486" s="4">
        <v>7531.48</v>
      </c>
      <c r="E486" s="4">
        <v>7538.82</v>
      </c>
      <c r="F486" s="4">
        <v>4302600</v>
      </c>
      <c r="G486" s="8">
        <f t="shared" si="99"/>
        <v>66.400000000000546</v>
      </c>
      <c r="H486" s="8">
        <f t="shared" si="98"/>
        <v>-7.9900000000006912</v>
      </c>
      <c r="I486" s="20">
        <f t="shared" ca="1" si="91"/>
        <v>0</v>
      </c>
      <c r="J486" s="8">
        <f t="shared" ca="1" si="92"/>
        <v>3</v>
      </c>
      <c r="K486" s="8">
        <f t="shared" ca="1" si="93"/>
        <v>175.22999999999956</v>
      </c>
      <c r="L486" s="8">
        <f t="shared" ca="1" si="94"/>
        <v>2032.8100000000004</v>
      </c>
      <c r="M486" s="9">
        <f ca="1">AVERAGE(E486:OFFSET(E486,-M$5+1,0))</f>
        <v>7581.3269999999993</v>
      </c>
      <c r="N486" s="9">
        <f ca="1">AVERAGE(E486:OFFSET(E486,-N$5+1,0))</f>
        <v>7507.191499999999</v>
      </c>
      <c r="O486" s="9">
        <f t="shared" ca="1" si="95"/>
        <v>0</v>
      </c>
      <c r="P486" s="14">
        <f t="shared" si="100"/>
        <v>0.77780677804875376</v>
      </c>
      <c r="Q486" s="15">
        <f ca="1">STDEV(P486:OFFSET(P486,-$Q$5+1,0))</f>
        <v>0.88138081024252624</v>
      </c>
      <c r="R486" s="15">
        <f ca="1">STDEV(P486:OFFSET(P486,-$R$5+1,0))</f>
        <v>0.6909297376074155</v>
      </c>
      <c r="S486" s="18">
        <f t="shared" si="87"/>
        <v>36.540000000000873</v>
      </c>
      <c r="T486" s="18">
        <f t="shared" si="88"/>
        <v>87.610000000000582</v>
      </c>
      <c r="U486" s="18">
        <f t="shared" si="96"/>
        <v>87.44337036139575</v>
      </c>
      <c r="V486" s="33">
        <f ca="1">AVERAGE(E486:OFFSET(E486,-V$5+1,0))</f>
        <v>7565.2635714285716</v>
      </c>
      <c r="W486" s="33">
        <f t="shared" ca="1" si="89"/>
        <v>7696.4286269706654</v>
      </c>
      <c r="X486" s="33">
        <f t="shared" ca="1" si="90"/>
        <v>7434.0985158864778</v>
      </c>
      <c r="Y486" s="32">
        <f t="shared" ca="1" si="97"/>
        <v>0</v>
      </c>
    </row>
    <row r="487" spans="1:25">
      <c r="A487" s="5">
        <v>39069</v>
      </c>
      <c r="B487" s="4">
        <v>7568.82</v>
      </c>
      <c r="C487" s="4">
        <v>7648.06</v>
      </c>
      <c r="D487" s="4">
        <v>7561.88</v>
      </c>
      <c r="E487" s="4">
        <v>7624.62</v>
      </c>
      <c r="F487" s="4">
        <v>4289400</v>
      </c>
      <c r="G487" s="8">
        <f t="shared" si="99"/>
        <v>30</v>
      </c>
      <c r="H487" s="8">
        <f t="shared" si="98"/>
        <v>55.800000000000182</v>
      </c>
      <c r="I487" s="20">
        <f t="shared" ca="1" si="91"/>
        <v>0</v>
      </c>
      <c r="J487" s="8">
        <f t="shared" ca="1" si="92"/>
        <v>3</v>
      </c>
      <c r="K487" s="8">
        <f t="shared" ca="1" si="93"/>
        <v>257.40000000000055</v>
      </c>
      <c r="L487" s="8">
        <f t="shared" ca="1" si="94"/>
        <v>2290.2100000000009</v>
      </c>
      <c r="M487" s="9">
        <f ca="1">AVERAGE(E487:OFFSET(E487,-M$5+1,0))</f>
        <v>7579.0880000000006</v>
      </c>
      <c r="N487" s="9">
        <f ca="1">AVERAGE(E487:OFFSET(E487,-N$5+1,0))</f>
        <v>7525.3485000000001</v>
      </c>
      <c r="O487" s="9">
        <f t="shared" ca="1" si="95"/>
        <v>0</v>
      </c>
      <c r="P487" s="14">
        <f t="shared" si="100"/>
        <v>1.1316814087114273</v>
      </c>
      <c r="Q487" s="15">
        <f ca="1">STDEV(P487:OFFSET(P487,-$Q$5+1,0))</f>
        <v>0.95270815305353584</v>
      </c>
      <c r="R487" s="15">
        <f ca="1">STDEV(P487:OFFSET(P487,-$R$5+1,0))</f>
        <v>0.70681073439653042</v>
      </c>
      <c r="S487" s="18">
        <f t="shared" si="87"/>
        <v>86.180000000000291</v>
      </c>
      <c r="T487" s="18">
        <f t="shared" si="88"/>
        <v>109.24000000000069</v>
      </c>
      <c r="U487" s="18">
        <f t="shared" si="96"/>
        <v>90.349587646543085</v>
      </c>
      <c r="V487" s="33">
        <f ca="1">AVERAGE(E487:OFFSET(E487,-V$5+1,0))</f>
        <v>7578.0978571428568</v>
      </c>
      <c r="W487" s="33">
        <f t="shared" ca="1" si="89"/>
        <v>7713.622238612671</v>
      </c>
      <c r="X487" s="33">
        <f t="shared" ca="1" si="90"/>
        <v>7442.5734756730426</v>
      </c>
      <c r="Y487" s="32">
        <f t="shared" ca="1" si="97"/>
        <v>0</v>
      </c>
    </row>
    <row r="488" spans="1:25">
      <c r="A488" s="5">
        <v>39070</v>
      </c>
      <c r="B488" s="4">
        <v>7624.75</v>
      </c>
      <c r="C488" s="4">
        <v>7648.76</v>
      </c>
      <c r="D488" s="4">
        <v>7598.88</v>
      </c>
      <c r="E488" s="4">
        <v>7598.88</v>
      </c>
      <c r="F488" s="4">
        <v>4629400</v>
      </c>
      <c r="G488" s="8">
        <f t="shared" si="99"/>
        <v>0.13000000000010914</v>
      </c>
      <c r="H488" s="8">
        <f t="shared" si="98"/>
        <v>-25.869999999999891</v>
      </c>
      <c r="I488" s="20">
        <f t="shared" ca="1" si="91"/>
        <v>0</v>
      </c>
      <c r="J488" s="8">
        <f t="shared" ca="1" si="92"/>
        <v>3</v>
      </c>
      <c r="K488" s="8">
        <f t="shared" ca="1" si="93"/>
        <v>-77.219999999999345</v>
      </c>
      <c r="L488" s="8">
        <f t="shared" ca="1" si="94"/>
        <v>2212.9900000000016</v>
      </c>
      <c r="M488" s="9">
        <f ca="1">AVERAGE(E488:OFFSET(E488,-M$5+1,0))</f>
        <v>7577.9860000000017</v>
      </c>
      <c r="N488" s="9">
        <f ca="1">AVERAGE(E488:OFFSET(E488,-N$5+1,0))</f>
        <v>7539.808</v>
      </c>
      <c r="O488" s="9">
        <f t="shared" ca="1" si="95"/>
        <v>0</v>
      </c>
      <c r="P488" s="14">
        <f t="shared" si="100"/>
        <v>-0.33816171746035051</v>
      </c>
      <c r="Q488" s="15">
        <f ca="1">STDEV(P488:OFFSET(P488,-$Q$5+1,0))</f>
        <v>0.94593132028041338</v>
      </c>
      <c r="R488" s="15">
        <f ca="1">STDEV(P488:OFFSET(P488,-$R$5+1,0))</f>
        <v>0.70471828731151742</v>
      </c>
      <c r="S488" s="18">
        <f t="shared" si="87"/>
        <v>49.880000000000109</v>
      </c>
      <c r="T488" s="18">
        <f t="shared" si="88"/>
        <v>49.880000000000109</v>
      </c>
      <c r="U488" s="18">
        <f t="shared" si="96"/>
        <v>84.953642627004029</v>
      </c>
      <c r="V488" s="33">
        <f ca="1">AVERAGE(E488:OFFSET(E488,-V$5+1,0))</f>
        <v>7587.004285714288</v>
      </c>
      <c r="W488" s="33">
        <f t="shared" ca="1" si="89"/>
        <v>7714.4347496547944</v>
      </c>
      <c r="X488" s="33">
        <f t="shared" ca="1" si="90"/>
        <v>7459.5738217737817</v>
      </c>
      <c r="Y488" s="32">
        <f t="shared" ca="1" si="97"/>
        <v>0</v>
      </c>
    </row>
    <row r="489" spans="1:25">
      <c r="A489" s="5">
        <v>39071</v>
      </c>
      <c r="B489" s="4">
        <v>7627.94</v>
      </c>
      <c r="C489" s="4">
        <v>7661.94</v>
      </c>
      <c r="D489" s="4">
        <v>7614.71</v>
      </c>
      <c r="E489" s="4">
        <v>7648.35</v>
      </c>
      <c r="F489" s="4">
        <v>4862200</v>
      </c>
      <c r="G489" s="8">
        <f t="shared" si="99"/>
        <v>29.059999999999491</v>
      </c>
      <c r="H489" s="8">
        <f t="shared" si="98"/>
        <v>20.410000000000764</v>
      </c>
      <c r="I489" s="20">
        <f t="shared" ca="1" si="91"/>
        <v>0</v>
      </c>
      <c r="J489" s="8">
        <f t="shared" ca="1" si="92"/>
        <v>3</v>
      </c>
      <c r="K489" s="8">
        <f t="shared" ca="1" si="93"/>
        <v>148.41000000000076</v>
      </c>
      <c r="L489" s="8">
        <f t="shared" ca="1" si="94"/>
        <v>2361.4000000000024</v>
      </c>
      <c r="M489" s="9">
        <f ca="1">AVERAGE(E489:OFFSET(E489,-M$5+1,0))</f>
        <v>7573.4880000000021</v>
      </c>
      <c r="N489" s="9">
        <f ca="1">AVERAGE(E489:OFFSET(E489,-N$5+1,0))</f>
        <v>7554.7870000000012</v>
      </c>
      <c r="O489" s="9">
        <f t="shared" ca="1" si="95"/>
        <v>0</v>
      </c>
      <c r="P489" s="14">
        <f t="shared" si="100"/>
        <v>0.64890702888648877</v>
      </c>
      <c r="Q489" s="15">
        <f ca="1">STDEV(P489:OFFSET(P489,-$Q$5+1,0))</f>
        <v>0.89771108975389835</v>
      </c>
      <c r="R489" s="15">
        <f ca="1">STDEV(P489:OFFSET(P489,-$R$5+1,0))</f>
        <v>0.6992895968879731</v>
      </c>
      <c r="S489" s="18">
        <f t="shared" si="87"/>
        <v>47.229999999999563</v>
      </c>
      <c r="T489" s="18">
        <f t="shared" si="88"/>
        <v>63.059999999999491</v>
      </c>
      <c r="U489" s="18">
        <f t="shared" si="96"/>
        <v>82.034490276736761</v>
      </c>
      <c r="V489" s="33">
        <f ca="1">AVERAGE(E489:OFFSET(E489,-V$5+1,0))</f>
        <v>7592.7635714285716</v>
      </c>
      <c r="W489" s="33">
        <f t="shared" ca="1" si="89"/>
        <v>7715.8153068436768</v>
      </c>
      <c r="X489" s="33">
        <f t="shared" ca="1" si="90"/>
        <v>7469.7118360134664</v>
      </c>
      <c r="Y489" s="32">
        <f t="shared" ca="1" si="97"/>
        <v>0</v>
      </c>
    </row>
    <row r="490" spans="1:25">
      <c r="A490" s="5">
        <v>39072</v>
      </c>
      <c r="B490" s="4">
        <v>7655.64</v>
      </c>
      <c r="C490" s="4">
        <v>7685.88</v>
      </c>
      <c r="D490" s="4">
        <v>7614.45</v>
      </c>
      <c r="E490" s="4">
        <v>7620.94</v>
      </c>
      <c r="F490" s="4">
        <v>4726600</v>
      </c>
      <c r="G490" s="8">
        <f t="shared" si="99"/>
        <v>7.2899999999999636</v>
      </c>
      <c r="H490" s="8">
        <f t="shared" si="98"/>
        <v>-34.700000000000728</v>
      </c>
      <c r="I490" s="20">
        <f t="shared" ca="1" si="91"/>
        <v>0</v>
      </c>
      <c r="J490" s="8">
        <f t="shared" ca="1" si="92"/>
        <v>3</v>
      </c>
      <c r="K490" s="8">
        <f t="shared" ca="1" si="93"/>
        <v>-82.230000000002292</v>
      </c>
      <c r="L490" s="8">
        <f t="shared" ca="1" si="94"/>
        <v>2279.17</v>
      </c>
      <c r="M490" s="9">
        <f ca="1">AVERAGE(E490:OFFSET(E490,-M$5+1,0))</f>
        <v>7566.93</v>
      </c>
      <c r="N490" s="9">
        <f ca="1">AVERAGE(E490:OFFSET(E490,-N$5+1,0))</f>
        <v>7566.5995000000012</v>
      </c>
      <c r="O490" s="9">
        <f t="shared" ca="1" si="95"/>
        <v>0</v>
      </c>
      <c r="P490" s="14">
        <f t="shared" si="100"/>
        <v>-0.35902166298650512</v>
      </c>
      <c r="Q490" s="15">
        <f ca="1">STDEV(P490:OFFSET(P490,-$Q$5+1,0))</f>
        <v>0.90277270359263173</v>
      </c>
      <c r="R490" s="15">
        <f ca="1">STDEV(P490:OFFSET(P490,-$R$5+1,0))</f>
        <v>0.70463526664958087</v>
      </c>
      <c r="S490" s="18">
        <f t="shared" si="87"/>
        <v>71.430000000000291</v>
      </c>
      <c r="T490" s="18">
        <f t="shared" si="88"/>
        <v>71.430000000000291</v>
      </c>
      <c r="U490" s="18">
        <f t="shared" si="96"/>
        <v>80.620558239838573</v>
      </c>
      <c r="V490" s="33">
        <f ca="1">AVERAGE(E490:OFFSET(E490,-V$5+1,0))</f>
        <v>7593.29</v>
      </c>
      <c r="W490" s="33">
        <f t="shared" ca="1" si="89"/>
        <v>7714.2208373597578</v>
      </c>
      <c r="X490" s="33">
        <f t="shared" ca="1" si="90"/>
        <v>7472.3591626402422</v>
      </c>
      <c r="Y490" s="32">
        <f t="shared" ca="1" si="97"/>
        <v>0</v>
      </c>
    </row>
    <row r="491" spans="1:25">
      <c r="A491" s="5">
        <v>39073</v>
      </c>
      <c r="B491" s="4">
        <v>7636.73</v>
      </c>
      <c r="C491" s="4">
        <v>7660.33</v>
      </c>
      <c r="D491" s="4">
        <v>7621.48</v>
      </c>
      <c r="E491" s="4">
        <v>7652.47</v>
      </c>
      <c r="F491" s="4">
        <v>3634800</v>
      </c>
      <c r="G491" s="8">
        <f t="shared" si="99"/>
        <v>15.789999999999964</v>
      </c>
      <c r="H491" s="8">
        <f t="shared" si="98"/>
        <v>15.740000000000691</v>
      </c>
      <c r="I491" s="20">
        <f t="shared" ca="1" si="91"/>
        <v>0</v>
      </c>
      <c r="J491" s="8">
        <f t="shared" ca="1" si="92"/>
        <v>3</v>
      </c>
      <c r="K491" s="8">
        <f t="shared" ca="1" si="93"/>
        <v>94.590000000001965</v>
      </c>
      <c r="L491" s="8">
        <f t="shared" ca="1" si="94"/>
        <v>2373.760000000002</v>
      </c>
      <c r="M491" s="9">
        <f ca="1">AVERAGE(E491:OFFSET(E491,-M$5+1,0))</f>
        <v>7568.5470000000005</v>
      </c>
      <c r="N491" s="9">
        <f ca="1">AVERAGE(E491:OFFSET(E491,-N$5+1,0))</f>
        <v>7577.8550000000005</v>
      </c>
      <c r="O491" s="9">
        <f t="shared" ca="1" si="95"/>
        <v>-1</v>
      </c>
      <c r="P491" s="14">
        <f t="shared" si="100"/>
        <v>0.41287498718184346</v>
      </c>
      <c r="Q491" s="15">
        <f ca="1">STDEV(P491:OFFSET(P491,-$Q$5+1,0))</f>
        <v>0.89098710431557104</v>
      </c>
      <c r="R491" s="15">
        <f ca="1">STDEV(P491:OFFSET(P491,-$R$5+1,0))</f>
        <v>0.70535682540305467</v>
      </c>
      <c r="S491" s="18">
        <f t="shared" si="87"/>
        <v>38.850000000000364</v>
      </c>
      <c r="T491" s="18">
        <f t="shared" si="88"/>
        <v>39.390000000000327</v>
      </c>
      <c r="U491" s="18">
        <f t="shared" si="96"/>
        <v>75.12315047452681</v>
      </c>
      <c r="V491" s="33">
        <f ca="1">AVERAGE(E491:OFFSET(E491,-V$5+1,0))</f>
        <v>7593.6800000000012</v>
      </c>
      <c r="W491" s="33">
        <f t="shared" ca="1" si="89"/>
        <v>7706.3647257117918</v>
      </c>
      <c r="X491" s="33">
        <f t="shared" ca="1" si="90"/>
        <v>7480.9952742882106</v>
      </c>
      <c r="Y491" s="32">
        <f t="shared" ca="1" si="97"/>
        <v>0</v>
      </c>
    </row>
    <row r="492" spans="1:25">
      <c r="A492" s="5">
        <v>39076</v>
      </c>
      <c r="B492" s="4">
        <v>7658.05</v>
      </c>
      <c r="C492" s="4">
        <v>7667.44</v>
      </c>
      <c r="D492" s="4">
        <v>7635.16</v>
      </c>
      <c r="E492" s="4">
        <v>7646.81</v>
      </c>
      <c r="F492" s="4">
        <v>3786800</v>
      </c>
      <c r="G492" s="8">
        <f t="shared" si="99"/>
        <v>5.5799999999999272</v>
      </c>
      <c r="H492" s="8">
        <f t="shared" si="98"/>
        <v>-11.239999999999782</v>
      </c>
      <c r="I492" s="20">
        <f t="shared" ca="1" si="91"/>
        <v>0</v>
      </c>
      <c r="J492" s="8">
        <f t="shared" ca="1" si="92"/>
        <v>3</v>
      </c>
      <c r="K492" s="8">
        <f t="shared" ca="1" si="93"/>
        <v>-16.979999999999563</v>
      </c>
      <c r="L492" s="8">
        <f t="shared" ca="1" si="94"/>
        <v>2356.7800000000025</v>
      </c>
      <c r="M492" s="9">
        <f ca="1">AVERAGE(E492:OFFSET(E492,-M$5+1,0))</f>
        <v>7572.0159999999987</v>
      </c>
      <c r="N492" s="9">
        <f ca="1">AVERAGE(E492:OFFSET(E492,-N$5+1,0))</f>
        <v>7585.2880000000005</v>
      </c>
      <c r="O492" s="9">
        <f t="shared" ca="1" si="95"/>
        <v>0</v>
      </c>
      <c r="P492" s="14">
        <f t="shared" si="100"/>
        <v>-7.399041338178014E-2</v>
      </c>
      <c r="Q492" s="15">
        <f ca="1">STDEV(P492:OFFSET(P492,-$Q$5+1,0))</f>
        <v>0.88401951415880131</v>
      </c>
      <c r="R492" s="15">
        <f ca="1">STDEV(P492:OFFSET(P492,-$R$5+1,0))</f>
        <v>0.66429675874043337</v>
      </c>
      <c r="S492" s="18">
        <f t="shared" si="87"/>
        <v>32.279999999999745</v>
      </c>
      <c r="T492" s="18">
        <f t="shared" si="88"/>
        <v>32.279999999999745</v>
      </c>
      <c r="U492" s="18">
        <f t="shared" si="96"/>
        <v>69.410730411256523</v>
      </c>
      <c r="V492" s="33">
        <f ca="1">AVERAGE(E492:OFFSET(E492,-V$5+1,0))</f>
        <v>7596.3164285714302</v>
      </c>
      <c r="W492" s="33">
        <f t="shared" ca="1" si="89"/>
        <v>7700.4325241883153</v>
      </c>
      <c r="X492" s="33">
        <f t="shared" ca="1" si="90"/>
        <v>7492.200332954545</v>
      </c>
      <c r="Y492" s="32">
        <f t="shared" ca="1" si="97"/>
        <v>0</v>
      </c>
    </row>
    <row r="493" spans="1:25">
      <c r="A493" s="5">
        <v>39077</v>
      </c>
      <c r="B493" s="4">
        <v>7668.92</v>
      </c>
      <c r="C493" s="4">
        <v>7749.46</v>
      </c>
      <c r="D493" s="4">
        <v>7668.92</v>
      </c>
      <c r="E493" s="4">
        <v>7727.59</v>
      </c>
      <c r="F493" s="4">
        <v>5094600</v>
      </c>
      <c r="G493" s="8">
        <f t="shared" si="99"/>
        <v>22.109999999999673</v>
      </c>
      <c r="H493" s="8">
        <f t="shared" si="98"/>
        <v>58.670000000000073</v>
      </c>
      <c r="I493" s="20">
        <f t="shared" ca="1" si="91"/>
        <v>1</v>
      </c>
      <c r="J493" s="8">
        <f t="shared" ca="1" si="92"/>
        <v>3</v>
      </c>
      <c r="K493" s="8">
        <f t="shared" ca="1" si="93"/>
        <v>242.33999999999924</v>
      </c>
      <c r="L493" s="8">
        <f t="shared" ca="1" si="94"/>
        <v>2599.1200000000017</v>
      </c>
      <c r="M493" s="9">
        <f ca="1">AVERAGE(E493:OFFSET(E493,-M$5+1,0))</f>
        <v>7598.9189999999999</v>
      </c>
      <c r="N493" s="9">
        <f ca="1">AVERAGE(E493:OFFSET(E493,-N$5+1,0))</f>
        <v>7599.4205000000002</v>
      </c>
      <c r="O493" s="9">
        <f t="shared" ca="1" si="95"/>
        <v>0</v>
      </c>
      <c r="P493" s="14">
        <f t="shared" si="100"/>
        <v>1.0508474264144148</v>
      </c>
      <c r="Q493" s="15">
        <f ca="1">STDEV(P493:OFFSET(P493,-$Q$5+1,0))</f>
        <v>0.55272801252410309</v>
      </c>
      <c r="R493" s="15">
        <f ca="1">STDEV(P493:OFFSET(P493,-$R$5+1,0))</f>
        <v>0.67676076707095856</v>
      </c>
      <c r="S493" s="18">
        <f t="shared" si="87"/>
        <v>80.539999999999964</v>
      </c>
      <c r="T493" s="18">
        <f t="shared" si="88"/>
        <v>102.64999999999964</v>
      </c>
      <c r="U493" s="18">
        <f t="shared" si="96"/>
        <v>73.842633023088936</v>
      </c>
      <c r="V493" s="33">
        <f ca="1">AVERAGE(E493:OFFSET(E493,-V$5+1,0))</f>
        <v>7598.7635714285725</v>
      </c>
      <c r="W493" s="33">
        <f t="shared" ca="1" si="89"/>
        <v>7709.5275209632055</v>
      </c>
      <c r="X493" s="33">
        <f t="shared" ca="1" si="90"/>
        <v>7487.9996218939395</v>
      </c>
      <c r="Y493" s="32">
        <f t="shared" ca="1" si="97"/>
        <v>1</v>
      </c>
    </row>
    <row r="494" spans="1:25">
      <c r="A494" s="5">
        <v>39078</v>
      </c>
      <c r="B494" s="4">
        <v>7761.09</v>
      </c>
      <c r="C494" s="4">
        <v>7790.31</v>
      </c>
      <c r="D494" s="4">
        <v>7733.18</v>
      </c>
      <c r="E494" s="4">
        <v>7733.18</v>
      </c>
      <c r="F494" s="4">
        <v>5135000</v>
      </c>
      <c r="G494" s="8">
        <f t="shared" si="99"/>
        <v>33.5</v>
      </c>
      <c r="H494" s="8">
        <f t="shared" si="98"/>
        <v>-27.909999999999854</v>
      </c>
      <c r="I494" s="20">
        <f t="shared" ca="1" si="91"/>
        <v>0</v>
      </c>
      <c r="J494" s="8">
        <f t="shared" ca="1" si="92"/>
        <v>3</v>
      </c>
      <c r="K494" s="8">
        <f t="shared" ca="1" si="93"/>
        <v>16.770000000000437</v>
      </c>
      <c r="L494" s="8">
        <f t="shared" ca="1" si="94"/>
        <v>2615.8900000000021</v>
      </c>
      <c r="M494" s="9">
        <f ca="1">AVERAGE(E494:OFFSET(E494,-M$5+1,0))</f>
        <v>7627.2070000000003</v>
      </c>
      <c r="N494" s="9">
        <f ca="1">AVERAGE(E494:OFFSET(E494,-N$5+1,0))</f>
        <v>7612.3700000000008</v>
      </c>
      <c r="O494" s="9">
        <f t="shared" ca="1" si="95"/>
        <v>1</v>
      </c>
      <c r="P494" s="14">
        <f t="shared" si="100"/>
        <v>7.2312054879352453E-2</v>
      </c>
      <c r="Q494" s="15">
        <f ca="1">STDEV(P494:OFFSET(P494,-$Q$5+1,0))</f>
        <v>0.53845426722548762</v>
      </c>
      <c r="R494" s="15">
        <f ca="1">STDEV(P494:OFFSET(P494,-$R$5+1,0))</f>
        <v>0.67503140103623704</v>
      </c>
      <c r="S494" s="18">
        <f t="shared" si="87"/>
        <v>57.130000000000109</v>
      </c>
      <c r="T494" s="18">
        <f t="shared" si="88"/>
        <v>62.720000000000255</v>
      </c>
      <c r="U494" s="18">
        <f t="shared" si="96"/>
        <v>72.359615286677112</v>
      </c>
      <c r="V494" s="33">
        <f ca="1">AVERAGE(E494:OFFSET(E494,-V$5+1,0))</f>
        <v>7602.096428571429</v>
      </c>
      <c r="W494" s="33">
        <f t="shared" ca="1" si="89"/>
        <v>7710.6358515014444</v>
      </c>
      <c r="X494" s="33">
        <f t="shared" ca="1" si="90"/>
        <v>7493.5570056414135</v>
      </c>
      <c r="Y494" s="32">
        <f t="shared" ca="1" si="97"/>
        <v>0</v>
      </c>
    </row>
    <row r="495" spans="1:25">
      <c r="A495" s="5">
        <v>39079</v>
      </c>
      <c r="B495" s="4">
        <v>7777.86</v>
      </c>
      <c r="C495" s="4">
        <v>7782.42</v>
      </c>
      <c r="D495" s="4">
        <v>7720.29</v>
      </c>
      <c r="E495" s="4">
        <v>7732.93</v>
      </c>
      <c r="F495" s="4">
        <v>4540000</v>
      </c>
      <c r="G495" s="8">
        <f t="shared" si="99"/>
        <v>44.679999999999382</v>
      </c>
      <c r="H495" s="8">
        <f t="shared" si="98"/>
        <v>-44.929999999999382</v>
      </c>
      <c r="I495" s="20">
        <f t="shared" ca="1" si="91"/>
        <v>0</v>
      </c>
      <c r="J495" s="8">
        <f t="shared" ca="1" si="92"/>
        <v>3</v>
      </c>
      <c r="K495" s="8">
        <f t="shared" ca="1" si="93"/>
        <v>-0.75</v>
      </c>
      <c r="L495" s="8">
        <f t="shared" ca="1" si="94"/>
        <v>2615.1400000000021</v>
      </c>
      <c r="M495" s="9">
        <f ca="1">AVERAGE(E495:OFFSET(E495,-M$5+1,0))</f>
        <v>7652.4589999999998</v>
      </c>
      <c r="N495" s="9">
        <f ca="1">AVERAGE(E495:OFFSET(E495,-N$5+1,0))</f>
        <v>7620.6304999999993</v>
      </c>
      <c r="O495" s="9">
        <f t="shared" ca="1" si="95"/>
        <v>0</v>
      </c>
      <c r="P495" s="14">
        <f t="shared" si="100"/>
        <v>-3.2328749765963825E-3</v>
      </c>
      <c r="Q495" s="15">
        <f ca="1">STDEV(P495:OFFSET(P495,-$Q$5+1,0))</f>
        <v>0.55108189359576987</v>
      </c>
      <c r="R495" s="15">
        <f ca="1">STDEV(P495:OFFSET(P495,-$R$5+1,0))</f>
        <v>0.66733252729385084</v>
      </c>
      <c r="S495" s="18">
        <f t="shared" si="87"/>
        <v>62.130000000000109</v>
      </c>
      <c r="T495" s="18">
        <f t="shared" si="88"/>
        <v>62.130000000000109</v>
      </c>
      <c r="U495" s="18">
        <f t="shared" si="96"/>
        <v>70.99566658178685</v>
      </c>
      <c r="V495" s="33">
        <f ca="1">AVERAGE(E495:OFFSET(E495,-V$5+1,0))</f>
        <v>7608.9985714285704</v>
      </c>
      <c r="W495" s="33">
        <f t="shared" ca="1" si="89"/>
        <v>7715.4920713012507</v>
      </c>
      <c r="X495" s="33">
        <f t="shared" ca="1" si="90"/>
        <v>7502.50507155589</v>
      </c>
      <c r="Y495" s="32">
        <f t="shared" ca="1" si="97"/>
        <v>0</v>
      </c>
    </row>
    <row r="496" spans="1:25">
      <c r="A496" s="5">
        <v>39080</v>
      </c>
      <c r="B496" s="4">
        <v>7747.62</v>
      </c>
      <c r="C496" s="4">
        <v>7823.72</v>
      </c>
      <c r="D496" s="4">
        <v>7747.62</v>
      </c>
      <c r="E496" s="4">
        <v>7823.72</v>
      </c>
      <c r="F496" s="4">
        <v>4915000</v>
      </c>
      <c r="G496" s="8">
        <f t="shared" si="99"/>
        <v>14.6899999999996</v>
      </c>
      <c r="H496" s="8">
        <f t="shared" si="98"/>
        <v>76.100000000000364</v>
      </c>
      <c r="I496" s="20">
        <f t="shared" ca="1" si="91"/>
        <v>0</v>
      </c>
      <c r="J496" s="8">
        <f t="shared" ca="1" si="92"/>
        <v>3</v>
      </c>
      <c r="K496" s="8">
        <f t="shared" ca="1" si="93"/>
        <v>272.36999999999989</v>
      </c>
      <c r="L496" s="8">
        <f t="shared" ca="1" si="94"/>
        <v>2887.510000000002</v>
      </c>
      <c r="M496" s="9">
        <f ca="1">AVERAGE(E496:OFFSET(E496,-M$5+1,0))</f>
        <v>7680.9489999999987</v>
      </c>
      <c r="N496" s="9">
        <f ca="1">AVERAGE(E496:OFFSET(E496,-N$5+1,0))</f>
        <v>7631.137999999999</v>
      </c>
      <c r="O496" s="9">
        <f t="shared" ca="1" si="95"/>
        <v>0</v>
      </c>
      <c r="P496" s="14">
        <f t="shared" si="100"/>
        <v>1.1672311299458886</v>
      </c>
      <c r="Q496" s="15">
        <f ca="1">STDEV(P496:OFFSET(P496,-$Q$5+1,0))</f>
        <v>0.59785930275240562</v>
      </c>
      <c r="R496" s="15">
        <f ca="1">STDEV(P496:OFFSET(P496,-$R$5+1,0))</f>
        <v>0.66712468388641566</v>
      </c>
      <c r="S496" s="18">
        <f t="shared" si="87"/>
        <v>76.100000000000364</v>
      </c>
      <c r="T496" s="18">
        <f t="shared" si="88"/>
        <v>90.789999999999964</v>
      </c>
      <c r="U496" s="18">
        <f t="shared" si="96"/>
        <v>73.634911037548605</v>
      </c>
      <c r="V496" s="33">
        <f ca="1">AVERAGE(E496:OFFSET(E496,-V$5+1,0))</f>
        <v>7624.1128571428562</v>
      </c>
      <c r="W496" s="33">
        <f t="shared" ca="1" si="89"/>
        <v>7734.5652236991791</v>
      </c>
      <c r="X496" s="33">
        <f t="shared" ca="1" si="90"/>
        <v>7513.6604905865333</v>
      </c>
      <c r="Y496" s="32">
        <f t="shared" ca="1" si="97"/>
        <v>0</v>
      </c>
    </row>
    <row r="497" spans="1:25">
      <c r="A497" s="5">
        <v>39084</v>
      </c>
      <c r="B497" s="4">
        <v>7871.41</v>
      </c>
      <c r="C497" s="4">
        <v>7937.26</v>
      </c>
      <c r="D497" s="4">
        <v>7843.6</v>
      </c>
      <c r="E497" s="4">
        <v>7920.8</v>
      </c>
      <c r="F497" s="4">
        <v>5710600</v>
      </c>
      <c r="G497" s="8">
        <f t="shared" si="99"/>
        <v>47.6899999999996</v>
      </c>
      <c r="H497" s="8">
        <f t="shared" si="98"/>
        <v>49.390000000000327</v>
      </c>
      <c r="I497" s="20">
        <f t="shared" ca="1" si="91"/>
        <v>0</v>
      </c>
      <c r="J497" s="8">
        <f t="shared" ca="1" si="92"/>
        <v>3</v>
      </c>
      <c r="K497" s="8">
        <f t="shared" ca="1" si="93"/>
        <v>291.23999999999978</v>
      </c>
      <c r="L497" s="8">
        <f t="shared" ca="1" si="94"/>
        <v>3178.7500000000018</v>
      </c>
      <c r="M497" s="9">
        <f ca="1">AVERAGE(E497:OFFSET(E497,-M$5+1,0))</f>
        <v>7710.567</v>
      </c>
      <c r="N497" s="9">
        <f ca="1">AVERAGE(E497:OFFSET(E497,-N$5+1,0))</f>
        <v>7644.8274999999994</v>
      </c>
      <c r="O497" s="9">
        <f t="shared" ca="1" si="95"/>
        <v>0</v>
      </c>
      <c r="P497" s="14">
        <f t="shared" si="100"/>
        <v>1.2332066055096391</v>
      </c>
      <c r="Q497" s="15">
        <f ca="1">STDEV(P497:OFFSET(P497,-$Q$5+1,0))</f>
        <v>0.61288627028054399</v>
      </c>
      <c r="R497" s="15">
        <f ca="1">STDEV(P497:OFFSET(P497,-$R$5+1,0))</f>
        <v>0.67298720885451602</v>
      </c>
      <c r="S497" s="18">
        <f t="shared" si="87"/>
        <v>93.659999999999854</v>
      </c>
      <c r="T497" s="18">
        <f t="shared" si="88"/>
        <v>113.53999999999996</v>
      </c>
      <c r="U497" s="18">
        <f t="shared" si="96"/>
        <v>78.955589565875457</v>
      </c>
      <c r="V497" s="33">
        <f ca="1">AVERAGE(E497:OFFSET(E497,-V$5+1,0))</f>
        <v>7657.1299999999992</v>
      </c>
      <c r="W497" s="33">
        <f t="shared" ca="1" si="89"/>
        <v>7775.5633843488122</v>
      </c>
      <c r="X497" s="33">
        <f t="shared" ca="1" si="90"/>
        <v>7538.6966156511862</v>
      </c>
      <c r="Y497" s="32">
        <f t="shared" ca="1" si="97"/>
        <v>0</v>
      </c>
    </row>
    <row r="498" spans="1:25">
      <c r="A498" s="5">
        <v>39085</v>
      </c>
      <c r="B498" s="4">
        <v>7954.96</v>
      </c>
      <c r="C498" s="4">
        <v>7999.42</v>
      </c>
      <c r="D498" s="4">
        <v>7917.3</v>
      </c>
      <c r="E498" s="4">
        <v>7917.3</v>
      </c>
      <c r="F498" s="4">
        <v>5951400</v>
      </c>
      <c r="G498" s="8">
        <f t="shared" si="99"/>
        <v>34.159999999999854</v>
      </c>
      <c r="H498" s="8">
        <f t="shared" si="98"/>
        <v>-37.659999999999854</v>
      </c>
      <c r="I498" s="20">
        <f t="shared" ca="1" si="91"/>
        <v>0</v>
      </c>
      <c r="J498" s="8">
        <f t="shared" ca="1" si="92"/>
        <v>3</v>
      </c>
      <c r="K498" s="8">
        <f t="shared" ca="1" si="93"/>
        <v>-10.5</v>
      </c>
      <c r="L498" s="8">
        <f t="shared" ca="1" si="94"/>
        <v>3168.2500000000018</v>
      </c>
      <c r="M498" s="9">
        <f ca="1">AVERAGE(E498:OFFSET(E498,-M$5+1,0))</f>
        <v>7742.4090000000015</v>
      </c>
      <c r="N498" s="9">
        <f ca="1">AVERAGE(E498:OFFSET(E498,-N$5+1,0))</f>
        <v>7660.1974999999993</v>
      </c>
      <c r="O498" s="9">
        <f t="shared" ca="1" si="95"/>
        <v>0</v>
      </c>
      <c r="P498" s="14">
        <f t="shared" si="100"/>
        <v>-4.4197221345661106E-2</v>
      </c>
      <c r="Q498" s="15">
        <f ca="1">STDEV(P498:OFFSET(P498,-$Q$5+1,0))</f>
        <v>0.58076258598401365</v>
      </c>
      <c r="R498" s="15">
        <f ca="1">STDEV(P498:OFFSET(P498,-$R$5+1,0))</f>
        <v>0.66677752132771961</v>
      </c>
      <c r="S498" s="18">
        <f t="shared" si="87"/>
        <v>82.119999999999891</v>
      </c>
      <c r="T498" s="18">
        <f t="shared" si="88"/>
        <v>82.119999999999891</v>
      </c>
      <c r="U498" s="18">
        <f t="shared" si="96"/>
        <v>79.377510957092042</v>
      </c>
      <c r="V498" s="33">
        <f ca="1">AVERAGE(E498:OFFSET(E498,-V$5+1,0))</f>
        <v>7690.4871428571432</v>
      </c>
      <c r="W498" s="33">
        <f t="shared" ca="1" si="89"/>
        <v>7809.553409292781</v>
      </c>
      <c r="X498" s="33">
        <f t="shared" ca="1" si="90"/>
        <v>7571.4208764215055</v>
      </c>
      <c r="Y498" s="32">
        <f t="shared" ca="1" si="97"/>
        <v>0</v>
      </c>
    </row>
    <row r="499" spans="1:25">
      <c r="A499" s="5">
        <v>39086</v>
      </c>
      <c r="B499" s="4">
        <v>7929.89</v>
      </c>
      <c r="C499" s="4">
        <v>7955.9</v>
      </c>
      <c r="D499" s="4">
        <v>7901.24</v>
      </c>
      <c r="E499" s="4">
        <v>7934.51</v>
      </c>
      <c r="F499" s="4">
        <v>5717400</v>
      </c>
      <c r="G499" s="8">
        <f t="shared" si="99"/>
        <v>12.590000000000146</v>
      </c>
      <c r="H499" s="8">
        <f t="shared" si="98"/>
        <v>4.6199999999998909</v>
      </c>
      <c r="I499" s="20">
        <f t="shared" ca="1" si="91"/>
        <v>0</v>
      </c>
      <c r="J499" s="8">
        <f t="shared" ca="1" si="92"/>
        <v>3</v>
      </c>
      <c r="K499" s="8">
        <f t="shared" ca="1" si="93"/>
        <v>51.630000000000109</v>
      </c>
      <c r="L499" s="8">
        <f t="shared" ca="1" si="94"/>
        <v>3219.8800000000019</v>
      </c>
      <c r="M499" s="9">
        <f ca="1">AVERAGE(E499:OFFSET(E499,-M$5+1,0))</f>
        <v>7771.0249999999996</v>
      </c>
      <c r="N499" s="9">
        <f ca="1">AVERAGE(E499:OFFSET(E499,-N$5+1,0))</f>
        <v>7672.2565000000004</v>
      </c>
      <c r="O499" s="9">
        <f t="shared" ca="1" si="95"/>
        <v>0</v>
      </c>
      <c r="P499" s="14">
        <f t="shared" si="100"/>
        <v>0.21713617261152535</v>
      </c>
      <c r="Q499" s="15">
        <f ca="1">STDEV(P499:OFFSET(P499,-$Q$5+1,0))</f>
        <v>0.57710679230065665</v>
      </c>
      <c r="R499" s="15">
        <f ca="1">STDEV(P499:OFFSET(P499,-$R$5+1,0))</f>
        <v>0.66464020258764589</v>
      </c>
      <c r="S499" s="18">
        <f t="shared" si="87"/>
        <v>54.659999999999854</v>
      </c>
      <c r="T499" s="18">
        <f t="shared" si="88"/>
        <v>54.659999999999854</v>
      </c>
      <c r="U499" s="18">
        <f t="shared" si="96"/>
        <v>76.081842829479754</v>
      </c>
      <c r="V499" s="33">
        <f ca="1">AVERAGE(E499:OFFSET(E499,-V$5+1,0))</f>
        <v>7722.9228571428566</v>
      </c>
      <c r="W499" s="33">
        <f t="shared" ca="1" si="89"/>
        <v>7837.0456213870766</v>
      </c>
      <c r="X499" s="33">
        <f t="shared" ca="1" si="90"/>
        <v>7608.8000928986366</v>
      </c>
      <c r="Y499" s="32">
        <f t="shared" ca="1" si="97"/>
        <v>0</v>
      </c>
    </row>
    <row r="500" spans="1:25">
      <c r="A500" s="5">
        <v>39087</v>
      </c>
      <c r="B500" s="4">
        <v>7940.2</v>
      </c>
      <c r="C500" s="4">
        <v>7942.23</v>
      </c>
      <c r="D500" s="4">
        <v>7821.71</v>
      </c>
      <c r="E500" s="4">
        <v>7835.57</v>
      </c>
      <c r="F500" s="4">
        <v>5181400</v>
      </c>
      <c r="G500" s="8">
        <f t="shared" si="99"/>
        <v>5.6899999999995998</v>
      </c>
      <c r="H500" s="8">
        <f t="shared" si="98"/>
        <v>-104.63000000000011</v>
      </c>
      <c r="I500" s="20">
        <f t="shared" ca="1" si="91"/>
        <v>0</v>
      </c>
      <c r="J500" s="8">
        <f t="shared" ca="1" si="92"/>
        <v>3</v>
      </c>
      <c r="K500" s="8">
        <f t="shared" ca="1" si="93"/>
        <v>-296.82000000000153</v>
      </c>
      <c r="L500" s="8">
        <f t="shared" ca="1" si="94"/>
        <v>2923.0600000000004</v>
      </c>
      <c r="M500" s="9">
        <f ca="1">AVERAGE(E500:OFFSET(E500,-M$5+1,0))</f>
        <v>7792.4880000000003</v>
      </c>
      <c r="N500" s="9">
        <f ca="1">AVERAGE(E500:OFFSET(E500,-N$5+1,0))</f>
        <v>7679.7090000000007</v>
      </c>
      <c r="O500" s="9">
        <f t="shared" ca="1" si="95"/>
        <v>0</v>
      </c>
      <c r="P500" s="14">
        <f t="shared" si="100"/>
        <v>-1.2547976698408494</v>
      </c>
      <c r="Q500" s="15">
        <f ca="1">STDEV(P500:OFFSET(P500,-$Q$5+1,0))</f>
        <v>0.74691337075360531</v>
      </c>
      <c r="R500" s="15">
        <f ca="1">STDEV(P500:OFFSET(P500,-$R$5+1,0))</f>
        <v>0.69940347877829467</v>
      </c>
      <c r="S500" s="18">
        <f t="shared" si="87"/>
        <v>120.51999999999953</v>
      </c>
      <c r="T500" s="18">
        <f t="shared" si="88"/>
        <v>120.51999999999953</v>
      </c>
      <c r="U500" s="18">
        <f t="shared" si="96"/>
        <v>82.006930452215727</v>
      </c>
      <c r="V500" s="33">
        <f ca="1">AVERAGE(E500:OFFSET(E500,-V$5+1,0))</f>
        <v>7744.1192857142842</v>
      </c>
      <c r="W500" s="33">
        <f t="shared" ca="1" si="89"/>
        <v>7867.1296813926074</v>
      </c>
      <c r="X500" s="33">
        <f t="shared" ca="1" si="90"/>
        <v>7621.1088900359609</v>
      </c>
      <c r="Y500" s="32">
        <f t="shared" ca="1" si="97"/>
        <v>0</v>
      </c>
    </row>
    <row r="501" spans="1:25">
      <c r="A501" s="5">
        <v>39090</v>
      </c>
      <c r="B501" s="4">
        <v>7778.57</v>
      </c>
      <c r="C501" s="4">
        <v>7797.57</v>
      </c>
      <c r="D501" s="4">
        <v>7736.11</v>
      </c>
      <c r="E501" s="4">
        <v>7736.71</v>
      </c>
      <c r="F501" s="4">
        <v>4292400</v>
      </c>
      <c r="G501" s="8">
        <f t="shared" si="99"/>
        <v>-57</v>
      </c>
      <c r="H501" s="8">
        <f t="shared" si="98"/>
        <v>-41.859999999999673</v>
      </c>
      <c r="I501" s="20">
        <f t="shared" ca="1" si="91"/>
        <v>0</v>
      </c>
      <c r="J501" s="8">
        <f t="shared" ca="1" si="92"/>
        <v>3</v>
      </c>
      <c r="K501" s="8">
        <f t="shared" ca="1" si="93"/>
        <v>-296.57999999999902</v>
      </c>
      <c r="L501" s="8">
        <f t="shared" ca="1" si="94"/>
        <v>2626.4800000000014</v>
      </c>
      <c r="M501" s="9">
        <f ca="1">AVERAGE(E501:OFFSET(E501,-M$5+1,0))</f>
        <v>7800.9120000000012</v>
      </c>
      <c r="N501" s="9">
        <f ca="1">AVERAGE(E501:OFFSET(E501,-N$5+1,0))</f>
        <v>7684.7294999999995</v>
      </c>
      <c r="O501" s="9">
        <f t="shared" ca="1" si="95"/>
        <v>0</v>
      </c>
      <c r="P501" s="14">
        <f t="shared" si="100"/>
        <v>-1.2697091003830676</v>
      </c>
      <c r="Q501" s="15">
        <f ca="1">STDEV(P501:OFFSET(P501,-$Q$5+1,0))</f>
        <v>0.88907825453372202</v>
      </c>
      <c r="R501" s="15">
        <f ca="1">STDEV(P501:OFFSET(P501,-$R$5+1,0))</f>
        <v>0.73815424992491907</v>
      </c>
      <c r="S501" s="18">
        <f t="shared" ref="S501:S564" si="101">C501-D501</f>
        <v>61.460000000000036</v>
      </c>
      <c r="T501" s="18">
        <f t="shared" ref="T501:T564" si="102">MAX(C501,E500)-MIN(D501,E500)</f>
        <v>99.460000000000036</v>
      </c>
      <c r="U501" s="18">
        <f t="shared" si="96"/>
        <v>84.334006391920312</v>
      </c>
      <c r="V501" s="33">
        <f ca="1">AVERAGE(E501:OFFSET(E501,-V$5+1,0))</f>
        <v>7752.1257142857139</v>
      </c>
      <c r="W501" s="33">
        <f t="shared" ref="W501:W564" ca="1" si="103">V501+W$5*U501</f>
        <v>7878.6267238735945</v>
      </c>
      <c r="X501" s="33">
        <f t="shared" ref="X501:X564" ca="1" si="104">V501-W$5*U501</f>
        <v>7625.6247046978333</v>
      </c>
      <c r="Y501" s="32">
        <f t="shared" ca="1" si="97"/>
        <v>0</v>
      </c>
    </row>
    <row r="502" spans="1:25">
      <c r="A502" s="5">
        <v>39091</v>
      </c>
      <c r="B502" s="4">
        <v>7778.38</v>
      </c>
      <c r="C502" s="4">
        <v>7827.93</v>
      </c>
      <c r="D502" s="4">
        <v>7778.38</v>
      </c>
      <c r="E502" s="4">
        <v>7790.01</v>
      </c>
      <c r="F502" s="4">
        <v>4516000</v>
      </c>
      <c r="G502" s="8">
        <f t="shared" si="99"/>
        <v>41.670000000000073</v>
      </c>
      <c r="H502" s="8">
        <f t="shared" si="98"/>
        <v>11.630000000000109</v>
      </c>
      <c r="I502" s="20">
        <f t="shared" ref="I502:I565" ca="1" si="105">Y502</f>
        <v>0</v>
      </c>
      <c r="J502" s="8">
        <f t="shared" ref="J502:J565" ca="1" si="106">IF((J501+I501)&gt;=J$5,J$5,IF((J501+I501)&lt;=J$7,J$7,J501+I501))</f>
        <v>3</v>
      </c>
      <c r="K502" s="8">
        <f t="shared" ref="K502:K565" ca="1" si="107">J501*G502+J502*H502</f>
        <v>159.90000000000055</v>
      </c>
      <c r="L502" s="8">
        <f t="shared" ref="L502:L565" ca="1" si="108">L501+K502</f>
        <v>2786.3800000000019</v>
      </c>
      <c r="M502" s="9">
        <f ca="1">AVERAGE(E502:OFFSET(E502,-M$5+1,0))</f>
        <v>7815.2320000000009</v>
      </c>
      <c r="N502" s="9">
        <f ca="1">AVERAGE(E502:OFFSET(E502,-N$5+1,0))</f>
        <v>7693.6239999999989</v>
      </c>
      <c r="O502" s="9">
        <f t="shared" ref="O502:O565" ca="1" si="109">IF(AND(M501&lt;=N501,M502&gt;N502),1,IF(AND(M501&gt;=N501,M502&lt;N502),-1,0))</f>
        <v>0</v>
      </c>
      <c r="P502" s="14">
        <f t="shared" si="100"/>
        <v>0.68656109422931866</v>
      </c>
      <c r="Q502" s="15">
        <f ca="1">STDEV(P502:OFFSET(P502,-$Q$5+1,0))</f>
        <v>0.90404385906463913</v>
      </c>
      <c r="R502" s="15">
        <f ca="1">STDEV(P502:OFFSET(P502,-$R$5+1,0))</f>
        <v>0.73274557918547678</v>
      </c>
      <c r="S502" s="18">
        <f t="shared" si="101"/>
        <v>49.550000000000182</v>
      </c>
      <c r="T502" s="18">
        <f t="shared" si="102"/>
        <v>91.220000000000255</v>
      </c>
      <c r="U502" s="18">
        <f t="shared" ref="U502:U565" si="110">$U$5*T502+(1-$U$5)*U501</f>
        <v>85.252138872997634</v>
      </c>
      <c r="V502" s="33">
        <f ca="1">AVERAGE(E502:OFFSET(E502,-V$5+1,0))</f>
        <v>7765.777857142858</v>
      </c>
      <c r="W502" s="33">
        <f t="shared" ca="1" si="103"/>
        <v>7893.6560654523546</v>
      </c>
      <c r="X502" s="33">
        <f t="shared" ca="1" si="104"/>
        <v>7637.8996488333614</v>
      </c>
      <c r="Y502" s="32">
        <f t="shared" ref="Y502:Y565" ca="1" si="111">IF(AND(E501&gt;X501,E502&lt;X502),-1,IF(AND(E501&lt;W501,E502&gt;W502),1,0))</f>
        <v>0</v>
      </c>
    </row>
    <row r="503" spans="1:25">
      <c r="A503" s="5">
        <v>39092</v>
      </c>
      <c r="B503" s="4">
        <v>7737.25</v>
      </c>
      <c r="C503" s="4">
        <v>7748.79</v>
      </c>
      <c r="D503" s="4">
        <v>7682.82</v>
      </c>
      <c r="E503" s="4">
        <v>7698.52</v>
      </c>
      <c r="F503" s="4">
        <v>5153200</v>
      </c>
      <c r="G503" s="8">
        <f t="shared" si="99"/>
        <v>-52.760000000000218</v>
      </c>
      <c r="H503" s="8">
        <f t="shared" si="98"/>
        <v>-38.729999999999563</v>
      </c>
      <c r="I503" s="20">
        <f t="shared" ca="1" si="105"/>
        <v>0</v>
      </c>
      <c r="J503" s="8">
        <f t="shared" ca="1" si="106"/>
        <v>3</v>
      </c>
      <c r="K503" s="8">
        <f t="shared" ca="1" si="107"/>
        <v>-274.46999999999935</v>
      </c>
      <c r="L503" s="8">
        <f t="shared" ca="1" si="108"/>
        <v>2511.9100000000026</v>
      </c>
      <c r="M503" s="9">
        <f ca="1">AVERAGE(E503:OFFSET(E503,-M$5+1,0))</f>
        <v>7812.3249999999998</v>
      </c>
      <c r="N503" s="9">
        <f ca="1">AVERAGE(E503:OFFSET(E503,-N$5+1,0))</f>
        <v>7705.6219999999985</v>
      </c>
      <c r="O503" s="9">
        <f t="shared" ca="1" si="109"/>
        <v>0</v>
      </c>
      <c r="P503" s="14">
        <f t="shared" si="100"/>
        <v>-1.1814040985735086</v>
      </c>
      <c r="Q503" s="15">
        <f ca="1">STDEV(P503:OFFSET(P503,-$Q$5+1,0))</f>
        <v>0.94146005458806326</v>
      </c>
      <c r="R503" s="15">
        <f ca="1">STDEV(P503:OFFSET(P503,-$R$5+1,0))</f>
        <v>0.75543739877051919</v>
      </c>
      <c r="S503" s="18">
        <f t="shared" si="101"/>
        <v>65.970000000000255</v>
      </c>
      <c r="T503" s="18">
        <f t="shared" si="102"/>
        <v>107.19000000000051</v>
      </c>
      <c r="U503" s="18">
        <f t="shared" si="110"/>
        <v>88.177187023264693</v>
      </c>
      <c r="V503" s="33">
        <f ca="1">AVERAGE(E503:OFFSET(E503,-V$5+1,0))</f>
        <v>7769.3614285714293</v>
      </c>
      <c r="W503" s="33">
        <f t="shared" ca="1" si="103"/>
        <v>7901.6272091063265</v>
      </c>
      <c r="X503" s="33">
        <f t="shared" ca="1" si="104"/>
        <v>7637.0956480365321</v>
      </c>
      <c r="Y503" s="32">
        <f t="shared" ca="1" si="111"/>
        <v>0</v>
      </c>
    </row>
    <row r="504" spans="1:25">
      <c r="A504" s="5">
        <v>39093</v>
      </c>
      <c r="B504" s="4">
        <v>7724.1</v>
      </c>
      <c r="C504" s="4">
        <v>7748.96</v>
      </c>
      <c r="D504" s="4">
        <v>7599.55</v>
      </c>
      <c r="E504" s="4">
        <v>7618.55</v>
      </c>
      <c r="F504" s="4">
        <v>5735400</v>
      </c>
      <c r="G504" s="8">
        <f t="shared" si="99"/>
        <v>25.579999999999927</v>
      </c>
      <c r="H504" s="8">
        <f t="shared" si="98"/>
        <v>-105.55000000000018</v>
      </c>
      <c r="I504" s="20">
        <f t="shared" ca="1" si="105"/>
        <v>-1</v>
      </c>
      <c r="J504" s="8">
        <f t="shared" ca="1" si="106"/>
        <v>3</v>
      </c>
      <c r="K504" s="8">
        <f t="shared" ca="1" si="107"/>
        <v>-239.91000000000076</v>
      </c>
      <c r="L504" s="8">
        <f t="shared" ca="1" si="108"/>
        <v>2272.0000000000018</v>
      </c>
      <c r="M504" s="9">
        <f ca="1">AVERAGE(E504:OFFSET(E504,-M$5+1,0))</f>
        <v>7800.862000000001</v>
      </c>
      <c r="N504" s="9">
        <f ca="1">AVERAGE(E504:OFFSET(E504,-N$5+1,0))</f>
        <v>7714.0344999999988</v>
      </c>
      <c r="O504" s="9">
        <f t="shared" ca="1" si="109"/>
        <v>0</v>
      </c>
      <c r="P504" s="14">
        <f t="shared" si="100"/>
        <v>-1.0442039715695719</v>
      </c>
      <c r="Q504" s="15">
        <f ca="1">STDEV(P504:OFFSET(P504,-$Q$5+1,0))</f>
        <v>0.99182400931009784</v>
      </c>
      <c r="R504" s="15">
        <f ca="1">STDEV(P504:OFFSET(P504,-$R$5+1,0))</f>
        <v>0.77760162894561391</v>
      </c>
      <c r="S504" s="18">
        <f t="shared" si="101"/>
        <v>149.40999999999985</v>
      </c>
      <c r="T504" s="18">
        <f t="shared" si="102"/>
        <v>149.40999999999985</v>
      </c>
      <c r="U504" s="18">
        <f t="shared" si="110"/>
        <v>96.341562086829384</v>
      </c>
      <c r="V504" s="33">
        <f ca="1">AVERAGE(E504:OFFSET(E504,-V$5+1,0))</f>
        <v>7769.1907142857153</v>
      </c>
      <c r="W504" s="33">
        <f t="shared" ca="1" si="103"/>
        <v>7913.7030574159598</v>
      </c>
      <c r="X504" s="33">
        <f t="shared" ca="1" si="104"/>
        <v>7624.6783711554708</v>
      </c>
      <c r="Y504" s="32">
        <f t="shared" ca="1" si="111"/>
        <v>-1</v>
      </c>
    </row>
    <row r="505" spans="1:25">
      <c r="A505" s="5">
        <v>39094</v>
      </c>
      <c r="B505" s="4">
        <v>7713.63</v>
      </c>
      <c r="C505" s="4">
        <v>7769.31</v>
      </c>
      <c r="D505" s="4">
        <v>7704.39</v>
      </c>
      <c r="E505" s="4">
        <v>7761.71</v>
      </c>
      <c r="F505" s="4">
        <v>4478600</v>
      </c>
      <c r="G505" s="8">
        <f t="shared" si="99"/>
        <v>95.079999999999927</v>
      </c>
      <c r="H505" s="8">
        <f t="shared" si="98"/>
        <v>48.079999999999927</v>
      </c>
      <c r="I505" s="20">
        <f t="shared" ca="1" si="105"/>
        <v>0</v>
      </c>
      <c r="J505" s="8">
        <f t="shared" ca="1" si="106"/>
        <v>2</v>
      </c>
      <c r="K505" s="8">
        <f t="shared" ca="1" si="107"/>
        <v>381.39999999999964</v>
      </c>
      <c r="L505" s="8">
        <f t="shared" ca="1" si="108"/>
        <v>2653.4000000000015</v>
      </c>
      <c r="M505" s="9">
        <f ca="1">AVERAGE(E505:OFFSET(E505,-M$5+1,0))</f>
        <v>7803.7400000000007</v>
      </c>
      <c r="N505" s="9">
        <f ca="1">AVERAGE(E505:OFFSET(E505,-N$5+1,0))</f>
        <v>7728.0994999999984</v>
      </c>
      <c r="O505" s="9">
        <f t="shared" ca="1" si="109"/>
        <v>0</v>
      </c>
      <c r="P505" s="14">
        <f t="shared" si="100"/>
        <v>1.8616607866539652</v>
      </c>
      <c r="Q505" s="15">
        <f ca="1">STDEV(P505:OFFSET(P505,-$Q$5+1,0))</f>
        <v>1.1798508158677499</v>
      </c>
      <c r="R505" s="15">
        <f ca="1">STDEV(P505:OFFSET(P505,-$R$5+1,0))</f>
        <v>0.82429757972504136</v>
      </c>
      <c r="S505" s="18">
        <f t="shared" si="101"/>
        <v>64.920000000000073</v>
      </c>
      <c r="T505" s="18">
        <f t="shared" si="102"/>
        <v>150.76000000000022</v>
      </c>
      <c r="U505" s="18">
        <f t="shared" si="110"/>
        <v>103.5973538085855</v>
      </c>
      <c r="V505" s="33">
        <f ca="1">AVERAGE(E505:OFFSET(E505,-V$5+1,0))</f>
        <v>7776.993571428573</v>
      </c>
      <c r="W505" s="33">
        <f t="shared" ca="1" si="103"/>
        <v>7932.3896021414512</v>
      </c>
      <c r="X505" s="33">
        <f t="shared" ca="1" si="104"/>
        <v>7621.5975407156948</v>
      </c>
      <c r="Y505" s="32">
        <f t="shared" ca="1" si="111"/>
        <v>0</v>
      </c>
    </row>
    <row r="506" spans="1:25">
      <c r="A506" s="5">
        <v>39097</v>
      </c>
      <c r="B506" s="4">
        <v>7809.91</v>
      </c>
      <c r="C506" s="4">
        <v>7814.85</v>
      </c>
      <c r="D506" s="4">
        <v>7741.49</v>
      </c>
      <c r="E506" s="4">
        <v>7783.5</v>
      </c>
      <c r="F506" s="4">
        <v>3817600</v>
      </c>
      <c r="G506" s="8">
        <f t="shared" si="99"/>
        <v>48.199999999999818</v>
      </c>
      <c r="H506" s="8">
        <f t="shared" si="98"/>
        <v>-26.409999999999854</v>
      </c>
      <c r="I506" s="20">
        <f t="shared" ca="1" si="105"/>
        <v>0</v>
      </c>
      <c r="J506" s="8">
        <f t="shared" ca="1" si="106"/>
        <v>2</v>
      </c>
      <c r="K506" s="8">
        <f t="shared" ca="1" si="107"/>
        <v>43.579999999999927</v>
      </c>
      <c r="L506" s="8">
        <f t="shared" ca="1" si="108"/>
        <v>2696.9800000000014</v>
      </c>
      <c r="M506" s="9">
        <f ca="1">AVERAGE(E506:OFFSET(E506,-M$5+1,0))</f>
        <v>7799.7180000000008</v>
      </c>
      <c r="N506" s="9">
        <f ca="1">AVERAGE(E506:OFFSET(E506,-N$5+1,0))</f>
        <v>7740.3334999999979</v>
      </c>
      <c r="O506" s="9">
        <f t="shared" ca="1" si="109"/>
        <v>0</v>
      </c>
      <c r="P506" s="14">
        <f t="shared" si="100"/>
        <v>0.28034377497775304</v>
      </c>
      <c r="Q506" s="15">
        <f ca="1">STDEV(P506:OFFSET(P506,-$Q$5+1,0))</f>
        <v>1.1171308277507979</v>
      </c>
      <c r="R506" s="15">
        <f ca="1">STDEV(P506:OFFSET(P506,-$R$5+1,0))</f>
        <v>0.82416658224181427</v>
      </c>
      <c r="S506" s="18">
        <f t="shared" si="101"/>
        <v>73.360000000000582</v>
      </c>
      <c r="T506" s="18">
        <f t="shared" si="102"/>
        <v>73.360000000000582</v>
      </c>
      <c r="U506" s="18">
        <f t="shared" si="110"/>
        <v>99.565706634107499</v>
      </c>
      <c r="V506" s="33">
        <f ca="1">AVERAGE(E506:OFFSET(E506,-V$5+1,0))</f>
        <v>7786.7571428571446</v>
      </c>
      <c r="W506" s="33">
        <f t="shared" ca="1" si="103"/>
        <v>7936.105702808306</v>
      </c>
      <c r="X506" s="33">
        <f t="shared" ca="1" si="104"/>
        <v>7637.4085829059832</v>
      </c>
      <c r="Y506" s="32">
        <f t="shared" ca="1" si="111"/>
        <v>0</v>
      </c>
    </row>
    <row r="507" spans="1:25">
      <c r="A507" s="5">
        <v>39098</v>
      </c>
      <c r="B507" s="4">
        <v>7792.77</v>
      </c>
      <c r="C507" s="4">
        <v>7831.2</v>
      </c>
      <c r="D507" s="4">
        <v>7780.65</v>
      </c>
      <c r="E507" s="4">
        <v>7792.08</v>
      </c>
      <c r="F507" s="4">
        <v>3743600</v>
      </c>
      <c r="G507" s="8">
        <f t="shared" si="99"/>
        <v>9.2700000000004366</v>
      </c>
      <c r="H507" s="8">
        <f t="shared" si="98"/>
        <v>-0.69000000000050932</v>
      </c>
      <c r="I507" s="20">
        <f t="shared" ca="1" si="105"/>
        <v>0</v>
      </c>
      <c r="J507" s="8">
        <f t="shared" ca="1" si="106"/>
        <v>2</v>
      </c>
      <c r="K507" s="8">
        <f t="shared" ca="1" si="107"/>
        <v>17.159999999999854</v>
      </c>
      <c r="L507" s="8">
        <f t="shared" ca="1" si="108"/>
        <v>2714.1400000000012</v>
      </c>
      <c r="M507" s="9">
        <f ca="1">AVERAGE(E507:OFFSET(E507,-M$5+1,0))</f>
        <v>7786.8460000000005</v>
      </c>
      <c r="N507" s="9">
        <f ca="1">AVERAGE(E507:OFFSET(E507,-N$5+1,0))</f>
        <v>7748.7064999999984</v>
      </c>
      <c r="O507" s="9">
        <f t="shared" ca="1" si="109"/>
        <v>0</v>
      </c>
      <c r="P507" s="14">
        <f t="shared" si="100"/>
        <v>0.11017247342141338</v>
      </c>
      <c r="Q507" s="15">
        <f ca="1">STDEV(P507:OFFSET(P507,-$Q$5+1,0))</f>
        <v>1.0263899670146841</v>
      </c>
      <c r="R507" s="15">
        <f ca="1">STDEV(P507:OFFSET(P507,-$R$5+1,0))</f>
        <v>0.82388919258145943</v>
      </c>
      <c r="S507" s="18">
        <f t="shared" si="101"/>
        <v>50.550000000000182</v>
      </c>
      <c r="T507" s="18">
        <f t="shared" si="102"/>
        <v>50.550000000000182</v>
      </c>
      <c r="U507" s="18">
        <f t="shared" si="110"/>
        <v>93.030279082893188</v>
      </c>
      <c r="V507" s="33">
        <f ca="1">AVERAGE(E507:OFFSET(E507,-V$5+1,0))</f>
        <v>7791.363571428572</v>
      </c>
      <c r="W507" s="33">
        <f t="shared" ca="1" si="103"/>
        <v>7930.9089900529116</v>
      </c>
      <c r="X507" s="33">
        <f t="shared" ca="1" si="104"/>
        <v>7651.8181528042323</v>
      </c>
      <c r="Y507" s="32">
        <f t="shared" ca="1" si="111"/>
        <v>0</v>
      </c>
    </row>
    <row r="508" spans="1:25">
      <c r="A508" s="5">
        <v>39099</v>
      </c>
      <c r="B508" s="4">
        <v>7757.8</v>
      </c>
      <c r="C508" s="4">
        <v>7841.26</v>
      </c>
      <c r="D508" s="4">
        <v>7747.58</v>
      </c>
      <c r="E508" s="4">
        <v>7833.98</v>
      </c>
      <c r="F508" s="4">
        <v>4016600</v>
      </c>
      <c r="G508" s="8">
        <f t="shared" si="99"/>
        <v>-34.279999999999745</v>
      </c>
      <c r="H508" s="8">
        <f t="shared" si="98"/>
        <v>76.179999999999382</v>
      </c>
      <c r="I508" s="20">
        <f t="shared" ca="1" si="105"/>
        <v>0</v>
      </c>
      <c r="J508" s="8">
        <f t="shared" ca="1" si="106"/>
        <v>2</v>
      </c>
      <c r="K508" s="8">
        <f t="shared" ca="1" si="107"/>
        <v>83.799999999999272</v>
      </c>
      <c r="L508" s="8">
        <f t="shared" ca="1" si="108"/>
        <v>2797.9400000000005</v>
      </c>
      <c r="M508" s="9">
        <f ca="1">AVERAGE(E508:OFFSET(E508,-M$5+1,0))</f>
        <v>7778.5140000000001</v>
      </c>
      <c r="N508" s="9">
        <f ca="1">AVERAGE(E508:OFFSET(E508,-N$5+1,0))</f>
        <v>7760.4615000000003</v>
      </c>
      <c r="O508" s="9">
        <f t="shared" ca="1" si="109"/>
        <v>0</v>
      </c>
      <c r="P508" s="14">
        <f t="shared" si="100"/>
        <v>0.5362849038184595</v>
      </c>
      <c r="Q508" s="15">
        <f ca="1">STDEV(P508:OFFSET(P508,-$Q$5+1,0))</f>
        <v>1.0500505913724543</v>
      </c>
      <c r="R508" s="15">
        <f ca="1">STDEV(P508:OFFSET(P508,-$R$5+1,0))</f>
        <v>0.82223130512542597</v>
      </c>
      <c r="S508" s="18">
        <f t="shared" si="101"/>
        <v>93.680000000000291</v>
      </c>
      <c r="T508" s="18">
        <f t="shared" si="102"/>
        <v>93.680000000000291</v>
      </c>
      <c r="U508" s="18">
        <f t="shared" si="110"/>
        <v>93.11690853850746</v>
      </c>
      <c r="V508" s="33">
        <f ca="1">AVERAGE(E508:OFFSET(E508,-V$5+1,0))</f>
        <v>7798.5635714285727</v>
      </c>
      <c r="W508" s="33">
        <f t="shared" ca="1" si="103"/>
        <v>7938.238934236334</v>
      </c>
      <c r="X508" s="33">
        <f t="shared" ca="1" si="104"/>
        <v>7658.8882086208114</v>
      </c>
      <c r="Y508" s="32">
        <f t="shared" ca="1" si="111"/>
        <v>0</v>
      </c>
    </row>
    <row r="509" spans="1:25">
      <c r="A509" s="5">
        <v>39100</v>
      </c>
      <c r="B509" s="4">
        <v>7852.26</v>
      </c>
      <c r="C509" s="4">
        <v>7896.95</v>
      </c>
      <c r="D509" s="4">
        <v>7830.23</v>
      </c>
      <c r="E509" s="4">
        <v>7895.18</v>
      </c>
      <c r="F509" s="4">
        <v>4237200</v>
      </c>
      <c r="G509" s="8">
        <f t="shared" si="99"/>
        <v>18.280000000000655</v>
      </c>
      <c r="H509" s="8">
        <f t="shared" si="98"/>
        <v>42.920000000000073</v>
      </c>
      <c r="I509" s="20">
        <f t="shared" ca="1" si="105"/>
        <v>0</v>
      </c>
      <c r="J509" s="8">
        <f t="shared" ca="1" si="106"/>
        <v>2</v>
      </c>
      <c r="K509" s="8">
        <f t="shared" ca="1" si="107"/>
        <v>122.40000000000146</v>
      </c>
      <c r="L509" s="8">
        <f t="shared" ca="1" si="108"/>
        <v>2920.340000000002</v>
      </c>
      <c r="M509" s="9">
        <f ca="1">AVERAGE(E509:OFFSET(E509,-M$5+1,0))</f>
        <v>7774.5810000000001</v>
      </c>
      <c r="N509" s="9">
        <f ca="1">AVERAGE(E509:OFFSET(E509,-N$5+1,0))</f>
        <v>7772.8029999999999</v>
      </c>
      <c r="O509" s="9">
        <f t="shared" ca="1" si="109"/>
        <v>0</v>
      </c>
      <c r="P509" s="14">
        <f t="shared" si="100"/>
        <v>0.7781764421566405</v>
      </c>
      <c r="Q509" s="15">
        <f ca="1">STDEV(P509:OFFSET(P509,-$Q$5+1,0))</f>
        <v>1.0836718026191992</v>
      </c>
      <c r="R509" s="15">
        <f ca="1">STDEV(P509:OFFSET(P509,-$R$5+1,0))</f>
        <v>0.82588586338768399</v>
      </c>
      <c r="S509" s="18">
        <f t="shared" si="101"/>
        <v>66.720000000000255</v>
      </c>
      <c r="T509" s="18">
        <f t="shared" si="102"/>
        <v>66.720000000000255</v>
      </c>
      <c r="U509" s="18">
        <f t="shared" si="110"/>
        <v>89.597320733373166</v>
      </c>
      <c r="V509" s="33">
        <f ca="1">AVERAGE(E509:OFFSET(E509,-V$5+1,0))</f>
        <v>7810.152857142858</v>
      </c>
      <c r="W509" s="33">
        <f t="shared" ca="1" si="103"/>
        <v>7944.5488382429176</v>
      </c>
      <c r="X509" s="33">
        <f t="shared" ca="1" si="104"/>
        <v>7675.7568760427985</v>
      </c>
      <c r="Y509" s="32">
        <f t="shared" ca="1" si="111"/>
        <v>0</v>
      </c>
    </row>
    <row r="510" spans="1:25">
      <c r="A510" s="5">
        <v>39101</v>
      </c>
      <c r="B510" s="4">
        <v>7859.47</v>
      </c>
      <c r="C510" s="4">
        <v>7892.61</v>
      </c>
      <c r="D510" s="4">
        <v>7840.08</v>
      </c>
      <c r="E510" s="4">
        <v>7840.08</v>
      </c>
      <c r="F510" s="4">
        <v>4385000</v>
      </c>
      <c r="G510" s="8">
        <f t="shared" si="99"/>
        <v>-35.710000000000036</v>
      </c>
      <c r="H510" s="8">
        <f t="shared" si="98"/>
        <v>-19.390000000000327</v>
      </c>
      <c r="I510" s="20">
        <f t="shared" ca="1" si="105"/>
        <v>0</v>
      </c>
      <c r="J510" s="8">
        <f t="shared" ca="1" si="106"/>
        <v>2</v>
      </c>
      <c r="K510" s="8">
        <f t="shared" ca="1" si="107"/>
        <v>-110.20000000000073</v>
      </c>
      <c r="L510" s="8">
        <f t="shared" ca="1" si="108"/>
        <v>2810.1400000000012</v>
      </c>
      <c r="M510" s="9">
        <f ca="1">AVERAGE(E510:OFFSET(E510,-M$5+1,0))</f>
        <v>7775.0319999999992</v>
      </c>
      <c r="N510" s="9">
        <f ca="1">AVERAGE(E510:OFFSET(E510,-N$5+1,0))</f>
        <v>7783.76</v>
      </c>
      <c r="O510" s="9">
        <f t="shared" ca="1" si="109"/>
        <v>-1</v>
      </c>
      <c r="P510" s="14">
        <f t="shared" si="100"/>
        <v>-0.7003408295844219</v>
      </c>
      <c r="Q510" s="15">
        <f ca="1">STDEV(P510:OFFSET(P510,-$Q$5+1,0))</f>
        <v>1.0279117262869764</v>
      </c>
      <c r="R510" s="15">
        <f ca="1">STDEV(P510:OFFSET(P510,-$R$5+1,0))</f>
        <v>0.83581447889731297</v>
      </c>
      <c r="S510" s="18">
        <f t="shared" si="101"/>
        <v>52.529999999999745</v>
      </c>
      <c r="T510" s="18">
        <f t="shared" si="102"/>
        <v>55.100000000000364</v>
      </c>
      <c r="U510" s="18">
        <f t="shared" si="110"/>
        <v>84.997677968923469</v>
      </c>
      <c r="V510" s="33">
        <f ca="1">AVERAGE(E510:OFFSET(E510,-V$5+1,0))</f>
        <v>7811.3214285714294</v>
      </c>
      <c r="W510" s="33">
        <f t="shared" ca="1" si="103"/>
        <v>7938.8179455248146</v>
      </c>
      <c r="X510" s="33">
        <f t="shared" ca="1" si="104"/>
        <v>7683.8249116180441</v>
      </c>
      <c r="Y510" s="32">
        <f t="shared" ca="1" si="111"/>
        <v>0</v>
      </c>
    </row>
    <row r="511" spans="1:25">
      <c r="A511" s="5">
        <v>39104</v>
      </c>
      <c r="B511" s="4">
        <v>7866.17</v>
      </c>
      <c r="C511" s="4">
        <v>7871.01</v>
      </c>
      <c r="D511" s="4">
        <v>7784.21</v>
      </c>
      <c r="E511" s="4">
        <v>7842.47</v>
      </c>
      <c r="F511" s="4">
        <v>4297000</v>
      </c>
      <c r="G511" s="8">
        <f t="shared" si="99"/>
        <v>26.090000000000146</v>
      </c>
      <c r="H511" s="8">
        <f t="shared" si="98"/>
        <v>-23.699999999999818</v>
      </c>
      <c r="I511" s="20">
        <f t="shared" ca="1" si="105"/>
        <v>0</v>
      </c>
      <c r="J511" s="8">
        <f t="shared" ca="1" si="106"/>
        <v>2</v>
      </c>
      <c r="K511" s="8">
        <f t="shared" ca="1" si="107"/>
        <v>4.7800000000006548</v>
      </c>
      <c r="L511" s="8">
        <f t="shared" ca="1" si="108"/>
        <v>2814.9200000000019</v>
      </c>
      <c r="M511" s="9">
        <f ca="1">AVERAGE(E511:OFFSET(E511,-M$5+1,0))</f>
        <v>7785.6080000000002</v>
      </c>
      <c r="N511" s="9">
        <f ca="1">AVERAGE(E511:OFFSET(E511,-N$5+1,0))</f>
        <v>7793.26</v>
      </c>
      <c r="O511" s="9">
        <f t="shared" ca="1" si="109"/>
        <v>0</v>
      </c>
      <c r="P511" s="14">
        <f t="shared" si="100"/>
        <v>3.0479737268543593E-2</v>
      </c>
      <c r="Q511" s="15">
        <f ca="1">STDEV(P511:OFFSET(P511,-$Q$5+1,0))</f>
        <v>0.92581366075947968</v>
      </c>
      <c r="R511" s="15">
        <f ca="1">STDEV(P511:OFFSET(P511,-$R$5+1,0))</f>
        <v>0.83312272257174724</v>
      </c>
      <c r="S511" s="18">
        <f t="shared" si="101"/>
        <v>86.800000000000182</v>
      </c>
      <c r="T511" s="18">
        <f t="shared" si="102"/>
        <v>86.800000000000182</v>
      </c>
      <c r="U511" s="18">
        <f t="shared" si="110"/>
        <v>85.237987573067031</v>
      </c>
      <c r="V511" s="33">
        <f ca="1">AVERAGE(E511:OFFSET(E511,-V$5+1,0))</f>
        <v>7805.7264285714282</v>
      </c>
      <c r="W511" s="33">
        <f t="shared" ca="1" si="103"/>
        <v>7933.5834099310287</v>
      </c>
      <c r="X511" s="33">
        <f t="shared" ca="1" si="104"/>
        <v>7677.8694472118277</v>
      </c>
      <c r="Y511" s="32">
        <f t="shared" ca="1" si="111"/>
        <v>0</v>
      </c>
    </row>
    <row r="512" spans="1:25">
      <c r="A512" s="5">
        <v>39105</v>
      </c>
      <c r="B512" s="4">
        <v>7837.44</v>
      </c>
      <c r="C512" s="4">
        <v>7869.55</v>
      </c>
      <c r="D512" s="4">
        <v>7818.58</v>
      </c>
      <c r="E512" s="4">
        <v>7852.36</v>
      </c>
      <c r="F512" s="4">
        <v>3795400</v>
      </c>
      <c r="G512" s="8">
        <f t="shared" si="99"/>
        <v>-5.0300000000006548</v>
      </c>
      <c r="H512" s="8">
        <f t="shared" si="98"/>
        <v>14.920000000000073</v>
      </c>
      <c r="I512" s="20">
        <f t="shared" ca="1" si="105"/>
        <v>0</v>
      </c>
      <c r="J512" s="8">
        <f t="shared" ca="1" si="106"/>
        <v>2</v>
      </c>
      <c r="K512" s="8">
        <f t="shared" ca="1" si="107"/>
        <v>19.779999999998836</v>
      </c>
      <c r="L512" s="8">
        <f t="shared" ca="1" si="108"/>
        <v>2834.7000000000007</v>
      </c>
      <c r="M512" s="9">
        <f ca="1">AVERAGE(E512:OFFSET(E512,-M$5+1,0))</f>
        <v>7791.8429999999989</v>
      </c>
      <c r="N512" s="9">
        <f ca="1">AVERAGE(E512:OFFSET(E512,-N$5+1,0))</f>
        <v>7803.5375000000004</v>
      </c>
      <c r="O512" s="9">
        <f t="shared" ca="1" si="109"/>
        <v>0</v>
      </c>
      <c r="P512" s="14">
        <f t="shared" si="100"/>
        <v>0.12602877901888185</v>
      </c>
      <c r="Q512" s="15">
        <f ca="1">STDEV(P512:OFFSET(P512,-$Q$5+1,0))</f>
        <v>0.90550699258388523</v>
      </c>
      <c r="R512" s="15">
        <f ca="1">STDEV(P512:OFFSET(P512,-$R$5+1,0))</f>
        <v>0.82263597524587118</v>
      </c>
      <c r="S512" s="18">
        <f t="shared" si="101"/>
        <v>50.970000000000255</v>
      </c>
      <c r="T512" s="18">
        <f t="shared" si="102"/>
        <v>50.970000000000255</v>
      </c>
      <c r="U512" s="18">
        <f t="shared" si="110"/>
        <v>80.668922563324799</v>
      </c>
      <c r="V512" s="33">
        <f ca="1">AVERAGE(E512:OFFSET(E512,-V$5+1,0))</f>
        <v>7801.0878571428575</v>
      </c>
      <c r="W512" s="33">
        <f t="shared" ca="1" si="103"/>
        <v>7922.0912409878447</v>
      </c>
      <c r="X512" s="33">
        <f t="shared" ca="1" si="104"/>
        <v>7680.0844732978703</v>
      </c>
      <c r="Y512" s="32">
        <f t="shared" ca="1" si="111"/>
        <v>0</v>
      </c>
    </row>
    <row r="513" spans="1:25">
      <c r="A513" s="5">
        <v>39106</v>
      </c>
      <c r="B513" s="4">
        <v>7943.24</v>
      </c>
      <c r="C513" s="4">
        <v>7949.48</v>
      </c>
      <c r="D513" s="4">
        <v>7916.39</v>
      </c>
      <c r="E513" s="4">
        <v>7935.54</v>
      </c>
      <c r="F513" s="4">
        <v>4488800</v>
      </c>
      <c r="G513" s="8">
        <f t="shared" si="99"/>
        <v>90.880000000000109</v>
      </c>
      <c r="H513" s="8">
        <f t="shared" si="98"/>
        <v>-7.6999999999998181</v>
      </c>
      <c r="I513" s="20">
        <f t="shared" ca="1" si="105"/>
        <v>1</v>
      </c>
      <c r="J513" s="8">
        <f t="shared" ca="1" si="106"/>
        <v>2</v>
      </c>
      <c r="K513" s="8">
        <f t="shared" ca="1" si="107"/>
        <v>166.36000000000058</v>
      </c>
      <c r="L513" s="8">
        <f t="shared" ca="1" si="108"/>
        <v>3001.0600000000013</v>
      </c>
      <c r="M513" s="9">
        <f ca="1">AVERAGE(E513:OFFSET(E513,-M$5+1,0))</f>
        <v>7815.5450000000001</v>
      </c>
      <c r="N513" s="9">
        <f ca="1">AVERAGE(E513:OFFSET(E513,-N$5+1,0))</f>
        <v>7813.9349999999995</v>
      </c>
      <c r="O513" s="9">
        <f t="shared" ca="1" si="109"/>
        <v>1</v>
      </c>
      <c r="P513" s="14">
        <f t="shared" si="100"/>
        <v>1.0537281038171542</v>
      </c>
      <c r="Q513" s="15">
        <f ca="1">STDEV(P513:OFFSET(P513,-$Q$5+1,0))</f>
        <v>0.83254384707874707</v>
      </c>
      <c r="R513" s="15">
        <f ca="1">STDEV(P513:OFFSET(P513,-$R$5+1,0))</f>
        <v>0.82446738273486286</v>
      </c>
      <c r="S513" s="18">
        <f t="shared" si="101"/>
        <v>33.089999999999236</v>
      </c>
      <c r="T513" s="18">
        <f t="shared" si="102"/>
        <v>97.119999999999891</v>
      </c>
      <c r="U513" s="18">
        <f t="shared" si="110"/>
        <v>82.862399554881478</v>
      </c>
      <c r="V513" s="33">
        <f ca="1">AVERAGE(E513:OFFSET(E513,-V$5+1,0))</f>
        <v>7801.1614285714286</v>
      </c>
      <c r="W513" s="33">
        <f t="shared" ca="1" si="103"/>
        <v>7925.4550279037512</v>
      </c>
      <c r="X513" s="33">
        <f t="shared" ca="1" si="104"/>
        <v>7676.867829239106</v>
      </c>
      <c r="Y513" s="32">
        <f t="shared" ca="1" si="111"/>
        <v>1</v>
      </c>
    </row>
    <row r="514" spans="1:25">
      <c r="A514" s="5">
        <v>39107</v>
      </c>
      <c r="B514" s="4">
        <v>7982.64</v>
      </c>
      <c r="C514" s="4">
        <v>7990.55</v>
      </c>
      <c r="D514" s="4">
        <v>7917.65</v>
      </c>
      <c r="E514" s="4">
        <v>7923.77</v>
      </c>
      <c r="F514" s="4">
        <v>4337000</v>
      </c>
      <c r="G514" s="8">
        <f t="shared" si="99"/>
        <v>47.100000000000364</v>
      </c>
      <c r="H514" s="8">
        <f t="shared" si="98"/>
        <v>-58.869999999999891</v>
      </c>
      <c r="I514" s="20">
        <f t="shared" ca="1" si="105"/>
        <v>0</v>
      </c>
      <c r="J514" s="8">
        <f t="shared" ca="1" si="106"/>
        <v>3</v>
      </c>
      <c r="K514" s="8">
        <f t="shared" ca="1" si="107"/>
        <v>-82.409999999998945</v>
      </c>
      <c r="L514" s="8">
        <f t="shared" ca="1" si="108"/>
        <v>2918.6500000000024</v>
      </c>
      <c r="M514" s="9">
        <f ca="1">AVERAGE(E514:OFFSET(E514,-M$5+1,0))</f>
        <v>7846.067</v>
      </c>
      <c r="N514" s="9">
        <f ca="1">AVERAGE(E514:OFFSET(E514,-N$5+1,0))</f>
        <v>7823.4644999999991</v>
      </c>
      <c r="O514" s="9">
        <f t="shared" ca="1" si="109"/>
        <v>0</v>
      </c>
      <c r="P514" s="14">
        <f t="shared" si="100"/>
        <v>-0.14843019224574416</v>
      </c>
      <c r="Q514" s="15">
        <f ca="1">STDEV(P514:OFFSET(P514,-$Q$5+1,0))</f>
        <v>0.71073791547592691</v>
      </c>
      <c r="R514" s="15">
        <f ca="1">STDEV(P514:OFFSET(P514,-$R$5+1,0))</f>
        <v>0.8249874018561868</v>
      </c>
      <c r="S514" s="18">
        <f t="shared" si="101"/>
        <v>72.900000000000546</v>
      </c>
      <c r="T514" s="18">
        <f t="shared" si="102"/>
        <v>72.900000000000546</v>
      </c>
      <c r="U514" s="18">
        <f t="shared" si="110"/>
        <v>81.534079614230691</v>
      </c>
      <c r="V514" s="33">
        <f ca="1">AVERAGE(E514:OFFSET(E514,-V$5+1,0))</f>
        <v>7807.4614285714279</v>
      </c>
      <c r="W514" s="33">
        <f t="shared" ca="1" si="103"/>
        <v>7929.7625479927738</v>
      </c>
      <c r="X514" s="33">
        <f t="shared" ca="1" si="104"/>
        <v>7685.160309150082</v>
      </c>
      <c r="Y514" s="32">
        <f t="shared" ca="1" si="111"/>
        <v>0</v>
      </c>
    </row>
    <row r="515" spans="1:25">
      <c r="A515" s="5">
        <v>39108</v>
      </c>
      <c r="B515" s="4">
        <v>7825.75</v>
      </c>
      <c r="C515" s="4">
        <v>7883.5</v>
      </c>
      <c r="D515" s="4">
        <v>7793.91</v>
      </c>
      <c r="E515" s="4">
        <v>7821.32</v>
      </c>
      <c r="F515" s="4">
        <v>3465200</v>
      </c>
      <c r="G515" s="8">
        <f t="shared" si="99"/>
        <v>-98.020000000000437</v>
      </c>
      <c r="H515" s="8">
        <f t="shared" si="98"/>
        <v>-4.430000000000291</v>
      </c>
      <c r="I515" s="20">
        <f t="shared" ca="1" si="105"/>
        <v>0</v>
      </c>
      <c r="J515" s="8">
        <f t="shared" ca="1" si="106"/>
        <v>3</v>
      </c>
      <c r="K515" s="8">
        <f t="shared" ca="1" si="107"/>
        <v>-307.35000000000218</v>
      </c>
      <c r="L515" s="8">
        <f t="shared" ca="1" si="108"/>
        <v>2611.3000000000002</v>
      </c>
      <c r="M515" s="9">
        <f ca="1">AVERAGE(E515:OFFSET(E515,-M$5+1,0))</f>
        <v>7852.0280000000002</v>
      </c>
      <c r="N515" s="9">
        <f ca="1">AVERAGE(E515:OFFSET(E515,-N$5+1,0))</f>
        <v>7827.8840000000009</v>
      </c>
      <c r="O515" s="9">
        <f t="shared" ca="1" si="109"/>
        <v>0</v>
      </c>
      <c r="P515" s="14">
        <f t="shared" si="100"/>
        <v>-1.3013764404063841</v>
      </c>
      <c r="Q515" s="15">
        <f ca="1">STDEV(P515:OFFSET(P515,-$Q$5+1,0))</f>
        <v>0.6878793974736167</v>
      </c>
      <c r="R515" s="15">
        <f ca="1">STDEV(P515:OFFSET(P515,-$R$5+1,0))</f>
        <v>0.83622994193656786</v>
      </c>
      <c r="S515" s="18">
        <f t="shared" si="101"/>
        <v>89.590000000000146</v>
      </c>
      <c r="T515" s="18">
        <f t="shared" si="102"/>
        <v>129.86000000000058</v>
      </c>
      <c r="U515" s="18">
        <f t="shared" si="110"/>
        <v>87.977535665666693</v>
      </c>
      <c r="V515" s="33">
        <f ca="1">AVERAGE(E515:OFFSET(E515,-V$5+1,0))</f>
        <v>7813.5050000000001</v>
      </c>
      <c r="W515" s="33">
        <f t="shared" ca="1" si="103"/>
        <v>7945.4713034984998</v>
      </c>
      <c r="X515" s="33">
        <f t="shared" ca="1" si="104"/>
        <v>7681.5386965015005</v>
      </c>
      <c r="Y515" s="32">
        <f t="shared" ca="1" si="111"/>
        <v>0</v>
      </c>
    </row>
    <row r="516" spans="1:25">
      <c r="A516" s="5">
        <v>39111</v>
      </c>
      <c r="B516" s="4">
        <v>7831.57</v>
      </c>
      <c r="C516" s="4">
        <v>7838.92</v>
      </c>
      <c r="D516" s="4">
        <v>7746.37</v>
      </c>
      <c r="E516" s="4">
        <v>7751.79</v>
      </c>
      <c r="F516" s="4">
        <v>3143600</v>
      </c>
      <c r="G516" s="8">
        <f t="shared" si="99"/>
        <v>10.25</v>
      </c>
      <c r="H516" s="8">
        <f t="shared" ref="H516:H579" si="112">E516-B516</f>
        <v>-79.779999999999745</v>
      </c>
      <c r="I516" s="20">
        <f t="shared" ca="1" si="105"/>
        <v>0</v>
      </c>
      <c r="J516" s="8">
        <f t="shared" ca="1" si="106"/>
        <v>3</v>
      </c>
      <c r="K516" s="8">
        <f t="shared" ca="1" si="107"/>
        <v>-208.58999999999924</v>
      </c>
      <c r="L516" s="8">
        <f t="shared" ca="1" si="108"/>
        <v>2402.7100000000009</v>
      </c>
      <c r="M516" s="9">
        <f ca="1">AVERAGE(E516:OFFSET(E516,-M$5+1,0))</f>
        <v>7848.8569999999991</v>
      </c>
      <c r="N516" s="9">
        <f ca="1">AVERAGE(E516:OFFSET(E516,-N$5+1,0))</f>
        <v>7824.2875000000013</v>
      </c>
      <c r="O516" s="9">
        <f t="shared" ca="1" si="109"/>
        <v>0</v>
      </c>
      <c r="P516" s="14">
        <f t="shared" si="100"/>
        <v>-0.89295538281636189</v>
      </c>
      <c r="Q516" s="15">
        <f ca="1">STDEV(P516:OFFSET(P516,-$Q$5+1,0))</f>
        <v>0.74678917273249268</v>
      </c>
      <c r="R516" s="15">
        <f ca="1">STDEV(P516:OFFSET(P516,-$R$5+1,0))</f>
        <v>0.84573048563591802</v>
      </c>
      <c r="S516" s="18">
        <f t="shared" si="101"/>
        <v>92.550000000000182</v>
      </c>
      <c r="T516" s="18">
        <f t="shared" si="102"/>
        <v>92.550000000000182</v>
      </c>
      <c r="U516" s="18">
        <f t="shared" si="110"/>
        <v>88.587197576911166</v>
      </c>
      <c r="V516" s="33">
        <f ca="1">AVERAGE(E516:OFFSET(E516,-V$5+1,0))</f>
        <v>7810.7749999999996</v>
      </c>
      <c r="W516" s="33">
        <f t="shared" ca="1" si="103"/>
        <v>7943.6557963653668</v>
      </c>
      <c r="X516" s="33">
        <f t="shared" ca="1" si="104"/>
        <v>7677.8942036346325</v>
      </c>
      <c r="Y516" s="32">
        <f t="shared" ca="1" si="111"/>
        <v>0</v>
      </c>
    </row>
    <row r="517" spans="1:25">
      <c r="A517" s="5">
        <v>39112</v>
      </c>
      <c r="B517" s="4">
        <v>7763.53</v>
      </c>
      <c r="C517" s="4">
        <v>7778.24</v>
      </c>
      <c r="D517" s="4">
        <v>7725.41</v>
      </c>
      <c r="E517" s="4">
        <v>7739.91</v>
      </c>
      <c r="F517" s="4">
        <v>3010000</v>
      </c>
      <c r="G517" s="8">
        <f t="shared" ref="G517:G580" si="113">B517-E516</f>
        <v>11.739999999999782</v>
      </c>
      <c r="H517" s="8">
        <f t="shared" si="112"/>
        <v>-23.619999999999891</v>
      </c>
      <c r="I517" s="20">
        <f t="shared" ca="1" si="105"/>
        <v>0</v>
      </c>
      <c r="J517" s="8">
        <f t="shared" ca="1" si="106"/>
        <v>3</v>
      </c>
      <c r="K517" s="8">
        <f t="shared" ca="1" si="107"/>
        <v>-35.640000000000327</v>
      </c>
      <c r="L517" s="8">
        <f t="shared" ca="1" si="108"/>
        <v>2367.0700000000006</v>
      </c>
      <c r="M517" s="9">
        <f ca="1">AVERAGE(E517:OFFSET(E517,-M$5+1,0))</f>
        <v>7843.6400000000012</v>
      </c>
      <c r="N517" s="9">
        <f ca="1">AVERAGE(E517:OFFSET(E517,-N$5+1,0))</f>
        <v>7815.2430000000004</v>
      </c>
      <c r="O517" s="9">
        <f t="shared" ca="1" si="109"/>
        <v>0</v>
      </c>
      <c r="P517" s="14">
        <f t="shared" ref="P517:P580" si="114">100*LN(E517/E516)</f>
        <v>-0.15337248111942628</v>
      </c>
      <c r="Q517" s="15">
        <f ca="1">STDEV(P517:OFFSET(P517,-$Q$5+1,0))</f>
        <v>0.74551761646971904</v>
      </c>
      <c r="R517" s="15">
        <f ca="1">STDEV(P517:OFFSET(P517,-$R$5+1,0))</f>
        <v>0.8438475624802414</v>
      </c>
      <c r="S517" s="18">
        <f t="shared" si="101"/>
        <v>52.829999999999927</v>
      </c>
      <c r="T517" s="18">
        <f t="shared" si="102"/>
        <v>52.829999999999927</v>
      </c>
      <c r="U517" s="18">
        <f t="shared" si="110"/>
        <v>83.819571233322989</v>
      </c>
      <c r="V517" s="33">
        <f ca="1">AVERAGE(E517:OFFSET(E517,-V$5+1,0))</f>
        <v>7813.7314285714292</v>
      </c>
      <c r="W517" s="33">
        <f t="shared" ca="1" si="103"/>
        <v>7939.4607854214137</v>
      </c>
      <c r="X517" s="33">
        <f t="shared" ca="1" si="104"/>
        <v>7688.0020717214447</v>
      </c>
      <c r="Y517" s="32">
        <f t="shared" ca="1" si="111"/>
        <v>0</v>
      </c>
    </row>
    <row r="518" spans="1:25">
      <c r="A518" s="5">
        <v>39113</v>
      </c>
      <c r="B518" s="4">
        <v>7759.79</v>
      </c>
      <c r="C518" s="4">
        <v>7778.69</v>
      </c>
      <c r="D518" s="4">
        <v>7637.54</v>
      </c>
      <c r="E518" s="4">
        <v>7699.64</v>
      </c>
      <c r="F518" s="4">
        <v>3180000</v>
      </c>
      <c r="G518" s="8">
        <f t="shared" si="113"/>
        <v>19.880000000000109</v>
      </c>
      <c r="H518" s="8">
        <f t="shared" si="112"/>
        <v>-60.149999999999636</v>
      </c>
      <c r="I518" s="20">
        <f t="shared" ca="1" si="105"/>
        <v>0</v>
      </c>
      <c r="J518" s="8">
        <f t="shared" ca="1" si="106"/>
        <v>3</v>
      </c>
      <c r="K518" s="8">
        <f t="shared" ca="1" si="107"/>
        <v>-120.80999999999858</v>
      </c>
      <c r="L518" s="8">
        <f t="shared" ca="1" si="108"/>
        <v>2246.260000000002</v>
      </c>
      <c r="M518" s="9">
        <f ca="1">AVERAGE(E518:OFFSET(E518,-M$5+1,0))</f>
        <v>7830.2060000000001</v>
      </c>
      <c r="N518" s="9">
        <f ca="1">AVERAGE(E518:OFFSET(E518,-N$5+1,0))</f>
        <v>7804.3600000000024</v>
      </c>
      <c r="O518" s="9">
        <f t="shared" ca="1" si="109"/>
        <v>0</v>
      </c>
      <c r="P518" s="14">
        <f t="shared" si="114"/>
        <v>-0.52164851071364893</v>
      </c>
      <c r="Q518" s="15">
        <f ca="1">STDEV(P518:OFFSET(P518,-$Q$5+1,0))</f>
        <v>0.7251530769150607</v>
      </c>
      <c r="R518" s="15">
        <f ca="1">STDEV(P518:OFFSET(P518,-$R$5+1,0))</f>
        <v>0.84441798713281657</v>
      </c>
      <c r="S518" s="18">
        <f t="shared" si="101"/>
        <v>141.14999999999964</v>
      </c>
      <c r="T518" s="18">
        <f t="shared" si="102"/>
        <v>141.14999999999964</v>
      </c>
      <c r="U518" s="18">
        <f t="shared" si="110"/>
        <v>91.463628402213217</v>
      </c>
      <c r="V518" s="33">
        <f ca="1">AVERAGE(E518:OFFSET(E518,-V$5+1,0))</f>
        <v>7819.5235714285709</v>
      </c>
      <c r="W518" s="33">
        <f t="shared" ca="1" si="103"/>
        <v>7956.7190140318908</v>
      </c>
      <c r="X518" s="33">
        <f t="shared" ca="1" si="104"/>
        <v>7682.328128825251</v>
      </c>
      <c r="Y518" s="32">
        <f t="shared" ca="1" si="111"/>
        <v>0</v>
      </c>
    </row>
    <row r="519" spans="1:25">
      <c r="A519" s="5">
        <v>39114</v>
      </c>
      <c r="B519" s="4">
        <v>7751.3</v>
      </c>
      <c r="C519" s="4">
        <v>7757.63</v>
      </c>
      <c r="D519" s="4">
        <v>7679.78</v>
      </c>
      <c r="E519" s="4">
        <v>7701.54</v>
      </c>
      <c r="F519" s="4">
        <v>2706600</v>
      </c>
      <c r="G519" s="8">
        <f t="shared" si="113"/>
        <v>51.659999999999854</v>
      </c>
      <c r="H519" s="8">
        <f t="shared" si="112"/>
        <v>-49.760000000000218</v>
      </c>
      <c r="I519" s="20">
        <f t="shared" ca="1" si="105"/>
        <v>0</v>
      </c>
      <c r="J519" s="8">
        <f t="shared" ca="1" si="106"/>
        <v>3</v>
      </c>
      <c r="K519" s="8">
        <f t="shared" ca="1" si="107"/>
        <v>5.6999999999989086</v>
      </c>
      <c r="L519" s="8">
        <f t="shared" ca="1" si="108"/>
        <v>2251.9600000000009</v>
      </c>
      <c r="M519" s="9">
        <f ca="1">AVERAGE(E519:OFFSET(E519,-M$5+1,0))</f>
        <v>7810.8419999999996</v>
      </c>
      <c r="N519" s="9">
        <f ca="1">AVERAGE(E519:OFFSET(E519,-N$5+1,0))</f>
        <v>7792.7115000000022</v>
      </c>
      <c r="O519" s="9">
        <f t="shared" ca="1" si="109"/>
        <v>0</v>
      </c>
      <c r="P519" s="14">
        <f t="shared" si="114"/>
        <v>2.4673434238657588E-2</v>
      </c>
      <c r="Q519" s="15">
        <f ca="1">STDEV(P519:OFFSET(P519,-$Q$5+1,0))</f>
        <v>0.65066017203625615</v>
      </c>
      <c r="R519" s="15">
        <f ca="1">STDEV(P519:OFFSET(P519,-$R$5+1,0))</f>
        <v>0.82670815011386678</v>
      </c>
      <c r="S519" s="18">
        <f t="shared" si="101"/>
        <v>77.850000000000364</v>
      </c>
      <c r="T519" s="18">
        <f t="shared" si="102"/>
        <v>77.850000000000364</v>
      </c>
      <c r="U519" s="18">
        <f t="shared" si="110"/>
        <v>89.648477948584841</v>
      </c>
      <c r="V519" s="33">
        <f ca="1">AVERAGE(E519:OFFSET(E519,-V$5+1,0))</f>
        <v>7815.2257142857134</v>
      </c>
      <c r="W519" s="33">
        <f t="shared" ca="1" si="103"/>
        <v>7949.6984312085906</v>
      </c>
      <c r="X519" s="33">
        <f t="shared" ca="1" si="104"/>
        <v>7680.7529973628361</v>
      </c>
      <c r="Y519" s="32">
        <f t="shared" ca="1" si="111"/>
        <v>0</v>
      </c>
    </row>
    <row r="520" spans="1:25">
      <c r="A520" s="5">
        <v>39115</v>
      </c>
      <c r="B520" s="4">
        <v>7754.16</v>
      </c>
      <c r="C520" s="4">
        <v>7801.63</v>
      </c>
      <c r="D520" s="4">
        <v>7751.53</v>
      </c>
      <c r="E520" s="4">
        <v>7777.03</v>
      </c>
      <c r="F520" s="4">
        <v>3134800</v>
      </c>
      <c r="G520" s="8">
        <f t="shared" si="113"/>
        <v>52.619999999999891</v>
      </c>
      <c r="H520" s="8">
        <f t="shared" si="112"/>
        <v>22.869999999999891</v>
      </c>
      <c r="I520" s="20">
        <f t="shared" ca="1" si="105"/>
        <v>0</v>
      </c>
      <c r="J520" s="8">
        <f t="shared" ca="1" si="106"/>
        <v>3</v>
      </c>
      <c r="K520" s="8">
        <f t="shared" ca="1" si="107"/>
        <v>226.46999999999935</v>
      </c>
      <c r="L520" s="8">
        <f t="shared" ca="1" si="108"/>
        <v>2478.4300000000003</v>
      </c>
      <c r="M520" s="9">
        <f ca="1">AVERAGE(E520:OFFSET(E520,-M$5+1,0))</f>
        <v>7804.5369999999994</v>
      </c>
      <c r="N520" s="9">
        <f ca="1">AVERAGE(E520:OFFSET(E520,-N$5+1,0))</f>
        <v>7789.7844999999998</v>
      </c>
      <c r="O520" s="9">
        <f t="shared" ca="1" si="109"/>
        <v>0</v>
      </c>
      <c r="P520" s="14">
        <f t="shared" si="114"/>
        <v>0.975420837167152</v>
      </c>
      <c r="Q520" s="15">
        <f ca="1">STDEV(P520:OFFSET(P520,-$Q$5+1,0))</f>
        <v>0.73201651805259371</v>
      </c>
      <c r="R520" s="15">
        <f ca="1">STDEV(P520:OFFSET(P520,-$R$5+1,0))</f>
        <v>0.84069623558409123</v>
      </c>
      <c r="S520" s="18">
        <f t="shared" si="101"/>
        <v>50.100000000000364</v>
      </c>
      <c r="T520" s="18">
        <f t="shared" si="102"/>
        <v>100.09000000000015</v>
      </c>
      <c r="U520" s="18">
        <f t="shared" si="110"/>
        <v>91.040680888773551</v>
      </c>
      <c r="V520" s="33">
        <f ca="1">AVERAGE(E520:OFFSET(E520,-V$5+1,0))</f>
        <v>7814.7635714285707</v>
      </c>
      <c r="W520" s="33">
        <f t="shared" ca="1" si="103"/>
        <v>7951.3245927617309</v>
      </c>
      <c r="X520" s="33">
        <f t="shared" ca="1" si="104"/>
        <v>7678.2025500954105</v>
      </c>
      <c r="Y520" s="32">
        <f t="shared" ca="1" si="111"/>
        <v>0</v>
      </c>
    </row>
    <row r="521" spans="1:25">
      <c r="A521" s="5">
        <v>39118</v>
      </c>
      <c r="B521" s="4">
        <v>7786.77</v>
      </c>
      <c r="C521" s="4">
        <v>7823.94</v>
      </c>
      <c r="D521" s="4">
        <v>7772.05</v>
      </c>
      <c r="E521" s="4">
        <v>7783.12</v>
      </c>
      <c r="F521" s="4">
        <v>2786200</v>
      </c>
      <c r="G521" s="8">
        <f t="shared" si="113"/>
        <v>9.7400000000006912</v>
      </c>
      <c r="H521" s="8">
        <f t="shared" si="112"/>
        <v>-3.6500000000005457</v>
      </c>
      <c r="I521" s="20">
        <f t="shared" ca="1" si="105"/>
        <v>0</v>
      </c>
      <c r="J521" s="8">
        <f t="shared" ca="1" si="106"/>
        <v>3</v>
      </c>
      <c r="K521" s="8">
        <f t="shared" ca="1" si="107"/>
        <v>18.270000000000437</v>
      </c>
      <c r="L521" s="8">
        <f t="shared" ca="1" si="108"/>
        <v>2496.7000000000007</v>
      </c>
      <c r="M521" s="9">
        <f ca="1">AVERAGE(E521:OFFSET(E521,-M$5+1,0))</f>
        <v>7798.6020000000008</v>
      </c>
      <c r="N521" s="9">
        <f ca="1">AVERAGE(E521:OFFSET(E521,-N$5+1,0))</f>
        <v>7792.1050000000005</v>
      </c>
      <c r="O521" s="9">
        <f t="shared" ca="1" si="109"/>
        <v>0</v>
      </c>
      <c r="P521" s="14">
        <f t="shared" si="114"/>
        <v>7.8276884361123941E-2</v>
      </c>
      <c r="Q521" s="15">
        <f ca="1">STDEV(P521:OFFSET(P521,-$Q$5+1,0))</f>
        <v>0.73297887079904844</v>
      </c>
      <c r="R521" s="15">
        <f ca="1">STDEV(P521:OFFSET(P521,-$R$5+1,0))</f>
        <v>0.83334481890241885</v>
      </c>
      <c r="S521" s="18">
        <f t="shared" si="101"/>
        <v>51.889999999999418</v>
      </c>
      <c r="T521" s="18">
        <f t="shared" si="102"/>
        <v>51.889999999999418</v>
      </c>
      <c r="U521" s="18">
        <f t="shared" si="110"/>
        <v>85.820590103603678</v>
      </c>
      <c r="V521" s="33">
        <f ca="1">AVERAGE(E521:OFFSET(E521,-V$5+1,0))</f>
        <v>7814.1235714285713</v>
      </c>
      <c r="W521" s="33">
        <f t="shared" ca="1" si="103"/>
        <v>7942.8544565839766</v>
      </c>
      <c r="X521" s="33">
        <f t="shared" ca="1" si="104"/>
        <v>7685.392686273166</v>
      </c>
      <c r="Y521" s="32">
        <f t="shared" ca="1" si="111"/>
        <v>0</v>
      </c>
    </row>
    <row r="522" spans="1:25">
      <c r="A522" s="5">
        <v>39119</v>
      </c>
      <c r="B522" s="4">
        <v>7816.3</v>
      </c>
      <c r="C522" s="4">
        <v>7875.75</v>
      </c>
      <c r="D522" s="4">
        <v>7802.94</v>
      </c>
      <c r="E522" s="4">
        <v>7875.75</v>
      </c>
      <c r="F522" s="4">
        <v>3497800</v>
      </c>
      <c r="G522" s="8">
        <f t="shared" si="113"/>
        <v>33.180000000000291</v>
      </c>
      <c r="H522" s="8">
        <f t="shared" si="112"/>
        <v>59.449999999999818</v>
      </c>
      <c r="I522" s="20">
        <f t="shared" ca="1" si="105"/>
        <v>0</v>
      </c>
      <c r="J522" s="8">
        <f t="shared" ca="1" si="106"/>
        <v>3</v>
      </c>
      <c r="K522" s="8">
        <f t="shared" ca="1" si="107"/>
        <v>277.89000000000033</v>
      </c>
      <c r="L522" s="8">
        <f t="shared" ca="1" si="108"/>
        <v>2774.5900000000011</v>
      </c>
      <c r="M522" s="9">
        <f ca="1">AVERAGE(E522:OFFSET(E522,-M$5+1,0))</f>
        <v>7800.9410000000007</v>
      </c>
      <c r="N522" s="9">
        <f ca="1">AVERAGE(E522:OFFSET(E522,-N$5+1,0))</f>
        <v>7796.3919999999998</v>
      </c>
      <c r="O522" s="9">
        <f t="shared" ca="1" si="109"/>
        <v>0</v>
      </c>
      <c r="P522" s="14">
        <f t="shared" si="114"/>
        <v>1.1831132194488161</v>
      </c>
      <c r="Q522" s="15">
        <f ca="1">STDEV(P522:OFFSET(P522,-$Q$5+1,0))</f>
        <v>0.83453626512743206</v>
      </c>
      <c r="R522" s="15">
        <f ca="1">STDEV(P522:OFFSET(P522,-$R$5+1,0))</f>
        <v>0.8500999770350004</v>
      </c>
      <c r="S522" s="18">
        <f t="shared" si="101"/>
        <v>72.8100000000004</v>
      </c>
      <c r="T522" s="18">
        <f t="shared" si="102"/>
        <v>92.630000000000109</v>
      </c>
      <c r="U522" s="18">
        <f t="shared" si="110"/>
        <v>86.728511423123209</v>
      </c>
      <c r="V522" s="33">
        <f ca="1">AVERAGE(E522:OFFSET(E522,-V$5+1,0))</f>
        <v>7817.1071428571422</v>
      </c>
      <c r="W522" s="33">
        <f t="shared" ca="1" si="103"/>
        <v>7947.1999099918266</v>
      </c>
      <c r="X522" s="33">
        <f t="shared" ca="1" si="104"/>
        <v>7687.0143757224578</v>
      </c>
      <c r="Y522" s="32">
        <f t="shared" ca="1" si="111"/>
        <v>0</v>
      </c>
    </row>
    <row r="523" spans="1:25">
      <c r="A523" s="5">
        <v>39120</v>
      </c>
      <c r="B523" s="4">
        <v>7894.77</v>
      </c>
      <c r="C523" s="4">
        <v>7894.77</v>
      </c>
      <c r="D523" s="4">
        <v>7850.06</v>
      </c>
      <c r="E523" s="4">
        <v>7850.06</v>
      </c>
      <c r="F523" s="4">
        <v>3214400</v>
      </c>
      <c r="G523" s="8">
        <f t="shared" si="113"/>
        <v>19.020000000000437</v>
      </c>
      <c r="H523" s="8">
        <f t="shared" si="112"/>
        <v>-44.710000000000036</v>
      </c>
      <c r="I523" s="20">
        <f t="shared" ca="1" si="105"/>
        <v>0</v>
      </c>
      <c r="J523" s="8">
        <f t="shared" ca="1" si="106"/>
        <v>3</v>
      </c>
      <c r="K523" s="8">
        <f t="shared" ca="1" si="107"/>
        <v>-77.069999999998799</v>
      </c>
      <c r="L523" s="8">
        <f t="shared" ca="1" si="108"/>
        <v>2697.5200000000023</v>
      </c>
      <c r="M523" s="9">
        <f ca="1">AVERAGE(E523:OFFSET(E523,-M$5+1,0))</f>
        <v>7792.3929999999991</v>
      </c>
      <c r="N523" s="9">
        <f ca="1">AVERAGE(E523:OFFSET(E523,-N$5+1,0))</f>
        <v>7803.9690000000001</v>
      </c>
      <c r="O523" s="9">
        <f t="shared" ca="1" si="109"/>
        <v>-1</v>
      </c>
      <c r="P523" s="14">
        <f t="shared" si="114"/>
        <v>-0.32672431948663772</v>
      </c>
      <c r="Q523" s="15">
        <f ca="1">STDEV(P523:OFFSET(P523,-$Q$5+1,0))</f>
        <v>0.75689537088378134</v>
      </c>
      <c r="R523" s="15">
        <f ca="1">STDEV(P523:OFFSET(P523,-$R$5+1,0))</f>
        <v>0.78074895118844212</v>
      </c>
      <c r="S523" s="18">
        <f t="shared" si="101"/>
        <v>44.710000000000036</v>
      </c>
      <c r="T523" s="18">
        <f t="shared" si="102"/>
        <v>44.710000000000036</v>
      </c>
      <c r="U523" s="18">
        <f t="shared" si="110"/>
        <v>81.126043233373466</v>
      </c>
      <c r="V523" s="33">
        <f ca="1">AVERAGE(E523:OFFSET(E523,-V$5+1,0))</f>
        <v>7813.8842857142854</v>
      </c>
      <c r="W523" s="33">
        <f t="shared" ca="1" si="103"/>
        <v>7935.5733505643457</v>
      </c>
      <c r="X523" s="33">
        <f t="shared" ca="1" si="104"/>
        <v>7692.1952208642251</v>
      </c>
      <c r="Y523" s="32">
        <f t="shared" ca="1" si="111"/>
        <v>0</v>
      </c>
    </row>
    <row r="524" spans="1:25">
      <c r="A524" s="5">
        <v>39121</v>
      </c>
      <c r="B524" s="4">
        <v>7875.52</v>
      </c>
      <c r="C524" s="4">
        <v>7884.73</v>
      </c>
      <c r="D524" s="4">
        <v>7790.63</v>
      </c>
      <c r="E524" s="4">
        <v>7842.22</v>
      </c>
      <c r="F524" s="4">
        <v>2895200</v>
      </c>
      <c r="G524" s="8">
        <f t="shared" si="113"/>
        <v>25.460000000000036</v>
      </c>
      <c r="H524" s="8">
        <f t="shared" si="112"/>
        <v>-33.300000000000182</v>
      </c>
      <c r="I524" s="20">
        <f t="shared" ca="1" si="105"/>
        <v>0</v>
      </c>
      <c r="J524" s="8">
        <f t="shared" ca="1" si="106"/>
        <v>3</v>
      </c>
      <c r="K524" s="8">
        <f t="shared" ca="1" si="107"/>
        <v>-23.520000000000437</v>
      </c>
      <c r="L524" s="8">
        <f t="shared" ca="1" si="108"/>
        <v>2674.0000000000018</v>
      </c>
      <c r="M524" s="9">
        <f ca="1">AVERAGE(E524:OFFSET(E524,-M$5+1,0))</f>
        <v>7784.2380000000003</v>
      </c>
      <c r="N524" s="9">
        <f ca="1">AVERAGE(E524:OFFSET(E524,-N$5+1,0))</f>
        <v>7815.1524999999992</v>
      </c>
      <c r="O524" s="9">
        <f t="shared" ca="1" si="109"/>
        <v>0</v>
      </c>
      <c r="P524" s="14">
        <f t="shared" si="114"/>
        <v>-9.9921753273729708E-2</v>
      </c>
      <c r="Q524" s="15">
        <f ca="1">STDEV(P524:OFFSET(P524,-$Q$5+1,0))</f>
        <v>0.75676505239076952</v>
      </c>
      <c r="R524" s="15">
        <f ca="1">STDEV(P524:OFFSET(P524,-$R$5+1,0))</f>
        <v>0.78066551288069386</v>
      </c>
      <c r="S524" s="18">
        <f t="shared" si="101"/>
        <v>94.099999999999454</v>
      </c>
      <c r="T524" s="18">
        <f t="shared" si="102"/>
        <v>94.099999999999454</v>
      </c>
      <c r="U524" s="18">
        <f t="shared" si="110"/>
        <v>82.855904135590265</v>
      </c>
      <c r="V524" s="33">
        <f ca="1">AVERAGE(E524:OFFSET(E524,-V$5+1,0))</f>
        <v>7814.0371428571425</v>
      </c>
      <c r="W524" s="33">
        <f t="shared" ca="1" si="103"/>
        <v>7938.3209990605283</v>
      </c>
      <c r="X524" s="33">
        <f t="shared" ca="1" si="104"/>
        <v>7689.7532866537567</v>
      </c>
      <c r="Y524" s="32">
        <f t="shared" ca="1" si="111"/>
        <v>0</v>
      </c>
    </row>
    <row r="525" spans="1:25">
      <c r="A525" s="5">
        <v>39122</v>
      </c>
      <c r="B525" s="4">
        <v>7847.18</v>
      </c>
      <c r="C525" s="4">
        <v>7884.55</v>
      </c>
      <c r="D525" s="4">
        <v>7822.53</v>
      </c>
      <c r="E525" s="4">
        <v>7859.53</v>
      </c>
      <c r="F525" s="4">
        <v>3363400</v>
      </c>
      <c r="G525" s="8">
        <f t="shared" si="113"/>
        <v>4.9600000000000364</v>
      </c>
      <c r="H525" s="8">
        <f t="shared" si="112"/>
        <v>12.349999999999454</v>
      </c>
      <c r="I525" s="20">
        <f t="shared" ca="1" si="105"/>
        <v>0</v>
      </c>
      <c r="J525" s="8">
        <f t="shared" ca="1" si="106"/>
        <v>3</v>
      </c>
      <c r="K525" s="8">
        <f t="shared" ca="1" si="107"/>
        <v>51.929999999998472</v>
      </c>
      <c r="L525" s="8">
        <f t="shared" ca="1" si="108"/>
        <v>2725.9300000000003</v>
      </c>
      <c r="M525" s="9">
        <f ca="1">AVERAGE(E525:OFFSET(E525,-M$5+1,0))</f>
        <v>7788.0589999999993</v>
      </c>
      <c r="N525" s="9">
        <f ca="1">AVERAGE(E525:OFFSET(E525,-N$5+1,0))</f>
        <v>7820.0434999999998</v>
      </c>
      <c r="O525" s="9">
        <f t="shared" ca="1" si="109"/>
        <v>0</v>
      </c>
      <c r="P525" s="14">
        <f t="shared" si="114"/>
        <v>0.22048506711061705</v>
      </c>
      <c r="Q525" s="15">
        <f ca="1">STDEV(P525:OFFSET(P525,-$Q$5+1,0))</f>
        <v>0.63180028878565131</v>
      </c>
      <c r="R525" s="15">
        <f ca="1">STDEV(P525:OFFSET(P525,-$R$5+1,0))</f>
        <v>0.77954753180904357</v>
      </c>
      <c r="S525" s="18">
        <f t="shared" si="101"/>
        <v>62.020000000000437</v>
      </c>
      <c r="T525" s="18">
        <f t="shared" si="102"/>
        <v>62.020000000000437</v>
      </c>
      <c r="U525" s="18">
        <f t="shared" si="110"/>
        <v>80.077783584178292</v>
      </c>
      <c r="V525" s="33">
        <f ca="1">AVERAGE(E525:OFFSET(E525,-V$5+1,0))</f>
        <v>7815.255714285714</v>
      </c>
      <c r="W525" s="33">
        <f t="shared" ca="1" si="103"/>
        <v>7935.3723896619813</v>
      </c>
      <c r="X525" s="33">
        <f t="shared" ca="1" si="104"/>
        <v>7695.1390389094468</v>
      </c>
      <c r="Y525" s="32">
        <f t="shared" ca="1" si="111"/>
        <v>0</v>
      </c>
    </row>
    <row r="526" spans="1:25">
      <c r="A526" s="5">
        <v>39125</v>
      </c>
      <c r="B526" s="4">
        <v>7826.46</v>
      </c>
      <c r="C526" s="4">
        <v>7826.46</v>
      </c>
      <c r="D526" s="4">
        <v>7764.51</v>
      </c>
      <c r="E526" s="4">
        <v>7776.36</v>
      </c>
      <c r="F526" s="4">
        <v>2787000</v>
      </c>
      <c r="G526" s="8">
        <f t="shared" si="113"/>
        <v>-33.069999999999709</v>
      </c>
      <c r="H526" s="8">
        <f t="shared" si="112"/>
        <v>-50.100000000000364</v>
      </c>
      <c r="I526" s="20">
        <f t="shared" ca="1" si="105"/>
        <v>0</v>
      </c>
      <c r="J526" s="8">
        <f t="shared" ca="1" si="106"/>
        <v>3</v>
      </c>
      <c r="K526" s="8">
        <f t="shared" ca="1" si="107"/>
        <v>-249.51000000000022</v>
      </c>
      <c r="L526" s="8">
        <f t="shared" ca="1" si="108"/>
        <v>2476.42</v>
      </c>
      <c r="M526" s="9">
        <f ca="1">AVERAGE(E526:OFFSET(E526,-M$5+1,0))</f>
        <v>7790.5160000000005</v>
      </c>
      <c r="N526" s="9">
        <f ca="1">AVERAGE(E526:OFFSET(E526,-N$5+1,0))</f>
        <v>7819.6864999999989</v>
      </c>
      <c r="O526" s="9">
        <f t="shared" ca="1" si="109"/>
        <v>0</v>
      </c>
      <c r="P526" s="14">
        <f t="shared" si="114"/>
        <v>-1.0638445832784142</v>
      </c>
      <c r="Q526" s="15">
        <f ca="1">STDEV(P526:OFFSET(P526,-$Q$5+1,0))</f>
        <v>0.66170458175458713</v>
      </c>
      <c r="R526" s="15">
        <f ca="1">STDEV(P526:OFFSET(P526,-$R$5+1,0))</f>
        <v>0.79416653027604989</v>
      </c>
      <c r="S526" s="18">
        <f t="shared" si="101"/>
        <v>61.949999999999818</v>
      </c>
      <c r="T526" s="18">
        <f t="shared" si="102"/>
        <v>95.019999999999527</v>
      </c>
      <c r="U526" s="18">
        <f t="shared" si="110"/>
        <v>82.070079106287793</v>
      </c>
      <c r="V526" s="33">
        <f ca="1">AVERAGE(E526:OFFSET(E526,-V$5+1,0))</f>
        <v>7809.8271428571434</v>
      </c>
      <c r="W526" s="33">
        <f t="shared" ca="1" si="103"/>
        <v>7932.9322615165747</v>
      </c>
      <c r="X526" s="33">
        <f t="shared" ca="1" si="104"/>
        <v>7686.722024197712</v>
      </c>
      <c r="Y526" s="32">
        <f t="shared" ca="1" si="111"/>
        <v>0</v>
      </c>
    </row>
    <row r="527" spans="1:25">
      <c r="A527" s="5">
        <v>39126</v>
      </c>
      <c r="B527" s="4">
        <v>7782.07</v>
      </c>
      <c r="C527" s="4">
        <v>7800.87</v>
      </c>
      <c r="D527" s="4">
        <v>7725.81</v>
      </c>
      <c r="E527" s="4">
        <v>7736.83</v>
      </c>
      <c r="F527" s="4">
        <v>2776200</v>
      </c>
      <c r="G527" s="8">
        <f t="shared" si="113"/>
        <v>5.7100000000000364</v>
      </c>
      <c r="H527" s="8">
        <f t="shared" si="112"/>
        <v>-45.239999999999782</v>
      </c>
      <c r="I527" s="20">
        <f t="shared" ca="1" si="105"/>
        <v>0</v>
      </c>
      <c r="J527" s="8">
        <f t="shared" ca="1" si="106"/>
        <v>3</v>
      </c>
      <c r="K527" s="8">
        <f t="shared" ca="1" si="107"/>
        <v>-118.58999999999924</v>
      </c>
      <c r="L527" s="8">
        <f t="shared" ca="1" si="108"/>
        <v>2357.8300000000008</v>
      </c>
      <c r="M527" s="9">
        <f ca="1">AVERAGE(E527:OFFSET(E527,-M$5+1,0))</f>
        <v>7790.2080000000005</v>
      </c>
      <c r="N527" s="9">
        <f ca="1">AVERAGE(E527:OFFSET(E527,-N$5+1,0))</f>
        <v>7816.9239999999972</v>
      </c>
      <c r="O527" s="9">
        <f t="shared" ca="1" si="109"/>
        <v>0</v>
      </c>
      <c r="P527" s="14">
        <f t="shared" si="114"/>
        <v>-0.50963193975722887</v>
      </c>
      <c r="Q527" s="15">
        <f ca="1">STDEV(P527:OFFSET(P527,-$Q$5+1,0))</f>
        <v>0.68205036585048551</v>
      </c>
      <c r="R527" s="15">
        <f ca="1">STDEV(P527:OFFSET(P527,-$R$5+1,0))</f>
        <v>0.78059120570715324</v>
      </c>
      <c r="S527" s="18">
        <f t="shared" si="101"/>
        <v>75.059999999999491</v>
      </c>
      <c r="T527" s="18">
        <f t="shared" si="102"/>
        <v>75.059999999999491</v>
      </c>
      <c r="U527" s="18">
        <f t="shared" si="110"/>
        <v>81.135401892116022</v>
      </c>
      <c r="V527" s="33">
        <f ca="1">AVERAGE(E527:OFFSET(E527,-V$5+1,0))</f>
        <v>7795.6335714285715</v>
      </c>
      <c r="W527" s="33">
        <f t="shared" ca="1" si="103"/>
        <v>7917.3366742667458</v>
      </c>
      <c r="X527" s="33">
        <f t="shared" ca="1" si="104"/>
        <v>7673.9304685903971</v>
      </c>
      <c r="Y527" s="32">
        <f t="shared" ca="1" si="111"/>
        <v>0</v>
      </c>
    </row>
    <row r="528" spans="1:25">
      <c r="A528" s="5">
        <v>39127</v>
      </c>
      <c r="B528" s="4">
        <v>7800.98</v>
      </c>
      <c r="C528" s="4">
        <v>7812.18</v>
      </c>
      <c r="D528" s="4">
        <v>7764.31</v>
      </c>
      <c r="E528" s="4">
        <v>7809.45</v>
      </c>
      <c r="F528" s="4">
        <v>3006200</v>
      </c>
      <c r="G528" s="8">
        <f t="shared" si="113"/>
        <v>64.149999999999636</v>
      </c>
      <c r="H528" s="8">
        <f t="shared" si="112"/>
        <v>8.4700000000002547</v>
      </c>
      <c r="I528" s="20">
        <f t="shared" ca="1" si="105"/>
        <v>0</v>
      </c>
      <c r="J528" s="8">
        <f t="shared" ca="1" si="106"/>
        <v>3</v>
      </c>
      <c r="K528" s="8">
        <f t="shared" ca="1" si="107"/>
        <v>217.85999999999967</v>
      </c>
      <c r="L528" s="8">
        <f t="shared" ca="1" si="108"/>
        <v>2575.6900000000005</v>
      </c>
      <c r="M528" s="9">
        <f ca="1">AVERAGE(E528:OFFSET(E528,-M$5+1,0))</f>
        <v>7801.1890000000003</v>
      </c>
      <c r="N528" s="9">
        <f ca="1">AVERAGE(E528:OFFSET(E528,-N$5+1,0))</f>
        <v>7815.6974999999993</v>
      </c>
      <c r="O528" s="9">
        <f t="shared" ca="1" si="109"/>
        <v>0</v>
      </c>
      <c r="P528" s="14">
        <f t="shared" si="114"/>
        <v>0.93424958513786616</v>
      </c>
      <c r="Q528" s="15">
        <f ca="1">STDEV(P528:OFFSET(P528,-$Q$5+1,0))</f>
        <v>0.71391447818662801</v>
      </c>
      <c r="R528" s="15">
        <f ca="1">STDEV(P528:OFFSET(P528,-$R$5+1,0))</f>
        <v>0.79079040192705896</v>
      </c>
      <c r="S528" s="18">
        <f t="shared" si="101"/>
        <v>47.869999999999891</v>
      </c>
      <c r="T528" s="18">
        <f t="shared" si="102"/>
        <v>75.350000000000364</v>
      </c>
      <c r="U528" s="18">
        <f t="shared" si="110"/>
        <v>80.364014973167258</v>
      </c>
      <c r="V528" s="33">
        <f ca="1">AVERAGE(E528:OFFSET(E528,-V$5+1,0))</f>
        <v>7787.4678571428576</v>
      </c>
      <c r="W528" s="33">
        <f t="shared" ca="1" si="103"/>
        <v>7908.0138796026085</v>
      </c>
      <c r="X528" s="33">
        <f t="shared" ca="1" si="104"/>
        <v>7666.9218346831067</v>
      </c>
      <c r="Y528" s="32">
        <f t="shared" ca="1" si="111"/>
        <v>0</v>
      </c>
    </row>
    <row r="529" spans="1:25">
      <c r="A529" s="5">
        <v>39139</v>
      </c>
      <c r="B529" s="4">
        <v>7939.4</v>
      </c>
      <c r="C529" s="4">
        <v>7950.2</v>
      </c>
      <c r="D529" s="4">
        <v>7899.55</v>
      </c>
      <c r="E529" s="4">
        <v>7900.2</v>
      </c>
      <c r="F529" s="4">
        <v>4170000</v>
      </c>
      <c r="G529" s="8">
        <f t="shared" si="113"/>
        <v>129.94999999999982</v>
      </c>
      <c r="H529" s="8">
        <f t="shared" si="112"/>
        <v>-39.199999999999818</v>
      </c>
      <c r="I529" s="20">
        <f t="shared" ca="1" si="105"/>
        <v>0</v>
      </c>
      <c r="J529" s="8">
        <f t="shared" ca="1" si="106"/>
        <v>3</v>
      </c>
      <c r="K529" s="8">
        <f t="shared" ca="1" si="107"/>
        <v>272.25</v>
      </c>
      <c r="L529" s="8">
        <f t="shared" ca="1" si="108"/>
        <v>2847.9400000000005</v>
      </c>
      <c r="M529" s="9">
        <f ca="1">AVERAGE(E529:OFFSET(E529,-M$5+1,0))</f>
        <v>7821.0550000000003</v>
      </c>
      <c r="N529" s="9">
        <f ca="1">AVERAGE(E529:OFFSET(E529,-N$5+1,0))</f>
        <v>7815.9485000000004</v>
      </c>
      <c r="O529" s="9">
        <f t="shared" ca="1" si="109"/>
        <v>1</v>
      </c>
      <c r="P529" s="14">
        <f t="shared" si="114"/>
        <v>1.1553536771615751</v>
      </c>
      <c r="Q529" s="15">
        <f ca="1">STDEV(P529:OFFSET(P529,-$Q$5+1,0))</f>
        <v>0.7798307542742996</v>
      </c>
      <c r="R529" s="15">
        <f ca="1">STDEV(P529:OFFSET(P529,-$R$5+1,0))</f>
        <v>0.80426369070945058</v>
      </c>
      <c r="S529" s="18">
        <f t="shared" si="101"/>
        <v>50.649999999999636</v>
      </c>
      <c r="T529" s="18">
        <f t="shared" si="102"/>
        <v>140.75</v>
      </c>
      <c r="U529" s="18">
        <f t="shared" si="110"/>
        <v>88.415479643411629</v>
      </c>
      <c r="V529" s="33">
        <f ca="1">AVERAGE(E529:OFFSET(E529,-V$5+1,0))</f>
        <v>7793.1021428571421</v>
      </c>
      <c r="W529" s="33">
        <f t="shared" ca="1" si="103"/>
        <v>7925.7253623222596</v>
      </c>
      <c r="X529" s="33">
        <f t="shared" ca="1" si="104"/>
        <v>7660.4789233920246</v>
      </c>
      <c r="Y529" s="32">
        <f t="shared" ca="1" si="111"/>
        <v>0</v>
      </c>
    </row>
    <row r="530" spans="1:25">
      <c r="A530" s="5">
        <v>39140</v>
      </c>
      <c r="B530" s="4">
        <v>7908.79</v>
      </c>
      <c r="C530" s="4">
        <v>7939.5</v>
      </c>
      <c r="D530" s="4">
        <v>7881.92</v>
      </c>
      <c r="E530" s="4">
        <v>7901.96</v>
      </c>
      <c r="F530" s="4">
        <v>3971200</v>
      </c>
      <c r="G530" s="8">
        <f t="shared" si="113"/>
        <v>8.5900000000001455</v>
      </c>
      <c r="H530" s="8">
        <f t="shared" si="112"/>
        <v>-6.8299999999999272</v>
      </c>
      <c r="I530" s="20">
        <f t="shared" ca="1" si="105"/>
        <v>0</v>
      </c>
      <c r="J530" s="8">
        <f t="shared" ca="1" si="106"/>
        <v>3</v>
      </c>
      <c r="K530" s="8">
        <f t="shared" ca="1" si="107"/>
        <v>5.2800000000006548</v>
      </c>
      <c r="L530" s="8">
        <f t="shared" ca="1" si="108"/>
        <v>2853.2200000000012</v>
      </c>
      <c r="M530" s="9">
        <f ca="1">AVERAGE(E530:OFFSET(E530,-M$5+1,0))</f>
        <v>7833.5480000000007</v>
      </c>
      <c r="N530" s="9">
        <f ca="1">AVERAGE(E530:OFFSET(E530,-N$5+1,0))</f>
        <v>7819.0425000000005</v>
      </c>
      <c r="O530" s="9">
        <f t="shared" ca="1" si="109"/>
        <v>0</v>
      </c>
      <c r="P530" s="14">
        <f t="shared" si="114"/>
        <v>2.2275435855329002E-2</v>
      </c>
      <c r="Q530" s="15">
        <f ca="1">STDEV(P530:OFFSET(P530,-$Q$5+1,0))</f>
        <v>0.73913729838520748</v>
      </c>
      <c r="R530" s="15">
        <f ca="1">STDEV(P530:OFFSET(P530,-$R$5+1,0))</f>
        <v>0.80116840411511858</v>
      </c>
      <c r="S530" s="18">
        <f t="shared" si="101"/>
        <v>57.579999999999927</v>
      </c>
      <c r="T530" s="18">
        <f t="shared" si="102"/>
        <v>57.579999999999927</v>
      </c>
      <c r="U530" s="18">
        <f t="shared" si="110"/>
        <v>84.3040823576234</v>
      </c>
      <c r="V530" s="33">
        <f ca="1">AVERAGE(E530:OFFSET(E530,-V$5+1,0))</f>
        <v>7803.8285714285721</v>
      </c>
      <c r="W530" s="33">
        <f t="shared" ca="1" si="103"/>
        <v>7930.2846949650075</v>
      </c>
      <c r="X530" s="33">
        <f t="shared" ca="1" si="104"/>
        <v>7677.3724478921367</v>
      </c>
      <c r="Y530" s="32">
        <f t="shared" ca="1" si="111"/>
        <v>0</v>
      </c>
    </row>
    <row r="531" spans="1:25">
      <c r="A531" s="5">
        <v>39142</v>
      </c>
      <c r="B531" s="4">
        <v>7707.63</v>
      </c>
      <c r="C531" s="4">
        <v>7761.4</v>
      </c>
      <c r="D531" s="4">
        <v>7663.17</v>
      </c>
      <c r="E531" s="4">
        <v>7678.67</v>
      </c>
      <c r="F531" s="4">
        <v>4230600</v>
      </c>
      <c r="G531" s="8">
        <f t="shared" si="113"/>
        <v>-194.32999999999993</v>
      </c>
      <c r="H531" s="8">
        <f t="shared" si="112"/>
        <v>-28.960000000000036</v>
      </c>
      <c r="I531" s="20">
        <f t="shared" ca="1" si="105"/>
        <v>0</v>
      </c>
      <c r="J531" s="8">
        <f t="shared" ca="1" si="106"/>
        <v>3</v>
      </c>
      <c r="K531" s="8">
        <f t="shared" ca="1" si="107"/>
        <v>-669.86999999999989</v>
      </c>
      <c r="L531" s="8">
        <f t="shared" ca="1" si="108"/>
        <v>2183.3500000000013</v>
      </c>
      <c r="M531" s="9">
        <f ca="1">AVERAGE(E531:OFFSET(E531,-M$5+1,0))</f>
        <v>7823.1030000000001</v>
      </c>
      <c r="N531" s="9">
        <f ca="1">AVERAGE(E531:OFFSET(E531,-N$5+1,0))</f>
        <v>7810.8525000000009</v>
      </c>
      <c r="O531" s="9">
        <f t="shared" ca="1" si="109"/>
        <v>0</v>
      </c>
      <c r="P531" s="14">
        <f t="shared" si="114"/>
        <v>-2.8664474887404245</v>
      </c>
      <c r="Q531" s="15">
        <f ca="1">STDEV(P531:OFFSET(P531,-$Q$5+1,0))</f>
        <v>1.2110018926004713</v>
      </c>
      <c r="R531" s="15">
        <f ca="1">STDEV(P531:OFFSET(P531,-$R$5+1,0))</f>
        <v>0.9254785001873489</v>
      </c>
      <c r="S531" s="18">
        <f t="shared" si="101"/>
        <v>98.229999999999563</v>
      </c>
      <c r="T531" s="18">
        <f t="shared" si="102"/>
        <v>238.78999999999996</v>
      </c>
      <c r="U531" s="18">
        <f t="shared" si="110"/>
        <v>104.90220470994026</v>
      </c>
      <c r="V531" s="33">
        <f ca="1">AVERAGE(E531:OFFSET(E531,-V$5+1,0))</f>
        <v>7799.454285714286</v>
      </c>
      <c r="W531" s="33">
        <f t="shared" ca="1" si="103"/>
        <v>7956.8075927791961</v>
      </c>
      <c r="X531" s="33">
        <f t="shared" ca="1" si="104"/>
        <v>7642.100978649376</v>
      </c>
      <c r="Y531" s="32">
        <f t="shared" ca="1" si="111"/>
        <v>0</v>
      </c>
    </row>
    <row r="532" spans="1:25">
      <c r="A532" s="5">
        <v>39143</v>
      </c>
      <c r="B532" s="4">
        <v>7653.35</v>
      </c>
      <c r="C532" s="4">
        <v>7695.15</v>
      </c>
      <c r="D532" s="4">
        <v>7625.99</v>
      </c>
      <c r="E532" s="4">
        <v>7670.77</v>
      </c>
      <c r="F532" s="4">
        <v>3742200</v>
      </c>
      <c r="G532" s="8">
        <f t="shared" si="113"/>
        <v>-25.319999999999709</v>
      </c>
      <c r="H532" s="8">
        <f t="shared" si="112"/>
        <v>17.420000000000073</v>
      </c>
      <c r="I532" s="20">
        <f t="shared" ca="1" si="105"/>
        <v>0</v>
      </c>
      <c r="J532" s="8">
        <f t="shared" ca="1" si="106"/>
        <v>3</v>
      </c>
      <c r="K532" s="8">
        <f t="shared" ca="1" si="107"/>
        <v>-23.699999999998909</v>
      </c>
      <c r="L532" s="8">
        <f t="shared" ca="1" si="108"/>
        <v>2159.6500000000024</v>
      </c>
      <c r="M532" s="9">
        <f ca="1">AVERAGE(E532:OFFSET(E532,-M$5+1,0))</f>
        <v>7802.6050000000005</v>
      </c>
      <c r="N532" s="9">
        <f ca="1">AVERAGE(E532:OFFSET(E532,-N$5+1,0))</f>
        <v>7801.7729999999992</v>
      </c>
      <c r="O532" s="9">
        <f t="shared" ca="1" si="109"/>
        <v>0</v>
      </c>
      <c r="P532" s="14">
        <f t="shared" si="114"/>
        <v>-0.1029353604763357</v>
      </c>
      <c r="Q532" s="15">
        <f ca="1">STDEV(P532:OFFSET(P532,-$Q$5+1,0))</f>
        <v>1.1203502768664113</v>
      </c>
      <c r="R532" s="15">
        <f ca="1">STDEV(P532:OFFSET(P532,-$R$5+1,0))</f>
        <v>0.92555600105208669</v>
      </c>
      <c r="S532" s="18">
        <f t="shared" si="101"/>
        <v>69.159999999999854</v>
      </c>
      <c r="T532" s="18">
        <f t="shared" si="102"/>
        <v>69.159999999999854</v>
      </c>
      <c r="U532" s="18">
        <f t="shared" si="110"/>
        <v>100.13657741528155</v>
      </c>
      <c r="V532" s="33">
        <f ca="1">AVERAGE(E532:OFFSET(E532,-V$5+1,0))</f>
        <v>7797.392142857143</v>
      </c>
      <c r="W532" s="33">
        <f t="shared" ca="1" si="103"/>
        <v>7947.5970089800649</v>
      </c>
      <c r="X532" s="33">
        <f t="shared" ca="1" si="104"/>
        <v>7647.1872767342211</v>
      </c>
      <c r="Y532" s="32">
        <f t="shared" ca="1" si="111"/>
        <v>0</v>
      </c>
    </row>
    <row r="533" spans="1:25">
      <c r="A533" s="5">
        <v>39146</v>
      </c>
      <c r="B533" s="4">
        <v>7565.95</v>
      </c>
      <c r="C533" s="4">
        <v>7565.95</v>
      </c>
      <c r="D533" s="4">
        <v>7306.07</v>
      </c>
      <c r="E533" s="4">
        <v>7344.56</v>
      </c>
      <c r="F533" s="4">
        <v>4410800</v>
      </c>
      <c r="G533" s="8">
        <f t="shared" si="113"/>
        <v>-104.82000000000062</v>
      </c>
      <c r="H533" s="8">
        <f t="shared" si="112"/>
        <v>-221.38999999999942</v>
      </c>
      <c r="I533" s="20">
        <f t="shared" ca="1" si="105"/>
        <v>-1</v>
      </c>
      <c r="J533" s="8">
        <f t="shared" ca="1" si="106"/>
        <v>3</v>
      </c>
      <c r="K533" s="8">
        <f t="shared" ca="1" si="107"/>
        <v>-978.63000000000011</v>
      </c>
      <c r="L533" s="8">
        <f t="shared" ca="1" si="108"/>
        <v>1181.0200000000023</v>
      </c>
      <c r="M533" s="9">
        <f ca="1">AVERAGE(E533:OFFSET(E533,-M$5+1,0))</f>
        <v>7752.0549999999985</v>
      </c>
      <c r="N533" s="9">
        <f ca="1">AVERAGE(E533:OFFSET(E533,-N$5+1,0))</f>
        <v>7772.2239999999993</v>
      </c>
      <c r="O533" s="9">
        <f t="shared" ca="1" si="109"/>
        <v>-1</v>
      </c>
      <c r="P533" s="14">
        <f t="shared" si="114"/>
        <v>-4.3457098340191758</v>
      </c>
      <c r="Q533" s="15">
        <f ca="1">STDEV(P533:OFFSET(P533,-$Q$5+1,0))</f>
        <v>1.710755407144964</v>
      </c>
      <c r="R533" s="15">
        <f ca="1">STDEV(P533:OFFSET(P533,-$R$5+1,0))</f>
        <v>1.1384510314726672</v>
      </c>
      <c r="S533" s="18">
        <f t="shared" si="101"/>
        <v>259.88000000000011</v>
      </c>
      <c r="T533" s="18">
        <f t="shared" si="102"/>
        <v>364.70000000000073</v>
      </c>
      <c r="U533" s="18">
        <f t="shared" si="110"/>
        <v>135.41170042657745</v>
      </c>
      <c r="V533" s="33">
        <f ca="1">AVERAGE(E533:OFFSET(E533,-V$5+1,0))</f>
        <v>7771.8935714285717</v>
      </c>
      <c r="W533" s="33">
        <f t="shared" ca="1" si="103"/>
        <v>7975.0111220684375</v>
      </c>
      <c r="X533" s="33">
        <f t="shared" ca="1" si="104"/>
        <v>7568.7760207887059</v>
      </c>
      <c r="Y533" s="32">
        <f t="shared" ca="1" si="111"/>
        <v>-1</v>
      </c>
    </row>
    <row r="534" spans="1:25">
      <c r="A534" s="5">
        <v>39147</v>
      </c>
      <c r="B534" s="4">
        <v>7379.08</v>
      </c>
      <c r="C534" s="4">
        <v>7452.84</v>
      </c>
      <c r="D534" s="4">
        <v>7349.98</v>
      </c>
      <c r="E534" s="4">
        <v>7451.06</v>
      </c>
      <c r="F534" s="4">
        <v>3320600</v>
      </c>
      <c r="G534" s="8">
        <f t="shared" si="113"/>
        <v>34.519999999999527</v>
      </c>
      <c r="H534" s="8">
        <f t="shared" si="112"/>
        <v>71.980000000000473</v>
      </c>
      <c r="I534" s="20">
        <f t="shared" ca="1" si="105"/>
        <v>0</v>
      </c>
      <c r="J534" s="8">
        <f t="shared" ca="1" si="106"/>
        <v>2</v>
      </c>
      <c r="K534" s="8">
        <f t="shared" ca="1" si="107"/>
        <v>247.51999999999953</v>
      </c>
      <c r="L534" s="8">
        <f t="shared" ca="1" si="108"/>
        <v>1428.5400000000018</v>
      </c>
      <c r="M534" s="9">
        <f ca="1">AVERAGE(E534:OFFSET(E534,-M$5+1,0))</f>
        <v>7712.9390000000003</v>
      </c>
      <c r="N534" s="9">
        <f ca="1">AVERAGE(E534:OFFSET(E534,-N$5+1,0))</f>
        <v>7748.5884999999998</v>
      </c>
      <c r="O534" s="9">
        <f t="shared" ca="1" si="109"/>
        <v>0</v>
      </c>
      <c r="P534" s="14">
        <f t="shared" si="114"/>
        <v>1.4396401015146421</v>
      </c>
      <c r="Q534" s="15">
        <f ca="1">STDEV(P534:OFFSET(P534,-$Q$5+1,0))</f>
        <v>1.8322789291574098</v>
      </c>
      <c r="R534" s="15">
        <f ca="1">STDEV(P534:OFFSET(P534,-$R$5+1,0))</f>
        <v>1.1648143844317549</v>
      </c>
      <c r="S534" s="18">
        <f t="shared" si="101"/>
        <v>102.86000000000058</v>
      </c>
      <c r="T534" s="18">
        <f t="shared" si="102"/>
        <v>108.27999999999975</v>
      </c>
      <c r="U534" s="18">
        <f t="shared" si="110"/>
        <v>131.79414036970041</v>
      </c>
      <c r="V534" s="33">
        <f ca="1">AVERAGE(E534:OFFSET(E534,-V$5+1,0))</f>
        <v>7748.6100000000006</v>
      </c>
      <c r="W534" s="33">
        <f t="shared" ca="1" si="103"/>
        <v>7946.3012105545513</v>
      </c>
      <c r="X534" s="33">
        <f t="shared" ca="1" si="104"/>
        <v>7550.9187894454499</v>
      </c>
      <c r="Y534" s="32">
        <f t="shared" ca="1" si="111"/>
        <v>0</v>
      </c>
    </row>
    <row r="535" spans="1:25">
      <c r="A535" s="5">
        <v>39148</v>
      </c>
      <c r="B535" s="4">
        <v>7516.21</v>
      </c>
      <c r="C535" s="4">
        <v>7519.46</v>
      </c>
      <c r="D535" s="4">
        <v>7449.67</v>
      </c>
      <c r="E535" s="4">
        <v>7480.89</v>
      </c>
      <c r="F535" s="4">
        <v>3883200</v>
      </c>
      <c r="G535" s="8">
        <f t="shared" si="113"/>
        <v>65.149999999999636</v>
      </c>
      <c r="H535" s="8">
        <f t="shared" si="112"/>
        <v>-35.319999999999709</v>
      </c>
      <c r="I535" s="20">
        <f t="shared" ca="1" si="105"/>
        <v>0</v>
      </c>
      <c r="J535" s="8">
        <f t="shared" ca="1" si="106"/>
        <v>2</v>
      </c>
      <c r="K535" s="8">
        <f t="shared" ca="1" si="107"/>
        <v>59.659999999999854</v>
      </c>
      <c r="L535" s="8">
        <f t="shared" ca="1" si="108"/>
        <v>1488.2000000000016</v>
      </c>
      <c r="M535" s="9">
        <f ca="1">AVERAGE(E535:OFFSET(E535,-M$5+1,0))</f>
        <v>7675.0749999999998</v>
      </c>
      <c r="N535" s="9">
        <f ca="1">AVERAGE(E535:OFFSET(E535,-N$5+1,0))</f>
        <v>7731.567</v>
      </c>
      <c r="O535" s="9">
        <f t="shared" ca="1" si="109"/>
        <v>0</v>
      </c>
      <c r="P535" s="14">
        <f t="shared" si="114"/>
        <v>0.39954647160193391</v>
      </c>
      <c r="Q535" s="15">
        <f ca="1">STDEV(P535:OFFSET(P535,-$Q$5+1,0))</f>
        <v>1.8410826513758194</v>
      </c>
      <c r="R535" s="15">
        <f ca="1">STDEV(P535:OFFSET(P535,-$R$5+1,0))</f>
        <v>1.1673476925939981</v>
      </c>
      <c r="S535" s="18">
        <f t="shared" si="101"/>
        <v>69.789999999999964</v>
      </c>
      <c r="T535" s="18">
        <f t="shared" si="102"/>
        <v>69.789999999999964</v>
      </c>
      <c r="U535" s="18">
        <f t="shared" si="110"/>
        <v>123.52692165374036</v>
      </c>
      <c r="V535" s="33">
        <f ca="1">AVERAGE(E535:OFFSET(E535,-V$5+1,0))</f>
        <v>7727.0221428571431</v>
      </c>
      <c r="W535" s="33">
        <f t="shared" ca="1" si="103"/>
        <v>7912.3125253377539</v>
      </c>
      <c r="X535" s="33">
        <f t="shared" ca="1" si="104"/>
        <v>7541.7317603765323</v>
      </c>
      <c r="Y535" s="32">
        <f t="shared" ca="1" si="111"/>
        <v>0</v>
      </c>
    </row>
    <row r="536" spans="1:25">
      <c r="A536" s="5">
        <v>39149</v>
      </c>
      <c r="B536" s="4">
        <v>7517.77</v>
      </c>
      <c r="C536" s="4">
        <v>7573.87</v>
      </c>
      <c r="D536" s="4">
        <v>7510.44</v>
      </c>
      <c r="E536" s="4">
        <v>7573.87</v>
      </c>
      <c r="F536" s="4">
        <v>3586200</v>
      </c>
      <c r="G536" s="8">
        <f t="shared" si="113"/>
        <v>36.880000000000109</v>
      </c>
      <c r="H536" s="8">
        <f t="shared" si="112"/>
        <v>56.099999999999454</v>
      </c>
      <c r="I536" s="20">
        <f t="shared" ca="1" si="105"/>
        <v>0</v>
      </c>
      <c r="J536" s="8">
        <f t="shared" ca="1" si="106"/>
        <v>2</v>
      </c>
      <c r="K536" s="8">
        <f t="shared" ca="1" si="107"/>
        <v>185.95999999999913</v>
      </c>
      <c r="L536" s="8">
        <f t="shared" ca="1" si="108"/>
        <v>1674.1600000000008</v>
      </c>
      <c r="M536" s="9">
        <f ca="1">AVERAGE(E536:OFFSET(E536,-M$5+1,0))</f>
        <v>7654.8259999999991</v>
      </c>
      <c r="N536" s="9">
        <f ca="1">AVERAGE(E536:OFFSET(E536,-N$5+1,0))</f>
        <v>7722.6710000000003</v>
      </c>
      <c r="O536" s="9">
        <f t="shared" ca="1" si="109"/>
        <v>0</v>
      </c>
      <c r="P536" s="14">
        <f t="shared" si="114"/>
        <v>1.2352396484680805</v>
      </c>
      <c r="Q536" s="15">
        <f ca="1">STDEV(P536:OFFSET(P536,-$Q$5+1,0))</f>
        <v>1.9044418345982754</v>
      </c>
      <c r="R536" s="15">
        <f ca="1">STDEV(P536:OFFSET(P536,-$R$5+1,0))</f>
        <v>1.1692630300427163</v>
      </c>
      <c r="S536" s="18">
        <f t="shared" si="101"/>
        <v>63.430000000000291</v>
      </c>
      <c r="T536" s="18">
        <f t="shared" si="102"/>
        <v>92.979999999999563</v>
      </c>
      <c r="U536" s="18">
        <f t="shared" si="110"/>
        <v>119.45399876657493</v>
      </c>
      <c r="V536" s="33">
        <f ca="1">AVERAGE(E536:OFFSET(E536,-V$5+1,0))</f>
        <v>7705.4592857142852</v>
      </c>
      <c r="W536" s="33">
        <f t="shared" ca="1" si="103"/>
        <v>7884.6402838641479</v>
      </c>
      <c r="X536" s="33">
        <f t="shared" ca="1" si="104"/>
        <v>7526.2782875644225</v>
      </c>
      <c r="Y536" s="32">
        <f t="shared" ca="1" si="111"/>
        <v>0</v>
      </c>
    </row>
    <row r="537" spans="1:25">
      <c r="A537" s="5">
        <v>39150</v>
      </c>
      <c r="B537" s="4">
        <v>7615.81</v>
      </c>
      <c r="C537" s="4">
        <v>7619.35</v>
      </c>
      <c r="D537" s="4">
        <v>7550.83</v>
      </c>
      <c r="E537" s="4">
        <v>7568.2</v>
      </c>
      <c r="F537" s="4">
        <v>3310400</v>
      </c>
      <c r="G537" s="8">
        <f t="shared" si="113"/>
        <v>41.940000000000509</v>
      </c>
      <c r="H537" s="8">
        <f t="shared" si="112"/>
        <v>-47.610000000000582</v>
      </c>
      <c r="I537" s="20">
        <f t="shared" ca="1" si="105"/>
        <v>0</v>
      </c>
      <c r="J537" s="8">
        <f t="shared" ca="1" si="106"/>
        <v>2</v>
      </c>
      <c r="K537" s="8">
        <f t="shared" ca="1" si="107"/>
        <v>-11.340000000000146</v>
      </c>
      <c r="L537" s="8">
        <f t="shared" ca="1" si="108"/>
        <v>1662.8200000000006</v>
      </c>
      <c r="M537" s="9">
        <f ca="1">AVERAGE(E537:OFFSET(E537,-M$5+1,0))</f>
        <v>7637.9629999999988</v>
      </c>
      <c r="N537" s="9">
        <f ca="1">AVERAGE(E537:OFFSET(E537,-N$5+1,0))</f>
        <v>7714.085500000001</v>
      </c>
      <c r="O537" s="9">
        <f t="shared" ca="1" si="109"/>
        <v>0</v>
      </c>
      <c r="P537" s="14">
        <f t="shared" si="114"/>
        <v>-7.4890688855708182E-2</v>
      </c>
      <c r="Q537" s="15">
        <f ca="1">STDEV(P537:OFFSET(P537,-$Q$5+1,0))</f>
        <v>1.9031692338624298</v>
      </c>
      <c r="R537" s="15">
        <f ca="1">STDEV(P537:OFFSET(P537,-$R$5+1,0))</f>
        <v>1.1496891389141262</v>
      </c>
      <c r="S537" s="18">
        <f t="shared" si="101"/>
        <v>68.520000000000437</v>
      </c>
      <c r="T537" s="18">
        <f t="shared" si="102"/>
        <v>68.520000000000437</v>
      </c>
      <c r="U537" s="18">
        <f t="shared" si="110"/>
        <v>112.66279893103166</v>
      </c>
      <c r="V537" s="33">
        <f ca="1">AVERAGE(E537:OFFSET(E537,-V$5+1,0))</f>
        <v>7685.3264285714267</v>
      </c>
      <c r="W537" s="33">
        <f t="shared" ca="1" si="103"/>
        <v>7854.320626967974</v>
      </c>
      <c r="X537" s="33">
        <f t="shared" ca="1" si="104"/>
        <v>7516.3322301748794</v>
      </c>
      <c r="Y537" s="32">
        <f t="shared" ca="1" si="111"/>
        <v>0</v>
      </c>
    </row>
    <row r="538" spans="1:25">
      <c r="A538" s="5">
        <v>39153</v>
      </c>
      <c r="B538" s="4">
        <v>7611.15</v>
      </c>
      <c r="C538" s="4">
        <v>7640.14</v>
      </c>
      <c r="D538" s="4">
        <v>7590.82</v>
      </c>
      <c r="E538" s="4">
        <v>7629.15</v>
      </c>
      <c r="F538" s="4">
        <v>3009600</v>
      </c>
      <c r="G538" s="8">
        <f t="shared" si="113"/>
        <v>42.949999999999818</v>
      </c>
      <c r="H538" s="8">
        <f t="shared" si="112"/>
        <v>18</v>
      </c>
      <c r="I538" s="20">
        <f t="shared" ca="1" si="105"/>
        <v>0</v>
      </c>
      <c r="J538" s="8">
        <f t="shared" ca="1" si="106"/>
        <v>2</v>
      </c>
      <c r="K538" s="8">
        <f t="shared" ca="1" si="107"/>
        <v>121.89999999999964</v>
      </c>
      <c r="L538" s="8">
        <f t="shared" ca="1" si="108"/>
        <v>1784.7200000000003</v>
      </c>
      <c r="M538" s="9">
        <f ca="1">AVERAGE(E538:OFFSET(E538,-M$5+1,0))</f>
        <v>7619.933</v>
      </c>
      <c r="N538" s="9">
        <f ca="1">AVERAGE(E538:OFFSET(E538,-N$5+1,0))</f>
        <v>7710.5609999999997</v>
      </c>
      <c r="O538" s="9">
        <f t="shared" ca="1" si="109"/>
        <v>0</v>
      </c>
      <c r="P538" s="14">
        <f t="shared" si="114"/>
        <v>0.80211782698538547</v>
      </c>
      <c r="Q538" s="15">
        <f ca="1">STDEV(P538:OFFSET(P538,-$Q$5+1,0))</f>
        <v>1.8947022003971554</v>
      </c>
      <c r="R538" s="15">
        <f ca="1">STDEV(P538:OFFSET(P538,-$R$5+1,0))</f>
        <v>1.1587553662589243</v>
      </c>
      <c r="S538" s="18">
        <f t="shared" si="101"/>
        <v>49.320000000000618</v>
      </c>
      <c r="T538" s="18">
        <f t="shared" si="102"/>
        <v>71.940000000000509</v>
      </c>
      <c r="U538" s="18">
        <f t="shared" si="110"/>
        <v>107.23309240689417</v>
      </c>
      <c r="V538" s="33">
        <f ca="1">AVERAGE(E538:OFFSET(E538,-V$5+1,0))</f>
        <v>7670.1071428571422</v>
      </c>
      <c r="W538" s="33">
        <f t="shared" ca="1" si="103"/>
        <v>7830.9567814674838</v>
      </c>
      <c r="X538" s="33">
        <f t="shared" ca="1" si="104"/>
        <v>7509.2575042468006</v>
      </c>
      <c r="Y538" s="32">
        <f t="shared" ca="1" si="111"/>
        <v>0</v>
      </c>
    </row>
    <row r="539" spans="1:25">
      <c r="A539" s="5">
        <v>39154</v>
      </c>
      <c r="B539" s="4">
        <v>7664.7</v>
      </c>
      <c r="C539" s="4">
        <v>7694.59</v>
      </c>
      <c r="D539" s="4">
        <v>7661.76</v>
      </c>
      <c r="E539" s="4">
        <v>7684</v>
      </c>
      <c r="F539" s="4">
        <v>3403200</v>
      </c>
      <c r="G539" s="8">
        <f t="shared" si="113"/>
        <v>35.550000000000182</v>
      </c>
      <c r="H539" s="8">
        <f t="shared" si="112"/>
        <v>19.300000000000182</v>
      </c>
      <c r="I539" s="20">
        <f t="shared" ca="1" si="105"/>
        <v>0</v>
      </c>
      <c r="J539" s="8">
        <f t="shared" ca="1" si="106"/>
        <v>2</v>
      </c>
      <c r="K539" s="8">
        <f t="shared" ca="1" si="107"/>
        <v>109.70000000000073</v>
      </c>
      <c r="L539" s="8">
        <f t="shared" ca="1" si="108"/>
        <v>1894.420000000001</v>
      </c>
      <c r="M539" s="9">
        <f ca="1">AVERAGE(E539:OFFSET(E539,-M$5+1,0))</f>
        <v>7598.3130000000001</v>
      </c>
      <c r="N539" s="9">
        <f ca="1">AVERAGE(E539:OFFSET(E539,-N$5+1,0))</f>
        <v>7709.6840000000011</v>
      </c>
      <c r="O539" s="9">
        <f t="shared" ca="1" si="109"/>
        <v>0</v>
      </c>
      <c r="P539" s="14">
        <f t="shared" si="114"/>
        <v>0.7163808174757077</v>
      </c>
      <c r="Q539" s="15">
        <f ca="1">STDEV(P539:OFFSET(P539,-$Q$5+1,0))</f>
        <v>1.8637800906077642</v>
      </c>
      <c r="R539" s="15">
        <f ca="1">STDEV(P539:OFFSET(P539,-$R$5+1,0))</f>
        <v>1.1648507406045863</v>
      </c>
      <c r="S539" s="18">
        <f t="shared" si="101"/>
        <v>32.829999999999927</v>
      </c>
      <c r="T539" s="18">
        <f t="shared" si="102"/>
        <v>65.440000000000509</v>
      </c>
      <c r="U539" s="18">
        <f t="shared" si="110"/>
        <v>101.66068008597502</v>
      </c>
      <c r="V539" s="33">
        <f ca="1">AVERAGE(E539:OFFSET(E539,-V$5+1,0))</f>
        <v>7657.5692857142849</v>
      </c>
      <c r="W539" s="33">
        <f t="shared" ca="1" si="103"/>
        <v>7810.0603058432471</v>
      </c>
      <c r="X539" s="33">
        <f t="shared" ca="1" si="104"/>
        <v>7505.0782655853227</v>
      </c>
      <c r="Y539" s="32">
        <f t="shared" ca="1" si="111"/>
        <v>0</v>
      </c>
    </row>
    <row r="540" spans="1:25">
      <c r="A540" s="5">
        <v>39155</v>
      </c>
      <c r="B540" s="4">
        <v>7552.73</v>
      </c>
      <c r="C540" s="4">
        <v>7575.52</v>
      </c>
      <c r="D540" s="4">
        <v>7526.48</v>
      </c>
      <c r="E540" s="4">
        <v>7570.27</v>
      </c>
      <c r="F540" s="4">
        <v>3609400</v>
      </c>
      <c r="G540" s="8">
        <f t="shared" si="113"/>
        <v>-131.27000000000044</v>
      </c>
      <c r="H540" s="8">
        <f t="shared" si="112"/>
        <v>17.540000000000873</v>
      </c>
      <c r="I540" s="20">
        <f t="shared" ca="1" si="105"/>
        <v>0</v>
      </c>
      <c r="J540" s="8">
        <f t="shared" ca="1" si="106"/>
        <v>2</v>
      </c>
      <c r="K540" s="8">
        <f t="shared" ca="1" si="107"/>
        <v>-227.45999999999913</v>
      </c>
      <c r="L540" s="8">
        <f t="shared" ca="1" si="108"/>
        <v>1666.9600000000019</v>
      </c>
      <c r="M540" s="9">
        <f ca="1">AVERAGE(E540:OFFSET(E540,-M$5+1,0))</f>
        <v>7565.1440000000021</v>
      </c>
      <c r="N540" s="9">
        <f ca="1">AVERAGE(E540:OFFSET(E540,-N$5+1,0))</f>
        <v>7699.3459999999995</v>
      </c>
      <c r="O540" s="9">
        <f t="shared" ca="1" si="109"/>
        <v>0</v>
      </c>
      <c r="P540" s="14">
        <f t="shared" si="114"/>
        <v>-1.4911510986007568</v>
      </c>
      <c r="Q540" s="15">
        <f ca="1">STDEV(P540:OFFSET(P540,-$Q$5+1,0))</f>
        <v>1.897869840591812</v>
      </c>
      <c r="R540" s="15">
        <f ca="1">STDEV(P540:OFFSET(P540,-$R$5+1,0))</f>
        <v>1.1715420235943519</v>
      </c>
      <c r="S540" s="18">
        <f t="shared" si="101"/>
        <v>49.040000000000873</v>
      </c>
      <c r="T540" s="18">
        <f t="shared" si="102"/>
        <v>157.52000000000044</v>
      </c>
      <c r="U540" s="18">
        <f t="shared" si="110"/>
        <v>109.10858940784507</v>
      </c>
      <c r="V540" s="33">
        <f ca="1">AVERAGE(E540:OFFSET(E540,-V$5+1,0))</f>
        <v>7642.8485714285707</v>
      </c>
      <c r="W540" s="33">
        <f t="shared" ca="1" si="103"/>
        <v>7806.5114555403379</v>
      </c>
      <c r="X540" s="33">
        <f t="shared" ca="1" si="104"/>
        <v>7479.1856873168035</v>
      </c>
      <c r="Y540" s="32">
        <f t="shared" ca="1" si="111"/>
        <v>0</v>
      </c>
    </row>
    <row r="541" spans="1:25">
      <c r="A541" s="5">
        <v>39156</v>
      </c>
      <c r="B541" s="4">
        <v>7631.67</v>
      </c>
      <c r="C541" s="4">
        <v>7708.98</v>
      </c>
      <c r="D541" s="4">
        <v>7631.67</v>
      </c>
      <c r="E541" s="4">
        <v>7695.96</v>
      </c>
      <c r="F541" s="4">
        <v>4206400</v>
      </c>
      <c r="G541" s="8">
        <f t="shared" si="113"/>
        <v>61.399999999999636</v>
      </c>
      <c r="H541" s="8">
        <f t="shared" si="112"/>
        <v>64.289999999999964</v>
      </c>
      <c r="I541" s="20">
        <f t="shared" ca="1" si="105"/>
        <v>0</v>
      </c>
      <c r="J541" s="8">
        <f t="shared" ca="1" si="106"/>
        <v>2</v>
      </c>
      <c r="K541" s="8">
        <f t="shared" ca="1" si="107"/>
        <v>251.3799999999992</v>
      </c>
      <c r="L541" s="8">
        <f t="shared" ca="1" si="108"/>
        <v>1918.3400000000011</v>
      </c>
      <c r="M541" s="9">
        <f ca="1">AVERAGE(E541:OFFSET(E541,-M$5+1,0))</f>
        <v>7566.8730000000014</v>
      </c>
      <c r="N541" s="9">
        <f ca="1">AVERAGE(E541:OFFSET(E541,-N$5+1,0))</f>
        <v>7694.9879999999976</v>
      </c>
      <c r="O541" s="9">
        <f t="shared" ca="1" si="109"/>
        <v>0</v>
      </c>
      <c r="P541" s="14">
        <f t="shared" si="114"/>
        <v>1.6466781924398055</v>
      </c>
      <c r="Q541" s="15">
        <f ca="1">STDEV(P541:OFFSET(P541,-$Q$5+1,0))</f>
        <v>1.787177560269964</v>
      </c>
      <c r="R541" s="15">
        <f ca="1">STDEV(P541:OFFSET(P541,-$R$5+1,0))</f>
        <v>1.1866451957264328</v>
      </c>
      <c r="S541" s="18">
        <f t="shared" si="101"/>
        <v>77.309999999999491</v>
      </c>
      <c r="T541" s="18">
        <f t="shared" si="102"/>
        <v>138.70999999999913</v>
      </c>
      <c r="U541" s="18">
        <f t="shared" si="110"/>
        <v>113.05544415346561</v>
      </c>
      <c r="V541" s="33">
        <f ca="1">AVERAGE(E541:OFFSET(E541,-V$5+1,0))</f>
        <v>7639.9292857142855</v>
      </c>
      <c r="W541" s="33">
        <f t="shared" ca="1" si="103"/>
        <v>7809.5124519444835</v>
      </c>
      <c r="X541" s="33">
        <f t="shared" ca="1" si="104"/>
        <v>7470.3461194840875</v>
      </c>
      <c r="Y541" s="32">
        <f t="shared" ca="1" si="111"/>
        <v>0</v>
      </c>
    </row>
    <row r="542" spans="1:25">
      <c r="A542" s="5">
        <v>39157</v>
      </c>
      <c r="B542" s="4">
        <v>7707.15</v>
      </c>
      <c r="C542" s="4">
        <v>7743.37</v>
      </c>
      <c r="D542" s="4">
        <v>7676.39</v>
      </c>
      <c r="E542" s="4">
        <v>7719.8</v>
      </c>
      <c r="F542" s="4">
        <v>4291000</v>
      </c>
      <c r="G542" s="8">
        <f t="shared" si="113"/>
        <v>11.1899999999996</v>
      </c>
      <c r="H542" s="8">
        <f t="shared" si="112"/>
        <v>12.650000000000546</v>
      </c>
      <c r="I542" s="20">
        <f t="shared" ca="1" si="105"/>
        <v>0</v>
      </c>
      <c r="J542" s="8">
        <f t="shared" ca="1" si="106"/>
        <v>2</v>
      </c>
      <c r="K542" s="8">
        <f t="shared" ca="1" si="107"/>
        <v>47.680000000000291</v>
      </c>
      <c r="L542" s="8">
        <f t="shared" ca="1" si="108"/>
        <v>1966.0200000000013</v>
      </c>
      <c r="M542" s="9">
        <f ca="1">AVERAGE(E542:OFFSET(E542,-M$5+1,0))</f>
        <v>7571.7760000000007</v>
      </c>
      <c r="N542" s="9">
        <f ca="1">AVERAGE(E542:OFFSET(E542,-N$5+1,0))</f>
        <v>7687.1904999999988</v>
      </c>
      <c r="O542" s="9">
        <f t="shared" ca="1" si="109"/>
        <v>0</v>
      </c>
      <c r="P542" s="14">
        <f t="shared" si="114"/>
        <v>0.30929411206473784</v>
      </c>
      <c r="Q542" s="15">
        <f ca="1">STDEV(P542:OFFSET(P542,-$Q$5+1,0))</f>
        <v>1.7887165829098988</v>
      </c>
      <c r="R542" s="15">
        <f ca="1">STDEV(P542:OFFSET(P542,-$R$5+1,0))</f>
        <v>1.1824325501118655</v>
      </c>
      <c r="S542" s="18">
        <f t="shared" si="101"/>
        <v>66.979999999999563</v>
      </c>
      <c r="T542" s="18">
        <f t="shared" si="102"/>
        <v>66.979999999999563</v>
      </c>
      <c r="U542" s="18">
        <f t="shared" si="110"/>
        <v>106.91205159967015</v>
      </c>
      <c r="V542" s="33">
        <f ca="1">AVERAGE(E542:OFFSET(E542,-V$5+1,0))</f>
        <v>7633.5257142857154</v>
      </c>
      <c r="W542" s="33">
        <f t="shared" ca="1" si="103"/>
        <v>7793.893791685221</v>
      </c>
      <c r="X542" s="33">
        <f t="shared" ca="1" si="104"/>
        <v>7473.1576368862097</v>
      </c>
      <c r="Y542" s="32">
        <f t="shared" ca="1" si="111"/>
        <v>0</v>
      </c>
    </row>
    <row r="543" spans="1:25">
      <c r="A543" s="5">
        <v>39160</v>
      </c>
      <c r="B543" s="4">
        <v>7739.56</v>
      </c>
      <c r="C543" s="4">
        <v>7759.66</v>
      </c>
      <c r="D543" s="4">
        <v>7713.78</v>
      </c>
      <c r="E543" s="4">
        <v>7737.46</v>
      </c>
      <c r="F543" s="4">
        <v>3562800</v>
      </c>
      <c r="G543" s="8">
        <f t="shared" si="113"/>
        <v>19.760000000000218</v>
      </c>
      <c r="H543" s="8">
        <f t="shared" si="112"/>
        <v>-2.1000000000003638</v>
      </c>
      <c r="I543" s="20">
        <f t="shared" ca="1" si="105"/>
        <v>0</v>
      </c>
      <c r="J543" s="8">
        <f t="shared" ca="1" si="106"/>
        <v>2</v>
      </c>
      <c r="K543" s="8">
        <f t="shared" ca="1" si="107"/>
        <v>35.319999999999709</v>
      </c>
      <c r="L543" s="8">
        <f t="shared" ca="1" si="108"/>
        <v>2001.3400000000011</v>
      </c>
      <c r="M543" s="9">
        <f ca="1">AVERAGE(E543:OFFSET(E543,-M$5+1,0))</f>
        <v>7611.0660000000007</v>
      </c>
      <c r="N543" s="9">
        <f ca="1">AVERAGE(E543:OFFSET(E543,-N$5+1,0))</f>
        <v>7681.5604999999978</v>
      </c>
      <c r="O543" s="9">
        <f t="shared" ca="1" si="109"/>
        <v>0</v>
      </c>
      <c r="P543" s="14">
        <f t="shared" si="114"/>
        <v>0.22850114035707375</v>
      </c>
      <c r="Q543" s="15">
        <f ca="1">STDEV(P543:OFFSET(P543,-$Q$5+1,0))</f>
        <v>0.89983663326334662</v>
      </c>
      <c r="R543" s="15">
        <f ca="1">STDEV(P543:OFFSET(P543,-$R$5+1,0))</f>
        <v>1.1679298823722835</v>
      </c>
      <c r="S543" s="18">
        <f t="shared" si="101"/>
        <v>45.880000000000109</v>
      </c>
      <c r="T543" s="18">
        <f t="shared" si="102"/>
        <v>45.880000000000109</v>
      </c>
      <c r="U543" s="18">
        <f t="shared" si="110"/>
        <v>98.774444719714154</v>
      </c>
      <c r="V543" s="33">
        <f ca="1">AVERAGE(E543:OFFSET(E543,-V$5+1,0))</f>
        <v>7621.9014285714302</v>
      </c>
      <c r="W543" s="33">
        <f t="shared" ca="1" si="103"/>
        <v>7770.0630956510013</v>
      </c>
      <c r="X543" s="33">
        <f t="shared" ca="1" si="104"/>
        <v>7473.7397614918591</v>
      </c>
      <c r="Y543" s="32">
        <f t="shared" ca="1" si="111"/>
        <v>0</v>
      </c>
    </row>
    <row r="544" spans="1:25">
      <c r="A544" s="5">
        <v>39161</v>
      </c>
      <c r="B544" s="4">
        <v>7784.27</v>
      </c>
      <c r="C544" s="4">
        <v>7798.27</v>
      </c>
      <c r="D544" s="4">
        <v>7736.2</v>
      </c>
      <c r="E544" s="4">
        <v>7736.2</v>
      </c>
      <c r="F544" s="4">
        <v>3932400</v>
      </c>
      <c r="G544" s="8">
        <f t="shared" si="113"/>
        <v>46.8100000000004</v>
      </c>
      <c r="H544" s="8">
        <f t="shared" si="112"/>
        <v>-48.070000000000618</v>
      </c>
      <c r="I544" s="20">
        <f t="shared" ca="1" si="105"/>
        <v>0</v>
      </c>
      <c r="J544" s="8">
        <f t="shared" ca="1" si="106"/>
        <v>2</v>
      </c>
      <c r="K544" s="8">
        <f t="shared" ca="1" si="107"/>
        <v>-2.5200000000004366</v>
      </c>
      <c r="L544" s="8">
        <f t="shared" ca="1" si="108"/>
        <v>1998.8200000000006</v>
      </c>
      <c r="M544" s="9">
        <f ca="1">AVERAGE(E544:OFFSET(E544,-M$5+1,0))</f>
        <v>7639.58</v>
      </c>
      <c r="N544" s="9">
        <f ca="1">AVERAGE(E544:OFFSET(E544,-N$5+1,0))</f>
        <v>7676.2595000000001</v>
      </c>
      <c r="O544" s="9">
        <f t="shared" ca="1" si="109"/>
        <v>0</v>
      </c>
      <c r="P544" s="14">
        <f t="shared" si="114"/>
        <v>-1.6285739802797614E-2</v>
      </c>
      <c r="Q544" s="15">
        <f ca="1">STDEV(P544:OFFSET(P544,-$Q$5+1,0))</f>
        <v>0.85117911831612592</v>
      </c>
      <c r="R544" s="15">
        <f ca="1">STDEV(P544:OFFSET(P544,-$R$5+1,0))</f>
        <v>1.1553210783804042</v>
      </c>
      <c r="S544" s="18">
        <f t="shared" si="101"/>
        <v>62.070000000000618</v>
      </c>
      <c r="T544" s="18">
        <f t="shared" si="102"/>
        <v>62.070000000000618</v>
      </c>
      <c r="U544" s="18">
        <f t="shared" si="110"/>
        <v>93.880518757085682</v>
      </c>
      <c r="V544" s="33">
        <f ca="1">AVERAGE(E544:OFFSET(E544,-V$5+1,0))</f>
        <v>7610.061428571431</v>
      </c>
      <c r="W544" s="33">
        <f t="shared" ca="1" si="103"/>
        <v>7750.8822067070596</v>
      </c>
      <c r="X544" s="33">
        <f t="shared" ca="1" si="104"/>
        <v>7469.2406504358023</v>
      </c>
      <c r="Y544" s="32">
        <f t="shared" ca="1" si="111"/>
        <v>0</v>
      </c>
    </row>
    <row r="545" spans="1:25">
      <c r="A545" s="5">
        <v>39162</v>
      </c>
      <c r="B545" s="4">
        <v>7780.3</v>
      </c>
      <c r="C545" s="4">
        <v>7784.19</v>
      </c>
      <c r="D545" s="4">
        <v>7746.35</v>
      </c>
      <c r="E545" s="4">
        <v>7757.03</v>
      </c>
      <c r="F545" s="4">
        <v>3279800</v>
      </c>
      <c r="G545" s="8">
        <f t="shared" si="113"/>
        <v>44.100000000000364</v>
      </c>
      <c r="H545" s="8">
        <f t="shared" si="112"/>
        <v>-23.270000000000437</v>
      </c>
      <c r="I545" s="20">
        <f t="shared" ca="1" si="105"/>
        <v>1</v>
      </c>
      <c r="J545" s="8">
        <f t="shared" ca="1" si="106"/>
        <v>2</v>
      </c>
      <c r="K545" s="8">
        <f t="shared" ca="1" si="107"/>
        <v>41.659999999999854</v>
      </c>
      <c r="L545" s="8">
        <f t="shared" ca="1" si="108"/>
        <v>2040.4800000000005</v>
      </c>
      <c r="M545" s="9">
        <f ca="1">AVERAGE(E545:OFFSET(E545,-M$5+1,0))</f>
        <v>7667.1940000000004</v>
      </c>
      <c r="N545" s="9">
        <f ca="1">AVERAGE(E545:OFFSET(E545,-N$5+1,0))</f>
        <v>7671.1345000000001</v>
      </c>
      <c r="O545" s="9">
        <f t="shared" ca="1" si="109"/>
        <v>0</v>
      </c>
      <c r="P545" s="14">
        <f t="shared" si="114"/>
        <v>0.26889180049039235</v>
      </c>
      <c r="Q545" s="15">
        <f ca="1">STDEV(P545:OFFSET(P545,-$Q$5+1,0))</f>
        <v>0.85177228884127287</v>
      </c>
      <c r="R545" s="15">
        <f ca="1">STDEV(P545:OFFSET(P545,-$R$5+1,0))</f>
        <v>1.117701927906922</v>
      </c>
      <c r="S545" s="18">
        <f t="shared" si="101"/>
        <v>37.839999999999236</v>
      </c>
      <c r="T545" s="18">
        <f t="shared" si="102"/>
        <v>47.989999999999782</v>
      </c>
      <c r="U545" s="18">
        <f t="shared" si="110"/>
        <v>87.761782922807569</v>
      </c>
      <c r="V545" s="33">
        <f ca="1">AVERAGE(E545:OFFSET(E545,-V$5+1,0))</f>
        <v>7615.6585714285729</v>
      </c>
      <c r="W545" s="33">
        <f t="shared" ca="1" si="103"/>
        <v>7747.3012458127841</v>
      </c>
      <c r="X545" s="33">
        <f t="shared" ca="1" si="104"/>
        <v>7484.0158970443617</v>
      </c>
      <c r="Y545" s="32">
        <f t="shared" ca="1" si="111"/>
        <v>1</v>
      </c>
    </row>
    <row r="546" spans="1:25">
      <c r="A546" s="5">
        <v>39163</v>
      </c>
      <c r="B546" s="4">
        <v>7843.64</v>
      </c>
      <c r="C546" s="4">
        <v>7856.99</v>
      </c>
      <c r="D546" s="4">
        <v>7822.63</v>
      </c>
      <c r="E546" s="4">
        <v>7823.67</v>
      </c>
      <c r="F546" s="4">
        <v>3989400</v>
      </c>
      <c r="G546" s="8">
        <f t="shared" si="113"/>
        <v>86.610000000000582</v>
      </c>
      <c r="H546" s="8">
        <f t="shared" si="112"/>
        <v>-19.970000000000255</v>
      </c>
      <c r="I546" s="20">
        <f t="shared" ca="1" si="105"/>
        <v>0</v>
      </c>
      <c r="J546" s="8">
        <f t="shared" ca="1" si="106"/>
        <v>3</v>
      </c>
      <c r="K546" s="8">
        <f t="shared" ca="1" si="107"/>
        <v>113.3100000000004</v>
      </c>
      <c r="L546" s="8">
        <f t="shared" ca="1" si="108"/>
        <v>2153.7900000000009</v>
      </c>
      <c r="M546" s="9">
        <f ca="1">AVERAGE(E546:OFFSET(E546,-M$5+1,0))</f>
        <v>7692.1740000000009</v>
      </c>
      <c r="N546" s="9">
        <f ca="1">AVERAGE(E546:OFFSET(E546,-N$5+1,0))</f>
        <v>7673.5000000000018</v>
      </c>
      <c r="O546" s="9">
        <f t="shared" ca="1" si="109"/>
        <v>1</v>
      </c>
      <c r="P546" s="14">
        <f t="shared" si="114"/>
        <v>0.85542249530976855</v>
      </c>
      <c r="Q546" s="15">
        <f ca="1">STDEV(P546:OFFSET(P546,-$Q$5+1,0))</f>
        <v>0.8162583509023762</v>
      </c>
      <c r="R546" s="15">
        <f ca="1">STDEV(P546:OFFSET(P546,-$R$5+1,0))</f>
        <v>1.1250945006595152</v>
      </c>
      <c r="S546" s="18">
        <f t="shared" si="101"/>
        <v>34.359999999999673</v>
      </c>
      <c r="T546" s="18">
        <f t="shared" si="102"/>
        <v>99.960000000000036</v>
      </c>
      <c r="U546" s="18">
        <f t="shared" si="110"/>
        <v>89.388211866433238</v>
      </c>
      <c r="V546" s="33">
        <f ca="1">AVERAGE(E546:OFFSET(E546,-V$5+1,0))</f>
        <v>7626.5800000000008</v>
      </c>
      <c r="W546" s="33">
        <f t="shared" ca="1" si="103"/>
        <v>7760.6623177996507</v>
      </c>
      <c r="X546" s="33">
        <f t="shared" ca="1" si="104"/>
        <v>7492.4976822003509</v>
      </c>
      <c r="Y546" s="32">
        <f t="shared" ca="1" si="111"/>
        <v>0</v>
      </c>
    </row>
    <row r="547" spans="1:25">
      <c r="A547" s="5">
        <v>39164</v>
      </c>
      <c r="B547" s="4">
        <v>7834.62</v>
      </c>
      <c r="C547" s="4">
        <v>7879.09</v>
      </c>
      <c r="D547" s="4">
        <v>7806.89</v>
      </c>
      <c r="E547" s="4">
        <v>7859.32</v>
      </c>
      <c r="F547" s="4">
        <v>3837000</v>
      </c>
      <c r="G547" s="8">
        <f t="shared" si="113"/>
        <v>10.949999999999818</v>
      </c>
      <c r="H547" s="8">
        <f t="shared" si="112"/>
        <v>24.699999999999818</v>
      </c>
      <c r="I547" s="20">
        <f t="shared" ca="1" si="105"/>
        <v>0</v>
      </c>
      <c r="J547" s="8">
        <f t="shared" ca="1" si="106"/>
        <v>3</v>
      </c>
      <c r="K547" s="8">
        <f t="shared" ca="1" si="107"/>
        <v>106.94999999999891</v>
      </c>
      <c r="L547" s="8">
        <f t="shared" ca="1" si="108"/>
        <v>2260.7399999999998</v>
      </c>
      <c r="M547" s="9">
        <f ca="1">AVERAGE(E547:OFFSET(E547,-M$5+1,0))</f>
        <v>7721.2859999999982</v>
      </c>
      <c r="N547" s="9">
        <f ca="1">AVERAGE(E547:OFFSET(E547,-N$5+1,0))</f>
        <v>7679.6245000000008</v>
      </c>
      <c r="O547" s="9">
        <f t="shared" ca="1" si="109"/>
        <v>0</v>
      </c>
      <c r="P547" s="14">
        <f t="shared" si="114"/>
        <v>0.45463347747601379</v>
      </c>
      <c r="Q547" s="15">
        <f ca="1">STDEV(P547:OFFSET(P547,-$Q$5+1,0))</f>
        <v>0.80456239529146989</v>
      </c>
      <c r="R547" s="15">
        <f ca="1">STDEV(P547:OFFSET(P547,-$R$5+1,0))</f>
        <v>1.1271746987199369</v>
      </c>
      <c r="S547" s="18">
        <f t="shared" si="101"/>
        <v>72.199999999999818</v>
      </c>
      <c r="T547" s="18">
        <f t="shared" si="102"/>
        <v>72.199999999999818</v>
      </c>
      <c r="U547" s="18">
        <f t="shared" si="110"/>
        <v>87.09645028424211</v>
      </c>
      <c r="V547" s="33">
        <f ca="1">AVERAGE(E547:OFFSET(E547,-V$5+1,0))</f>
        <v>7663.3485714285716</v>
      </c>
      <c r="W547" s="33">
        <f t="shared" ca="1" si="103"/>
        <v>7793.993246854935</v>
      </c>
      <c r="X547" s="33">
        <f t="shared" ca="1" si="104"/>
        <v>7532.7038960022082</v>
      </c>
      <c r="Y547" s="32">
        <f t="shared" ca="1" si="111"/>
        <v>0</v>
      </c>
    </row>
    <row r="548" spans="1:25">
      <c r="A548" s="5">
        <v>39167</v>
      </c>
      <c r="B548" s="4">
        <v>7878.59</v>
      </c>
      <c r="C548" s="4">
        <v>7887.33</v>
      </c>
      <c r="D548" s="4">
        <v>7853.15</v>
      </c>
      <c r="E548" s="4">
        <v>7877.82</v>
      </c>
      <c r="F548" s="4">
        <v>3623800</v>
      </c>
      <c r="G548" s="8">
        <f t="shared" si="113"/>
        <v>19.270000000000437</v>
      </c>
      <c r="H548" s="8">
        <f t="shared" si="112"/>
        <v>-0.77000000000043656</v>
      </c>
      <c r="I548" s="20">
        <f t="shared" ca="1" si="105"/>
        <v>0</v>
      </c>
      <c r="J548" s="8">
        <f t="shared" ca="1" si="106"/>
        <v>3</v>
      </c>
      <c r="K548" s="8">
        <f t="shared" ca="1" si="107"/>
        <v>55.5</v>
      </c>
      <c r="L548" s="8">
        <f t="shared" ca="1" si="108"/>
        <v>2316.2399999999998</v>
      </c>
      <c r="M548" s="9">
        <f ca="1">AVERAGE(E548:OFFSET(E548,-M$5+1,0))</f>
        <v>7746.1530000000002</v>
      </c>
      <c r="N548" s="9">
        <f ca="1">AVERAGE(E548:OFFSET(E548,-N$5+1,0))</f>
        <v>7683.0430000000024</v>
      </c>
      <c r="O548" s="9">
        <f t="shared" ca="1" si="109"/>
        <v>0</v>
      </c>
      <c r="P548" s="14">
        <f t="shared" si="114"/>
        <v>0.23511271453418559</v>
      </c>
      <c r="Q548" s="15">
        <f ca="1">STDEV(P548:OFFSET(P548,-$Q$5+1,0))</f>
        <v>0.79117715153388357</v>
      </c>
      <c r="R548" s="15">
        <f ca="1">STDEV(P548:OFFSET(P548,-$R$5+1,0))</f>
        <v>1.1246507933369687</v>
      </c>
      <c r="S548" s="18">
        <f t="shared" si="101"/>
        <v>34.180000000000291</v>
      </c>
      <c r="T548" s="18">
        <f t="shared" si="102"/>
        <v>34.180000000000291</v>
      </c>
      <c r="U548" s="18">
        <f t="shared" si="110"/>
        <v>80.040923579676544</v>
      </c>
      <c r="V548" s="33">
        <f ca="1">AVERAGE(E548:OFFSET(E548,-V$5+1,0))</f>
        <v>7693.8314285714296</v>
      </c>
      <c r="W548" s="33">
        <f t="shared" ca="1" si="103"/>
        <v>7813.8928139409445</v>
      </c>
      <c r="X548" s="33">
        <f t="shared" ca="1" si="104"/>
        <v>7573.7700432019146</v>
      </c>
      <c r="Y548" s="32">
        <f t="shared" ca="1" si="111"/>
        <v>0</v>
      </c>
    </row>
    <row r="549" spans="1:25">
      <c r="A549" s="5">
        <v>39168</v>
      </c>
      <c r="B549" s="4">
        <v>7876.76</v>
      </c>
      <c r="C549" s="4">
        <v>7928.03</v>
      </c>
      <c r="D549" s="4">
        <v>7839.22</v>
      </c>
      <c r="E549" s="4">
        <v>7845.17</v>
      </c>
      <c r="F549" s="4">
        <v>4038400</v>
      </c>
      <c r="G549" s="8">
        <f t="shared" si="113"/>
        <v>-1.0599999999994907</v>
      </c>
      <c r="H549" s="8">
        <f t="shared" si="112"/>
        <v>-31.590000000000146</v>
      </c>
      <c r="I549" s="20">
        <f t="shared" ca="1" si="105"/>
        <v>0</v>
      </c>
      <c r="J549" s="8">
        <f t="shared" ca="1" si="106"/>
        <v>3</v>
      </c>
      <c r="K549" s="8">
        <f t="shared" ca="1" si="107"/>
        <v>-97.949999999998909</v>
      </c>
      <c r="L549" s="8">
        <f t="shared" ca="1" si="108"/>
        <v>2218.2900000000009</v>
      </c>
      <c r="M549" s="9">
        <f ca="1">AVERAGE(E549:OFFSET(E549,-M$5+1,0))</f>
        <v>7762.2699999999995</v>
      </c>
      <c r="N549" s="9">
        <f ca="1">AVERAGE(E549:OFFSET(E549,-N$5+1,0))</f>
        <v>7680.2915000000021</v>
      </c>
      <c r="O549" s="9">
        <f t="shared" ca="1" si="109"/>
        <v>0</v>
      </c>
      <c r="P549" s="14">
        <f t="shared" si="114"/>
        <v>-0.41531600453766332</v>
      </c>
      <c r="Q549" s="15">
        <f ca="1">STDEV(P549:OFFSET(P549,-$Q$5+1,0))</f>
        <v>0.8090352427528632</v>
      </c>
      <c r="R549" s="15">
        <f ca="1">STDEV(P549:OFFSET(P549,-$R$5+1,0))</f>
        <v>1.1196766554493705</v>
      </c>
      <c r="S549" s="18">
        <f t="shared" si="101"/>
        <v>88.809999999999491</v>
      </c>
      <c r="T549" s="18">
        <f t="shared" si="102"/>
        <v>88.809999999999491</v>
      </c>
      <c r="U549" s="18">
        <f t="shared" si="110"/>
        <v>81.210133769052945</v>
      </c>
      <c r="V549" s="33">
        <f ca="1">AVERAGE(E549:OFFSET(E549,-V$5+1,0))</f>
        <v>7719.8514285714282</v>
      </c>
      <c r="W549" s="33">
        <f t="shared" ca="1" si="103"/>
        <v>7841.6666292250075</v>
      </c>
      <c r="X549" s="33">
        <f t="shared" ca="1" si="104"/>
        <v>7598.0362279178489</v>
      </c>
      <c r="Y549" s="32">
        <f t="shared" ca="1" si="111"/>
        <v>0</v>
      </c>
    </row>
    <row r="550" spans="1:25">
      <c r="A550" s="5">
        <v>39169</v>
      </c>
      <c r="B550" s="4">
        <v>7832.62</v>
      </c>
      <c r="C550" s="4">
        <v>7841.4</v>
      </c>
      <c r="D550" s="4">
        <v>7769.3</v>
      </c>
      <c r="E550" s="4">
        <v>7788.14</v>
      </c>
      <c r="F550" s="4">
        <v>3720800</v>
      </c>
      <c r="G550" s="8">
        <f t="shared" si="113"/>
        <v>-12.550000000000182</v>
      </c>
      <c r="H550" s="8">
        <f t="shared" si="112"/>
        <v>-44.479999999999563</v>
      </c>
      <c r="I550" s="20">
        <f t="shared" ca="1" si="105"/>
        <v>0</v>
      </c>
      <c r="J550" s="8">
        <f t="shared" ca="1" si="106"/>
        <v>3</v>
      </c>
      <c r="K550" s="8">
        <f t="shared" ca="1" si="107"/>
        <v>-171.08999999999924</v>
      </c>
      <c r="L550" s="8">
        <f t="shared" ca="1" si="108"/>
        <v>2047.2000000000016</v>
      </c>
      <c r="M550" s="9">
        <f ca="1">AVERAGE(E550:OFFSET(E550,-M$5+1,0))</f>
        <v>7784.0570000000007</v>
      </c>
      <c r="N550" s="9">
        <f ca="1">AVERAGE(E550:OFFSET(E550,-N$5+1,0))</f>
        <v>7674.6005000000032</v>
      </c>
      <c r="O550" s="9">
        <f t="shared" ca="1" si="109"/>
        <v>0</v>
      </c>
      <c r="P550" s="14">
        <f t="shared" si="114"/>
        <v>-0.72959920813291024</v>
      </c>
      <c r="Q550" s="15">
        <f ca="1">STDEV(P550:OFFSET(P550,-$Q$5+1,0))</f>
        <v>0.65195999289251705</v>
      </c>
      <c r="R550" s="15">
        <f ca="1">STDEV(P550:OFFSET(P550,-$R$5+1,0))</f>
        <v>1.1201447185269715</v>
      </c>
      <c r="S550" s="18">
        <f t="shared" si="101"/>
        <v>72.099999999999454</v>
      </c>
      <c r="T550" s="18">
        <f t="shared" si="102"/>
        <v>75.869999999999891</v>
      </c>
      <c r="U550" s="18">
        <f t="shared" si="110"/>
        <v>80.498115933179207</v>
      </c>
      <c r="V550" s="33">
        <f ca="1">AVERAGE(E550:OFFSET(E550,-V$5+1,0))</f>
        <v>7735.1564285714285</v>
      </c>
      <c r="W550" s="33">
        <f t="shared" ca="1" si="103"/>
        <v>7855.9036024711977</v>
      </c>
      <c r="X550" s="33">
        <f t="shared" ca="1" si="104"/>
        <v>7614.4092546716593</v>
      </c>
      <c r="Y550" s="32">
        <f t="shared" ca="1" si="111"/>
        <v>0</v>
      </c>
    </row>
    <row r="551" spans="1:25">
      <c r="A551" s="5">
        <v>39170</v>
      </c>
      <c r="B551" s="4">
        <v>7765.07</v>
      </c>
      <c r="C551" s="4">
        <v>7863.63</v>
      </c>
      <c r="D551" s="4">
        <v>7764.05</v>
      </c>
      <c r="E551" s="4">
        <v>7848.33</v>
      </c>
      <c r="F551" s="4">
        <v>4128600</v>
      </c>
      <c r="G551" s="8">
        <f t="shared" si="113"/>
        <v>-23.070000000000618</v>
      </c>
      <c r="H551" s="8">
        <f t="shared" si="112"/>
        <v>83.260000000000218</v>
      </c>
      <c r="I551" s="20">
        <f t="shared" ca="1" si="105"/>
        <v>0</v>
      </c>
      <c r="J551" s="8">
        <f t="shared" ca="1" si="106"/>
        <v>3</v>
      </c>
      <c r="K551" s="8">
        <f t="shared" ca="1" si="107"/>
        <v>180.5699999999988</v>
      </c>
      <c r="L551" s="8">
        <f t="shared" ca="1" si="108"/>
        <v>2227.7700000000004</v>
      </c>
      <c r="M551" s="9">
        <f ca="1">AVERAGE(E551:OFFSET(E551,-M$5+1,0))</f>
        <v>7799.2939999999999</v>
      </c>
      <c r="N551" s="9">
        <f ca="1">AVERAGE(E551:OFFSET(E551,-N$5+1,0))</f>
        <v>7683.0835000000025</v>
      </c>
      <c r="O551" s="9">
        <f t="shared" ca="1" si="109"/>
        <v>0</v>
      </c>
      <c r="P551" s="14">
        <f t="shared" si="114"/>
        <v>0.76987065864052595</v>
      </c>
      <c r="Q551" s="15">
        <f ca="1">STDEV(P551:OFFSET(P551,-$Q$5+1,0))</f>
        <v>0.48617533348746295</v>
      </c>
      <c r="R551" s="15">
        <f ca="1">STDEV(P551:OFFSET(P551,-$R$5+1,0))</f>
        <v>1.1270215038357974</v>
      </c>
      <c r="S551" s="18">
        <f t="shared" si="101"/>
        <v>99.579999999999927</v>
      </c>
      <c r="T551" s="18">
        <f t="shared" si="102"/>
        <v>99.579999999999927</v>
      </c>
      <c r="U551" s="18">
        <f t="shared" si="110"/>
        <v>83.042367142088636</v>
      </c>
      <c r="V551" s="33">
        <f ca="1">AVERAGE(E551:OFFSET(E551,-V$5+1,0))</f>
        <v>7755.1657142857139</v>
      </c>
      <c r="W551" s="33">
        <f t="shared" ca="1" si="103"/>
        <v>7879.7292649988467</v>
      </c>
      <c r="X551" s="33">
        <f t="shared" ca="1" si="104"/>
        <v>7630.602163572581</v>
      </c>
      <c r="Y551" s="32">
        <f t="shared" ca="1" si="111"/>
        <v>0</v>
      </c>
    </row>
    <row r="552" spans="1:25">
      <c r="A552" s="5">
        <v>39171</v>
      </c>
      <c r="B552" s="4">
        <v>7877.75</v>
      </c>
      <c r="C552" s="4">
        <v>7888.82</v>
      </c>
      <c r="D552" s="4">
        <v>7839.91</v>
      </c>
      <c r="E552" s="4">
        <v>7884.41</v>
      </c>
      <c r="F552" s="4">
        <v>4225600</v>
      </c>
      <c r="G552" s="8">
        <f t="shared" si="113"/>
        <v>29.420000000000073</v>
      </c>
      <c r="H552" s="8">
        <f t="shared" si="112"/>
        <v>6.6599999999998545</v>
      </c>
      <c r="I552" s="20">
        <f t="shared" ca="1" si="105"/>
        <v>0</v>
      </c>
      <c r="J552" s="8">
        <f t="shared" ca="1" si="106"/>
        <v>3</v>
      </c>
      <c r="K552" s="8">
        <f t="shared" ca="1" si="107"/>
        <v>108.23999999999978</v>
      </c>
      <c r="L552" s="8">
        <f t="shared" ca="1" si="108"/>
        <v>2336.0100000000002</v>
      </c>
      <c r="M552" s="9">
        <f ca="1">AVERAGE(E552:OFFSET(E552,-M$5+1,0))</f>
        <v>7815.7550000000001</v>
      </c>
      <c r="N552" s="9">
        <f ca="1">AVERAGE(E552:OFFSET(E552,-N$5+1,0))</f>
        <v>7693.7654999999995</v>
      </c>
      <c r="O552" s="9">
        <f t="shared" ca="1" si="109"/>
        <v>0</v>
      </c>
      <c r="P552" s="14">
        <f t="shared" si="114"/>
        <v>0.45866216884687644</v>
      </c>
      <c r="Q552" s="15">
        <f ca="1">STDEV(P552:OFFSET(P552,-$Q$5+1,0))</f>
        <v>0.49229701677379573</v>
      </c>
      <c r="R552" s="15">
        <f ca="1">STDEV(P552:OFFSET(P552,-$R$5+1,0))</f>
        <v>1.1291862359746174</v>
      </c>
      <c r="S552" s="18">
        <f t="shared" si="101"/>
        <v>48.909999999999854</v>
      </c>
      <c r="T552" s="18">
        <f t="shared" si="102"/>
        <v>48.909999999999854</v>
      </c>
      <c r="U552" s="18">
        <f t="shared" si="110"/>
        <v>78.491384856476799</v>
      </c>
      <c r="V552" s="33">
        <f ca="1">AVERAGE(E552:OFFSET(E552,-V$5+1,0))</f>
        <v>7773.3985714285718</v>
      </c>
      <c r="W552" s="33">
        <f t="shared" ca="1" si="103"/>
        <v>7891.1356487132871</v>
      </c>
      <c r="X552" s="33">
        <f t="shared" ca="1" si="104"/>
        <v>7655.6614941438565</v>
      </c>
      <c r="Y552" s="32">
        <f t="shared" ca="1" si="111"/>
        <v>0</v>
      </c>
    </row>
    <row r="553" spans="1:25">
      <c r="A553" s="5">
        <v>39174</v>
      </c>
      <c r="B553" s="4">
        <v>7888.17</v>
      </c>
      <c r="C553" s="4">
        <v>7931.99</v>
      </c>
      <c r="D553" s="4">
        <v>7866.59</v>
      </c>
      <c r="E553" s="4">
        <v>7884.99</v>
      </c>
      <c r="F553" s="4">
        <v>4390000</v>
      </c>
      <c r="G553" s="8">
        <f t="shared" si="113"/>
        <v>3.7600000000002183</v>
      </c>
      <c r="H553" s="8">
        <f t="shared" si="112"/>
        <v>-3.180000000000291</v>
      </c>
      <c r="I553" s="20">
        <f t="shared" ca="1" si="105"/>
        <v>0</v>
      </c>
      <c r="J553" s="8">
        <f t="shared" ca="1" si="106"/>
        <v>3</v>
      </c>
      <c r="K553" s="8">
        <f t="shared" ca="1" si="107"/>
        <v>1.7399999999997817</v>
      </c>
      <c r="L553" s="8">
        <f t="shared" ca="1" si="108"/>
        <v>2337.75</v>
      </c>
      <c r="M553" s="9">
        <f ca="1">AVERAGE(E553:OFFSET(E553,-M$5+1,0))</f>
        <v>7830.5079999999998</v>
      </c>
      <c r="N553" s="9">
        <f ca="1">AVERAGE(E553:OFFSET(E553,-N$5+1,0))</f>
        <v>7720.7869999999994</v>
      </c>
      <c r="O553" s="9">
        <f t="shared" ca="1" si="109"/>
        <v>0</v>
      </c>
      <c r="P553" s="14">
        <f t="shared" si="114"/>
        <v>7.3560186216516813E-3</v>
      </c>
      <c r="Q553" s="15">
        <f ca="1">STDEV(P553:OFFSET(P553,-$Q$5+1,0))</f>
        <v>0.49637312679297574</v>
      </c>
      <c r="R553" s="15">
        <f ca="1">STDEV(P553:OFFSET(P553,-$R$5+1,0))</f>
        <v>1.1164395130738862</v>
      </c>
      <c r="S553" s="18">
        <f t="shared" si="101"/>
        <v>65.399999999999636</v>
      </c>
      <c r="T553" s="18">
        <f t="shared" si="102"/>
        <v>65.399999999999636</v>
      </c>
      <c r="U553" s="18">
        <f t="shared" si="110"/>
        <v>76.745866875613189</v>
      </c>
      <c r="V553" s="33">
        <f ca="1">AVERAGE(E553:OFFSET(E553,-V$5+1,0))</f>
        <v>7787.7550000000001</v>
      </c>
      <c r="W553" s="33">
        <f t="shared" ca="1" si="103"/>
        <v>7902.8738003134195</v>
      </c>
      <c r="X553" s="33">
        <f t="shared" ca="1" si="104"/>
        <v>7672.6361996865808</v>
      </c>
      <c r="Y553" s="32">
        <f t="shared" ca="1" si="111"/>
        <v>0</v>
      </c>
    </row>
    <row r="554" spans="1:25">
      <c r="A554" s="5">
        <v>39175</v>
      </c>
      <c r="B554" s="4">
        <v>7894.87</v>
      </c>
      <c r="C554" s="4">
        <v>7932.91</v>
      </c>
      <c r="D554" s="4">
        <v>7879.88</v>
      </c>
      <c r="E554" s="4">
        <v>7932.91</v>
      </c>
      <c r="F554" s="4">
        <v>4498600</v>
      </c>
      <c r="G554" s="8">
        <f t="shared" si="113"/>
        <v>9.8800000000001091</v>
      </c>
      <c r="H554" s="8">
        <f t="shared" si="112"/>
        <v>38.039999999999964</v>
      </c>
      <c r="I554" s="20">
        <f t="shared" ca="1" si="105"/>
        <v>1</v>
      </c>
      <c r="J554" s="8">
        <f t="shared" ca="1" si="106"/>
        <v>3</v>
      </c>
      <c r="K554" s="8">
        <f t="shared" ca="1" si="107"/>
        <v>143.76000000000022</v>
      </c>
      <c r="L554" s="8">
        <f t="shared" ca="1" si="108"/>
        <v>2481.5100000000002</v>
      </c>
      <c r="M554" s="9">
        <f ca="1">AVERAGE(E554:OFFSET(E554,-M$5+1,0))</f>
        <v>7850.179000000001</v>
      </c>
      <c r="N554" s="9">
        <f ca="1">AVERAGE(E554:OFFSET(E554,-N$5+1,0))</f>
        <v>7744.8795</v>
      </c>
      <c r="O554" s="9">
        <f t="shared" ca="1" si="109"/>
        <v>0</v>
      </c>
      <c r="P554" s="14">
        <f t="shared" si="114"/>
        <v>0.6058977057634759</v>
      </c>
      <c r="Q554" s="15">
        <f ca="1">STDEV(P554:OFFSET(P554,-$Q$5+1,0))</f>
        <v>0.50668667881528817</v>
      </c>
      <c r="R554" s="15">
        <f ca="1">STDEV(P554:OFFSET(P554,-$R$5+1,0))</f>
        <v>1.1205082179569941</v>
      </c>
      <c r="S554" s="18">
        <f t="shared" si="101"/>
        <v>53.029999999999745</v>
      </c>
      <c r="T554" s="18">
        <f t="shared" si="102"/>
        <v>53.029999999999745</v>
      </c>
      <c r="U554" s="18">
        <f t="shared" si="110"/>
        <v>73.583751292198059</v>
      </c>
      <c r="V554" s="33">
        <f ca="1">AVERAGE(E554:OFFSET(E554,-V$5+1,0))</f>
        <v>7813.657857142859</v>
      </c>
      <c r="W554" s="33">
        <f t="shared" ca="1" si="103"/>
        <v>7924.0334840811565</v>
      </c>
      <c r="X554" s="33">
        <f t="shared" ca="1" si="104"/>
        <v>7703.2822302045615</v>
      </c>
      <c r="Y554" s="32">
        <f t="shared" ca="1" si="111"/>
        <v>1</v>
      </c>
    </row>
    <row r="555" spans="1:25">
      <c r="A555" s="5">
        <v>39176</v>
      </c>
      <c r="B555" s="4">
        <v>7989.65</v>
      </c>
      <c r="C555" s="4">
        <v>8021.59</v>
      </c>
      <c r="D555" s="4">
        <v>7970.46</v>
      </c>
      <c r="E555" s="4">
        <v>8004.61</v>
      </c>
      <c r="F555" s="4">
        <v>4993200</v>
      </c>
      <c r="G555" s="8">
        <f t="shared" si="113"/>
        <v>56.739999999999782</v>
      </c>
      <c r="H555" s="8">
        <f t="shared" si="112"/>
        <v>14.960000000000036</v>
      </c>
      <c r="I555" s="20">
        <f t="shared" ca="1" si="105"/>
        <v>0</v>
      </c>
      <c r="J555" s="8">
        <f t="shared" ca="1" si="106"/>
        <v>3</v>
      </c>
      <c r="K555" s="8">
        <f t="shared" ca="1" si="107"/>
        <v>215.09999999999945</v>
      </c>
      <c r="L555" s="8">
        <f t="shared" ca="1" si="108"/>
        <v>2696.6099999999997</v>
      </c>
      <c r="M555" s="9">
        <f ca="1">AVERAGE(E555:OFFSET(E555,-M$5+1,0))</f>
        <v>7874.9369999999999</v>
      </c>
      <c r="N555" s="9">
        <f ca="1">AVERAGE(E555:OFFSET(E555,-N$5+1,0))</f>
        <v>7771.0654999999988</v>
      </c>
      <c r="O555" s="9">
        <f t="shared" ca="1" si="109"/>
        <v>0</v>
      </c>
      <c r="P555" s="14">
        <f t="shared" si="114"/>
        <v>0.89976964705467155</v>
      </c>
      <c r="Q555" s="15">
        <f ca="1">STDEV(P555:OFFSET(P555,-$Q$5+1,0))</f>
        <v>0.54683393714099748</v>
      </c>
      <c r="R555" s="15">
        <f ca="1">STDEV(P555:OFFSET(P555,-$R$5+1,0))</f>
        <v>1.1088016050030742</v>
      </c>
      <c r="S555" s="18">
        <f t="shared" si="101"/>
        <v>51.130000000000109</v>
      </c>
      <c r="T555" s="18">
        <f t="shared" si="102"/>
        <v>88.680000000000291</v>
      </c>
      <c r="U555" s="18">
        <f t="shared" si="110"/>
        <v>75.596584453238364</v>
      </c>
      <c r="V555" s="33">
        <f ca="1">AVERAGE(E555:OFFSET(E555,-V$5+1,0))</f>
        <v>7835.7042857142869</v>
      </c>
      <c r="W555" s="33">
        <f t="shared" ca="1" si="103"/>
        <v>7949.0991623941445</v>
      </c>
      <c r="X555" s="33">
        <f t="shared" ca="1" si="104"/>
        <v>7722.3094090344293</v>
      </c>
      <c r="Y555" s="32">
        <f t="shared" ca="1" si="111"/>
        <v>0</v>
      </c>
    </row>
    <row r="556" spans="1:25">
      <c r="A556" s="5">
        <v>39181</v>
      </c>
      <c r="B556" s="4">
        <v>8048.34</v>
      </c>
      <c r="C556" s="4">
        <v>8066.77</v>
      </c>
      <c r="D556" s="4">
        <v>8026.33</v>
      </c>
      <c r="E556" s="4">
        <v>8056.56</v>
      </c>
      <c r="F556" s="4">
        <v>4772200</v>
      </c>
      <c r="G556" s="8">
        <f t="shared" si="113"/>
        <v>43.730000000000473</v>
      </c>
      <c r="H556" s="8">
        <f t="shared" si="112"/>
        <v>8.2200000000002547</v>
      </c>
      <c r="I556" s="20">
        <f t="shared" ca="1" si="105"/>
        <v>0</v>
      </c>
      <c r="J556" s="8">
        <f t="shared" ca="1" si="106"/>
        <v>3</v>
      </c>
      <c r="K556" s="8">
        <f t="shared" ca="1" si="107"/>
        <v>155.85000000000218</v>
      </c>
      <c r="L556" s="8">
        <f t="shared" ca="1" si="108"/>
        <v>2852.4600000000019</v>
      </c>
      <c r="M556" s="9">
        <f ca="1">AVERAGE(E556:OFFSET(E556,-M$5+1,0))</f>
        <v>7898.2259999999997</v>
      </c>
      <c r="N556" s="9">
        <f ca="1">AVERAGE(E556:OFFSET(E556,-N$5+1,0))</f>
        <v>7795.2</v>
      </c>
      <c r="O556" s="9">
        <f t="shared" ca="1" si="109"/>
        <v>0</v>
      </c>
      <c r="P556" s="14">
        <f t="shared" si="114"/>
        <v>0.64690406949121038</v>
      </c>
      <c r="Q556" s="15">
        <f ca="1">STDEV(P556:OFFSET(P556,-$Q$5+1,0))</f>
        <v>0.52753730473724947</v>
      </c>
      <c r="R556" s="15">
        <f ca="1">STDEV(P556:OFFSET(P556,-$R$5+1,0))</f>
        <v>1.101650121493144</v>
      </c>
      <c r="S556" s="18">
        <f t="shared" si="101"/>
        <v>40.440000000000509</v>
      </c>
      <c r="T556" s="18">
        <f t="shared" si="102"/>
        <v>62.160000000000764</v>
      </c>
      <c r="U556" s="18">
        <f t="shared" si="110"/>
        <v>73.805039859473354</v>
      </c>
      <c r="V556" s="33">
        <f ca="1">AVERAGE(E556:OFFSET(E556,-V$5+1,0))</f>
        <v>7859.7585714285724</v>
      </c>
      <c r="W556" s="33">
        <f t="shared" ca="1" si="103"/>
        <v>7970.4661312177823</v>
      </c>
      <c r="X556" s="33">
        <f t="shared" ca="1" si="104"/>
        <v>7749.0510116393625</v>
      </c>
      <c r="Y556" s="32">
        <f t="shared" ca="1" si="111"/>
        <v>0</v>
      </c>
    </row>
    <row r="557" spans="1:25">
      <c r="A557" s="5">
        <v>39182</v>
      </c>
      <c r="B557" s="4">
        <v>8064.54</v>
      </c>
      <c r="C557" s="4">
        <v>8064.54</v>
      </c>
      <c r="D557" s="4">
        <v>8002.49</v>
      </c>
      <c r="E557" s="4">
        <v>8048.39</v>
      </c>
      <c r="F557" s="4">
        <v>4616600</v>
      </c>
      <c r="G557" s="8">
        <f t="shared" si="113"/>
        <v>7.9799999999995634</v>
      </c>
      <c r="H557" s="8">
        <f t="shared" si="112"/>
        <v>-16.149999999999636</v>
      </c>
      <c r="I557" s="20">
        <f t="shared" ca="1" si="105"/>
        <v>0</v>
      </c>
      <c r="J557" s="8">
        <f t="shared" ca="1" si="106"/>
        <v>3</v>
      </c>
      <c r="K557" s="8">
        <f t="shared" ca="1" si="107"/>
        <v>-24.510000000000218</v>
      </c>
      <c r="L557" s="8">
        <f t="shared" ca="1" si="108"/>
        <v>2827.9500000000016</v>
      </c>
      <c r="M557" s="9">
        <f ca="1">AVERAGE(E557:OFFSET(E557,-M$5+1,0))</f>
        <v>7917.1329999999989</v>
      </c>
      <c r="N557" s="9">
        <f ca="1">AVERAGE(E557:OFFSET(E557,-N$5+1,0))</f>
        <v>7819.2094999999999</v>
      </c>
      <c r="O557" s="9">
        <f t="shared" ca="1" si="109"/>
        <v>0</v>
      </c>
      <c r="P557" s="14">
        <f t="shared" si="114"/>
        <v>-0.10145949786683191</v>
      </c>
      <c r="Q557" s="15">
        <f ca="1">STDEV(P557:OFFSET(P557,-$Q$5+1,0))</f>
        <v>0.53785329408785854</v>
      </c>
      <c r="R557" s="15">
        <f ca="1">STDEV(P557:OFFSET(P557,-$R$5+1,0))</f>
        <v>1.1013788628737331</v>
      </c>
      <c r="S557" s="18">
        <f t="shared" si="101"/>
        <v>62.050000000000182</v>
      </c>
      <c r="T557" s="18">
        <f t="shared" si="102"/>
        <v>62.050000000000182</v>
      </c>
      <c r="U557" s="18">
        <f t="shared" si="110"/>
        <v>72.237701211543595</v>
      </c>
      <c r="V557" s="33">
        <f ca="1">AVERAGE(E557:OFFSET(E557,-V$5+1,0))</f>
        <v>7881.9678571428576</v>
      </c>
      <c r="W557" s="33">
        <f t="shared" ca="1" si="103"/>
        <v>7990.3244089601731</v>
      </c>
      <c r="X557" s="33">
        <f t="shared" ca="1" si="104"/>
        <v>7773.6113053255422</v>
      </c>
      <c r="Y557" s="32">
        <f t="shared" ca="1" si="111"/>
        <v>0</v>
      </c>
    </row>
    <row r="558" spans="1:25">
      <c r="A558" s="5">
        <v>39183</v>
      </c>
      <c r="B558" s="4">
        <v>8073.67</v>
      </c>
      <c r="C558" s="4">
        <v>8105.82</v>
      </c>
      <c r="D558" s="4">
        <v>8055.67</v>
      </c>
      <c r="E558" s="4">
        <v>8084.45</v>
      </c>
      <c r="F558" s="4">
        <v>4297800</v>
      </c>
      <c r="G558" s="8">
        <f t="shared" si="113"/>
        <v>25.279999999999745</v>
      </c>
      <c r="H558" s="8">
        <f t="shared" si="112"/>
        <v>10.779999999999745</v>
      </c>
      <c r="I558" s="20">
        <f t="shared" ca="1" si="105"/>
        <v>0</v>
      </c>
      <c r="J558" s="8">
        <f t="shared" ca="1" si="106"/>
        <v>3</v>
      </c>
      <c r="K558" s="8">
        <f t="shared" ca="1" si="107"/>
        <v>108.17999999999847</v>
      </c>
      <c r="L558" s="8">
        <f t="shared" ca="1" si="108"/>
        <v>2936.13</v>
      </c>
      <c r="M558" s="9">
        <f ca="1">AVERAGE(E558:OFFSET(E558,-M$5+1,0))</f>
        <v>7937.7959999999994</v>
      </c>
      <c r="N558" s="9">
        <f ca="1">AVERAGE(E558:OFFSET(E558,-N$5+1,0))</f>
        <v>7841.9745000000012</v>
      </c>
      <c r="O558" s="9">
        <f t="shared" ca="1" si="109"/>
        <v>0</v>
      </c>
      <c r="P558" s="14">
        <f t="shared" si="114"/>
        <v>0.44703920764250549</v>
      </c>
      <c r="Q558" s="15">
        <f ca="1">STDEV(P558:OFFSET(P558,-$Q$5+1,0))</f>
        <v>0.54189913122248023</v>
      </c>
      <c r="R558" s="15">
        <f ca="1">STDEV(P558:OFFSET(P558,-$R$5+1,0))</f>
        <v>1.0980560590829664</v>
      </c>
      <c r="S558" s="18">
        <f t="shared" si="101"/>
        <v>50.149999999999636</v>
      </c>
      <c r="T558" s="18">
        <f t="shared" si="102"/>
        <v>57.429999999999382</v>
      </c>
      <c r="U558" s="18">
        <f t="shared" si="110"/>
        <v>70.263341050004371</v>
      </c>
      <c r="V558" s="33">
        <f ca="1">AVERAGE(E558:OFFSET(E558,-V$5+1,0))</f>
        <v>7906.8428571428576</v>
      </c>
      <c r="W558" s="33">
        <f t="shared" ca="1" si="103"/>
        <v>8012.2378687178643</v>
      </c>
      <c r="X558" s="33">
        <f t="shared" ca="1" si="104"/>
        <v>7801.4478455678509</v>
      </c>
      <c r="Y558" s="32">
        <f t="shared" ca="1" si="111"/>
        <v>0</v>
      </c>
    </row>
    <row r="559" spans="1:25">
      <c r="A559" s="5">
        <v>39184</v>
      </c>
      <c r="B559" s="4">
        <v>8043.78</v>
      </c>
      <c r="C559" s="4">
        <v>8090.94</v>
      </c>
      <c r="D559" s="4">
        <v>8039.13</v>
      </c>
      <c r="E559" s="4">
        <v>8075.2</v>
      </c>
      <c r="F559" s="4">
        <v>4192200</v>
      </c>
      <c r="G559" s="8">
        <f t="shared" si="113"/>
        <v>-40.670000000000073</v>
      </c>
      <c r="H559" s="8">
        <f t="shared" si="112"/>
        <v>31.420000000000073</v>
      </c>
      <c r="I559" s="20">
        <f t="shared" ca="1" si="105"/>
        <v>0</v>
      </c>
      <c r="J559" s="8">
        <f t="shared" ca="1" si="106"/>
        <v>3</v>
      </c>
      <c r="K559" s="8">
        <f t="shared" ca="1" si="107"/>
        <v>-27.75</v>
      </c>
      <c r="L559" s="8">
        <f t="shared" ca="1" si="108"/>
        <v>2908.38</v>
      </c>
      <c r="M559" s="9">
        <f ca="1">AVERAGE(E559:OFFSET(E559,-M$5+1,0))</f>
        <v>7960.7989999999991</v>
      </c>
      <c r="N559" s="9">
        <f ca="1">AVERAGE(E559:OFFSET(E559,-N$5+1,0))</f>
        <v>7861.5345000000034</v>
      </c>
      <c r="O559" s="9">
        <f t="shared" ca="1" si="109"/>
        <v>0</v>
      </c>
      <c r="P559" s="14">
        <f t="shared" si="114"/>
        <v>-0.11448269003692826</v>
      </c>
      <c r="Q559" s="15">
        <f ca="1">STDEV(P559:OFFSET(P559,-$Q$5+1,0))</f>
        <v>0.50757395226760882</v>
      </c>
      <c r="R559" s="15">
        <f ca="1">STDEV(P559:OFFSET(P559,-$R$5+1,0))</f>
        <v>1.0985923754891527</v>
      </c>
      <c r="S559" s="18">
        <f t="shared" si="101"/>
        <v>51.809999999999491</v>
      </c>
      <c r="T559" s="18">
        <f t="shared" si="102"/>
        <v>51.809999999999491</v>
      </c>
      <c r="U559" s="18">
        <f t="shared" si="110"/>
        <v>67.802895576670394</v>
      </c>
      <c r="V559" s="33">
        <f ca="1">AVERAGE(E559:OFFSET(E559,-V$5+1,0))</f>
        <v>7929.5692857142849</v>
      </c>
      <c r="W559" s="33">
        <f t="shared" ca="1" si="103"/>
        <v>8031.2736290792909</v>
      </c>
      <c r="X559" s="33">
        <f t="shared" ca="1" si="104"/>
        <v>7827.8649423492789</v>
      </c>
      <c r="Y559" s="32">
        <f t="shared" ca="1" si="111"/>
        <v>0</v>
      </c>
    </row>
    <row r="560" spans="1:25">
      <c r="A560" s="5">
        <v>39185</v>
      </c>
      <c r="B560" s="4">
        <v>8100.08</v>
      </c>
      <c r="C560" s="4">
        <v>8108.5</v>
      </c>
      <c r="D560" s="4">
        <v>7999.69</v>
      </c>
      <c r="E560" s="4">
        <v>8002.3</v>
      </c>
      <c r="F560" s="4">
        <v>4552400</v>
      </c>
      <c r="G560" s="8">
        <f t="shared" si="113"/>
        <v>24.880000000000109</v>
      </c>
      <c r="H560" s="8">
        <f t="shared" si="112"/>
        <v>-97.779999999999745</v>
      </c>
      <c r="I560" s="20">
        <f t="shared" ca="1" si="105"/>
        <v>0</v>
      </c>
      <c r="J560" s="8">
        <f t="shared" ca="1" si="106"/>
        <v>3</v>
      </c>
      <c r="K560" s="8">
        <f t="shared" ca="1" si="107"/>
        <v>-218.69999999999891</v>
      </c>
      <c r="L560" s="8">
        <f t="shared" ca="1" si="108"/>
        <v>2689.6800000000012</v>
      </c>
      <c r="M560" s="9">
        <f ca="1">AVERAGE(E560:OFFSET(E560,-M$5+1,0))</f>
        <v>7982.2149999999992</v>
      </c>
      <c r="N560" s="9">
        <f ca="1">AVERAGE(E560:OFFSET(E560,-N$5+1,0))</f>
        <v>7883.1360000000013</v>
      </c>
      <c r="O560" s="9">
        <f t="shared" ca="1" si="109"/>
        <v>0</v>
      </c>
      <c r="P560" s="14">
        <f t="shared" si="114"/>
        <v>-0.90686362442303425</v>
      </c>
      <c r="Q560" s="15">
        <f ca="1">STDEV(P560:OFFSET(P560,-$Q$5+1,0))</f>
        <v>0.54854186116790848</v>
      </c>
      <c r="R560" s="15">
        <f ca="1">STDEV(P560:OFFSET(P560,-$R$5+1,0))</f>
        <v>1.1012530402169305</v>
      </c>
      <c r="S560" s="18">
        <f t="shared" si="101"/>
        <v>108.8100000000004</v>
      </c>
      <c r="T560" s="18">
        <f t="shared" si="102"/>
        <v>108.8100000000004</v>
      </c>
      <c r="U560" s="18">
        <f t="shared" si="110"/>
        <v>73.27050949978107</v>
      </c>
      <c r="V560" s="33">
        <f ca="1">AVERAGE(E560:OFFSET(E560,-V$5+1,0))</f>
        <v>7942.3285714285712</v>
      </c>
      <c r="W560" s="33">
        <f t="shared" ca="1" si="103"/>
        <v>8052.234335678243</v>
      </c>
      <c r="X560" s="33">
        <f t="shared" ca="1" si="104"/>
        <v>7832.4228071788993</v>
      </c>
      <c r="Y560" s="32">
        <f t="shared" ca="1" si="111"/>
        <v>0</v>
      </c>
    </row>
    <row r="561" spans="1:25">
      <c r="A561" s="5">
        <v>39188</v>
      </c>
      <c r="B561" s="4">
        <v>8088.83</v>
      </c>
      <c r="C561" s="4">
        <v>8096.84</v>
      </c>
      <c r="D561" s="4">
        <v>8030.5</v>
      </c>
      <c r="E561" s="4">
        <v>8043.54</v>
      </c>
      <c r="F561" s="4">
        <v>4500200</v>
      </c>
      <c r="G561" s="8">
        <f t="shared" si="113"/>
        <v>86.529999999999745</v>
      </c>
      <c r="H561" s="8">
        <f t="shared" si="112"/>
        <v>-45.289999999999964</v>
      </c>
      <c r="I561" s="20">
        <f t="shared" ca="1" si="105"/>
        <v>0</v>
      </c>
      <c r="J561" s="8">
        <f t="shared" ca="1" si="106"/>
        <v>3</v>
      </c>
      <c r="K561" s="8">
        <f t="shared" ca="1" si="107"/>
        <v>123.71999999999935</v>
      </c>
      <c r="L561" s="8">
        <f t="shared" ca="1" si="108"/>
        <v>2813.4000000000005</v>
      </c>
      <c r="M561" s="9">
        <f ca="1">AVERAGE(E561:OFFSET(E561,-M$5+1,0))</f>
        <v>8001.735999999999</v>
      </c>
      <c r="N561" s="9">
        <f ca="1">AVERAGE(E561:OFFSET(E561,-N$5+1,0))</f>
        <v>7900.5150000000012</v>
      </c>
      <c r="O561" s="9">
        <f t="shared" ca="1" si="109"/>
        <v>0</v>
      </c>
      <c r="P561" s="14">
        <f t="shared" si="114"/>
        <v>0.51402844357625643</v>
      </c>
      <c r="Q561" s="15">
        <f ca="1">STDEV(P561:OFFSET(P561,-$Q$5+1,0))</f>
        <v>0.52829566196875222</v>
      </c>
      <c r="R561" s="15">
        <f ca="1">STDEV(P561:OFFSET(P561,-$R$5+1,0))</f>
        <v>1.1034759738164637</v>
      </c>
      <c r="S561" s="18">
        <f t="shared" si="101"/>
        <v>66.340000000000146</v>
      </c>
      <c r="T561" s="18">
        <f t="shared" si="102"/>
        <v>94.539999999999964</v>
      </c>
      <c r="U561" s="18">
        <f t="shared" si="110"/>
        <v>76.106441566476931</v>
      </c>
      <c r="V561" s="33">
        <f ca="1">AVERAGE(E561:OFFSET(E561,-V$5+1,0))</f>
        <v>7955.4871428571414</v>
      </c>
      <c r="W561" s="33">
        <f t="shared" ca="1" si="103"/>
        <v>8069.6468052068567</v>
      </c>
      <c r="X561" s="33">
        <f t="shared" ca="1" si="104"/>
        <v>7841.3274805074261</v>
      </c>
      <c r="Y561" s="32">
        <f t="shared" ca="1" si="111"/>
        <v>0</v>
      </c>
    </row>
    <row r="562" spans="1:25">
      <c r="A562" s="5">
        <v>39189</v>
      </c>
      <c r="B562" s="4">
        <v>8100.61</v>
      </c>
      <c r="C562" s="4">
        <v>8100.61</v>
      </c>
      <c r="D562" s="4">
        <v>7952.18</v>
      </c>
      <c r="E562" s="4">
        <v>7959.29</v>
      </c>
      <c r="F562" s="4">
        <v>5567400</v>
      </c>
      <c r="G562" s="8">
        <f t="shared" si="113"/>
        <v>57.069999999999709</v>
      </c>
      <c r="H562" s="8">
        <f t="shared" si="112"/>
        <v>-141.31999999999971</v>
      </c>
      <c r="I562" s="20">
        <f t="shared" ca="1" si="105"/>
        <v>0</v>
      </c>
      <c r="J562" s="8">
        <f t="shared" ca="1" si="106"/>
        <v>3</v>
      </c>
      <c r="K562" s="8">
        <f t="shared" ca="1" si="107"/>
        <v>-252.75</v>
      </c>
      <c r="L562" s="8">
        <f t="shared" ca="1" si="108"/>
        <v>2560.6500000000005</v>
      </c>
      <c r="M562" s="9">
        <f ca="1">AVERAGE(E562:OFFSET(E562,-M$5+1,0))</f>
        <v>8009.2239999999993</v>
      </c>
      <c r="N562" s="9">
        <f ca="1">AVERAGE(E562:OFFSET(E562,-N$5+1,0))</f>
        <v>7912.4895000000006</v>
      </c>
      <c r="O562" s="9">
        <f t="shared" ca="1" si="109"/>
        <v>0</v>
      </c>
      <c r="P562" s="14">
        <f t="shared" si="114"/>
        <v>-1.0529484897198813</v>
      </c>
      <c r="Q562" s="15">
        <f ca="1">STDEV(P562:OFFSET(P562,-$Q$5+1,0))</f>
        <v>0.6603416778812079</v>
      </c>
      <c r="R562" s="15">
        <f ca="1">STDEV(P562:OFFSET(P562,-$R$5+1,0))</f>
        <v>1.1029171157008753</v>
      </c>
      <c r="S562" s="18">
        <f t="shared" si="101"/>
        <v>148.42999999999938</v>
      </c>
      <c r="T562" s="18">
        <f t="shared" si="102"/>
        <v>148.42999999999938</v>
      </c>
      <c r="U562" s="18">
        <f t="shared" si="110"/>
        <v>85.749582690946596</v>
      </c>
      <c r="V562" s="33">
        <f ca="1">AVERAGE(E562:OFFSET(E562,-V$5+1,0))</f>
        <v>7961.3064285714272</v>
      </c>
      <c r="W562" s="33">
        <f t="shared" ca="1" si="103"/>
        <v>8089.930802607847</v>
      </c>
      <c r="X562" s="33">
        <f t="shared" ca="1" si="104"/>
        <v>7832.6820545350074</v>
      </c>
      <c r="Y562" s="32">
        <f t="shared" ca="1" si="111"/>
        <v>0</v>
      </c>
    </row>
    <row r="563" spans="1:25">
      <c r="A563" s="5">
        <v>39190</v>
      </c>
      <c r="B563" s="4">
        <v>7981.36</v>
      </c>
      <c r="C563" s="4">
        <v>8003.31</v>
      </c>
      <c r="D563" s="4">
        <v>7946.35</v>
      </c>
      <c r="E563" s="4">
        <v>8003.31</v>
      </c>
      <c r="F563" s="4">
        <v>3931400</v>
      </c>
      <c r="G563" s="8">
        <f t="shared" si="113"/>
        <v>22.069999999999709</v>
      </c>
      <c r="H563" s="8">
        <f t="shared" si="112"/>
        <v>21.950000000000728</v>
      </c>
      <c r="I563" s="20">
        <f t="shared" ca="1" si="105"/>
        <v>0</v>
      </c>
      <c r="J563" s="8">
        <f t="shared" ca="1" si="106"/>
        <v>3</v>
      </c>
      <c r="K563" s="8">
        <f t="shared" ca="1" si="107"/>
        <v>132.06000000000131</v>
      </c>
      <c r="L563" s="8">
        <f t="shared" ca="1" si="108"/>
        <v>2692.7100000000019</v>
      </c>
      <c r="M563" s="9">
        <f ca="1">AVERAGE(E563:OFFSET(E563,-M$5+1,0))</f>
        <v>8021.0559999999996</v>
      </c>
      <c r="N563" s="9">
        <f ca="1">AVERAGE(E563:OFFSET(E563,-N$5+1,0))</f>
        <v>7925.7820000000011</v>
      </c>
      <c r="O563" s="9">
        <f t="shared" ca="1" si="109"/>
        <v>0</v>
      </c>
      <c r="P563" s="14">
        <f t="shared" si="114"/>
        <v>0.55154062107131341</v>
      </c>
      <c r="Q563" s="15">
        <f ca="1">STDEV(P563:OFFSET(P563,-$Q$5+1,0))</f>
        <v>0.67462848580483059</v>
      </c>
      <c r="R563" s="15">
        <f ca="1">STDEV(P563:OFFSET(P563,-$R$5+1,0))</f>
        <v>1.1044484689311562</v>
      </c>
      <c r="S563" s="18">
        <f t="shared" si="101"/>
        <v>56.960000000000036</v>
      </c>
      <c r="T563" s="18">
        <f t="shared" si="102"/>
        <v>56.960000000000036</v>
      </c>
      <c r="U563" s="18">
        <f t="shared" si="110"/>
        <v>81.910971665487054</v>
      </c>
      <c r="V563" s="33">
        <f ca="1">AVERAGE(E563:OFFSET(E563,-V$5+1,0))</f>
        <v>7972.6021428571412</v>
      </c>
      <c r="W563" s="33">
        <f t="shared" ca="1" si="103"/>
        <v>8095.4686003553716</v>
      </c>
      <c r="X563" s="33">
        <f t="shared" ca="1" si="104"/>
        <v>7849.7356853589108</v>
      </c>
      <c r="Y563" s="32">
        <f t="shared" ca="1" si="111"/>
        <v>0</v>
      </c>
    </row>
    <row r="564" spans="1:25">
      <c r="A564" s="5">
        <v>39191</v>
      </c>
      <c r="B564" s="4">
        <v>7978.59</v>
      </c>
      <c r="C564" s="4">
        <v>7991.69</v>
      </c>
      <c r="D564" s="4">
        <v>7883.92</v>
      </c>
      <c r="E564" s="4">
        <v>7888.63</v>
      </c>
      <c r="F564" s="4">
        <v>4428800</v>
      </c>
      <c r="G564" s="8">
        <f t="shared" si="113"/>
        <v>-24.720000000000255</v>
      </c>
      <c r="H564" s="8">
        <f t="shared" si="112"/>
        <v>-89.960000000000036</v>
      </c>
      <c r="I564" s="20">
        <f t="shared" ca="1" si="105"/>
        <v>0</v>
      </c>
      <c r="J564" s="8">
        <f t="shared" ca="1" si="106"/>
        <v>3</v>
      </c>
      <c r="K564" s="8">
        <f t="shared" ca="1" si="107"/>
        <v>-344.04000000000087</v>
      </c>
      <c r="L564" s="8">
        <f t="shared" ca="1" si="108"/>
        <v>2348.670000000001</v>
      </c>
      <c r="M564" s="9">
        <f ca="1">AVERAGE(E564:OFFSET(E564,-M$5+1,0))</f>
        <v>8016.6280000000015</v>
      </c>
      <c r="N564" s="9">
        <f ca="1">AVERAGE(E564:OFFSET(E564,-N$5+1,0))</f>
        <v>7933.4035000000003</v>
      </c>
      <c r="O564" s="9">
        <f t="shared" ca="1" si="109"/>
        <v>0</v>
      </c>
      <c r="P564" s="14">
        <f t="shared" si="114"/>
        <v>-1.443272384370593</v>
      </c>
      <c r="Q564" s="15">
        <f ca="1">STDEV(P564:OFFSET(P564,-$Q$5+1,0))</f>
        <v>0.81666958351331176</v>
      </c>
      <c r="R564" s="15">
        <f ca="1">STDEV(P564:OFFSET(P564,-$R$5+1,0))</f>
        <v>1.1292185675665931</v>
      </c>
      <c r="S564" s="18">
        <f t="shared" si="101"/>
        <v>107.76999999999953</v>
      </c>
      <c r="T564" s="18">
        <f t="shared" si="102"/>
        <v>119.39000000000033</v>
      </c>
      <c r="U564" s="18">
        <f t="shared" si="110"/>
        <v>86.908175443422152</v>
      </c>
      <c r="V564" s="33">
        <f ca="1">AVERAGE(E564:OFFSET(E564,-V$5+1,0))</f>
        <v>7979.7799999999988</v>
      </c>
      <c r="W564" s="33">
        <f t="shared" ca="1" si="103"/>
        <v>8110.1422631651321</v>
      </c>
      <c r="X564" s="33">
        <f t="shared" ca="1" si="104"/>
        <v>7849.4177368348655</v>
      </c>
      <c r="Y564" s="32">
        <f t="shared" ca="1" si="111"/>
        <v>0</v>
      </c>
    </row>
    <row r="565" spans="1:25">
      <c r="A565" s="5">
        <v>39192</v>
      </c>
      <c r="B565" s="4">
        <v>7915.91</v>
      </c>
      <c r="C565" s="4">
        <v>7945.7</v>
      </c>
      <c r="D565" s="4">
        <v>7912.49</v>
      </c>
      <c r="E565" s="4">
        <v>7942.67</v>
      </c>
      <c r="F565" s="4">
        <v>3683600</v>
      </c>
      <c r="G565" s="8">
        <f t="shared" si="113"/>
        <v>27.279999999999745</v>
      </c>
      <c r="H565" s="8">
        <f t="shared" si="112"/>
        <v>26.760000000000218</v>
      </c>
      <c r="I565" s="20">
        <f t="shared" ca="1" si="105"/>
        <v>0</v>
      </c>
      <c r="J565" s="8">
        <f t="shared" ca="1" si="106"/>
        <v>3</v>
      </c>
      <c r="K565" s="8">
        <f t="shared" ca="1" si="107"/>
        <v>162.11999999999989</v>
      </c>
      <c r="L565" s="8">
        <f t="shared" ca="1" si="108"/>
        <v>2510.7900000000009</v>
      </c>
      <c r="M565" s="9">
        <f ca="1">AVERAGE(E565:OFFSET(E565,-M$5+1,0))</f>
        <v>8010.4339999999993</v>
      </c>
      <c r="N565" s="9">
        <f ca="1">AVERAGE(E565:OFFSET(E565,-N$5+1,0))</f>
        <v>7942.6854999999996</v>
      </c>
      <c r="O565" s="9">
        <f t="shared" ca="1" si="109"/>
        <v>0</v>
      </c>
      <c r="P565" s="14">
        <f t="shared" si="114"/>
        <v>0.68270085073747</v>
      </c>
      <c r="Q565" s="15">
        <f ca="1">STDEV(P565:OFFSET(P565,-$Q$5+1,0))</f>
        <v>0.79092248558079958</v>
      </c>
      <c r="R565" s="15">
        <f ca="1">STDEV(P565:OFFSET(P565,-$R$5+1,0))</f>
        <v>1.133733762022906</v>
      </c>
      <c r="S565" s="18">
        <f t="shared" ref="S565:S628" si="115">C565-D565</f>
        <v>33.210000000000036</v>
      </c>
      <c r="T565" s="18">
        <f t="shared" ref="T565:T628" si="116">MAX(C565,E564)-MIN(D565,E564)</f>
        <v>57.069999999999709</v>
      </c>
      <c r="U565" s="18">
        <f t="shared" si="110"/>
        <v>82.929752050965831</v>
      </c>
      <c r="V565" s="33">
        <f ca="1">AVERAGE(E565:OFFSET(E565,-V$5+1,0))</f>
        <v>7986.5185714285699</v>
      </c>
      <c r="W565" s="33">
        <f t="shared" ref="W565:W628" ca="1" si="117">V565+W$5*U565</f>
        <v>8110.9131995050184</v>
      </c>
      <c r="X565" s="33">
        <f t="shared" ref="X565:X628" ca="1" si="118">V565-W$5*U565</f>
        <v>7862.1239433521214</v>
      </c>
      <c r="Y565" s="32">
        <f t="shared" ca="1" si="111"/>
        <v>0</v>
      </c>
    </row>
    <row r="566" spans="1:25">
      <c r="A566" s="5">
        <v>39195</v>
      </c>
      <c r="B566" s="4">
        <v>8009.55</v>
      </c>
      <c r="C566" s="4">
        <v>8062.7</v>
      </c>
      <c r="D566" s="4">
        <v>8006.42</v>
      </c>
      <c r="E566" s="4">
        <v>8010.46</v>
      </c>
      <c r="F566" s="4">
        <v>4000600</v>
      </c>
      <c r="G566" s="8">
        <f t="shared" si="113"/>
        <v>66.880000000000109</v>
      </c>
      <c r="H566" s="8">
        <f t="shared" si="112"/>
        <v>0.90999999999985448</v>
      </c>
      <c r="I566" s="20">
        <f t="shared" ref="I566:I629" ca="1" si="119">Y566</f>
        <v>0</v>
      </c>
      <c r="J566" s="8">
        <f t="shared" ref="J566:J629" ca="1" si="120">IF((J565+I565)&gt;=J$5,J$5,IF((J565+I565)&lt;=J$7,J$7,J565+I565))</f>
        <v>3</v>
      </c>
      <c r="K566" s="8">
        <f t="shared" ref="K566:K629" ca="1" si="121">J565*G566+J566*H566</f>
        <v>203.36999999999989</v>
      </c>
      <c r="L566" s="8">
        <f t="shared" ref="L566:L629" ca="1" si="122">L565+K566</f>
        <v>2714.1600000000008</v>
      </c>
      <c r="M566" s="9">
        <f ca="1">AVERAGE(E566:OFFSET(E566,-M$5+1,0))</f>
        <v>8005.8240000000005</v>
      </c>
      <c r="N566" s="9">
        <f ca="1">AVERAGE(E566:OFFSET(E566,-N$5+1,0))</f>
        <v>7952.0249999999996</v>
      </c>
      <c r="O566" s="9">
        <f t="shared" ref="O566:O629" ca="1" si="123">IF(AND(M565&lt;=N565,M566&gt;N566),1,IF(AND(M565&gt;=N565,M566&lt;N566),-1,0))</f>
        <v>0</v>
      </c>
      <c r="P566" s="14">
        <f t="shared" si="114"/>
        <v>0.84986968734866442</v>
      </c>
      <c r="Q566" s="15">
        <f ca="1">STDEV(P566:OFFSET(P566,-$Q$5+1,0))</f>
        <v>0.81385453218838777</v>
      </c>
      <c r="R566" s="15">
        <f ca="1">STDEV(P566:OFFSET(P566,-$R$5+1,0))</f>
        <v>1.1269087064514149</v>
      </c>
      <c r="S566" s="18">
        <f t="shared" si="115"/>
        <v>56.279999999999745</v>
      </c>
      <c r="T566" s="18">
        <f t="shared" si="116"/>
        <v>120.02999999999975</v>
      </c>
      <c r="U566" s="18">
        <f t="shared" ref="U566:U629" si="124">$U$5*T566+(1-$U$5)*U565</f>
        <v>87.876451777503689</v>
      </c>
      <c r="V566" s="33">
        <f ca="1">AVERAGE(E566:OFFSET(E566,-V$5+1,0))</f>
        <v>7995.5221428571431</v>
      </c>
      <c r="W566" s="33">
        <f t="shared" ca="1" si="117"/>
        <v>8127.3368205233983</v>
      </c>
      <c r="X566" s="33">
        <f t="shared" ca="1" si="118"/>
        <v>7863.7074651908879</v>
      </c>
      <c r="Y566" s="32">
        <f t="shared" ref="Y566:Y629" ca="1" si="125">IF(AND(E565&gt;X565,E566&lt;X566),-1,IF(AND(E565&lt;W565,E566&gt;W566),1,0))</f>
        <v>0</v>
      </c>
    </row>
    <row r="567" spans="1:25">
      <c r="A567" s="5">
        <v>39196</v>
      </c>
      <c r="B567" s="4">
        <v>8011.81</v>
      </c>
      <c r="C567" s="4">
        <v>8051.67</v>
      </c>
      <c r="D567" s="4">
        <v>7998.22</v>
      </c>
      <c r="E567" s="4">
        <v>8045.01</v>
      </c>
      <c r="F567" s="4">
        <v>4030600</v>
      </c>
      <c r="G567" s="8">
        <f t="shared" si="113"/>
        <v>1.3500000000003638</v>
      </c>
      <c r="H567" s="8">
        <f t="shared" si="112"/>
        <v>33.199999999999818</v>
      </c>
      <c r="I567" s="20">
        <f t="shared" ca="1" si="119"/>
        <v>0</v>
      </c>
      <c r="J567" s="8">
        <f t="shared" ca="1" si="120"/>
        <v>3</v>
      </c>
      <c r="K567" s="8">
        <f t="shared" ca="1" si="121"/>
        <v>103.65000000000055</v>
      </c>
      <c r="L567" s="8">
        <f t="shared" ca="1" si="122"/>
        <v>2817.8100000000013</v>
      </c>
      <c r="M567" s="9">
        <f ca="1">AVERAGE(E567:OFFSET(E567,-M$5+1,0))</f>
        <v>8005.485999999999</v>
      </c>
      <c r="N567" s="9">
        <f ca="1">AVERAGE(E567:OFFSET(E567,-N$5+1,0))</f>
        <v>7961.3094999999985</v>
      </c>
      <c r="O567" s="9">
        <f t="shared" ca="1" si="123"/>
        <v>0</v>
      </c>
      <c r="P567" s="14">
        <f t="shared" si="114"/>
        <v>0.43038358055909082</v>
      </c>
      <c r="Q567" s="15">
        <f ca="1">STDEV(P567:OFFSET(P567,-$Q$5+1,0))</f>
        <v>0.82791052193398984</v>
      </c>
      <c r="R567" s="15">
        <f ca="1">STDEV(P567:OFFSET(P567,-$R$5+1,0))</f>
        <v>1.1242207235705095</v>
      </c>
      <c r="S567" s="18">
        <f t="shared" si="115"/>
        <v>53.449999999999818</v>
      </c>
      <c r="T567" s="18">
        <f t="shared" si="116"/>
        <v>53.449999999999818</v>
      </c>
      <c r="U567" s="18">
        <f t="shared" si="124"/>
        <v>83.286258207169837</v>
      </c>
      <c r="V567" s="33">
        <f ca="1">AVERAGE(E567:OFFSET(E567,-V$5+1,0))</f>
        <v>8006.9521428571434</v>
      </c>
      <c r="W567" s="33">
        <f t="shared" ca="1" si="117"/>
        <v>8131.8815301678978</v>
      </c>
      <c r="X567" s="33">
        <f t="shared" ca="1" si="118"/>
        <v>7882.0227555463889</v>
      </c>
      <c r="Y567" s="32">
        <f t="shared" ca="1" si="125"/>
        <v>0</v>
      </c>
    </row>
    <row r="568" spans="1:25">
      <c r="A568" s="5">
        <v>39197</v>
      </c>
      <c r="B568" s="4">
        <v>8035.74</v>
      </c>
      <c r="C568" s="4">
        <v>8041.27</v>
      </c>
      <c r="D568" s="4">
        <v>7984.65</v>
      </c>
      <c r="E568" s="4">
        <v>7984.65</v>
      </c>
      <c r="F568" s="4">
        <v>3929400</v>
      </c>
      <c r="G568" s="8">
        <f t="shared" si="113"/>
        <v>-9.2700000000004366</v>
      </c>
      <c r="H568" s="8">
        <f t="shared" si="112"/>
        <v>-51.090000000000146</v>
      </c>
      <c r="I568" s="20">
        <f t="shared" ca="1" si="119"/>
        <v>0</v>
      </c>
      <c r="J568" s="8">
        <f t="shared" ca="1" si="120"/>
        <v>3</v>
      </c>
      <c r="K568" s="8">
        <f t="shared" ca="1" si="121"/>
        <v>-181.08000000000175</v>
      </c>
      <c r="L568" s="8">
        <f t="shared" ca="1" si="122"/>
        <v>2636.7299999999996</v>
      </c>
      <c r="M568" s="9">
        <f ca="1">AVERAGE(E568:OFFSET(E568,-M$5+1,0))</f>
        <v>7995.5059999999985</v>
      </c>
      <c r="N568" s="9">
        <f ca="1">AVERAGE(E568:OFFSET(E568,-N$5+1,0))</f>
        <v>7966.6509999999998</v>
      </c>
      <c r="O568" s="9">
        <f t="shared" ca="1" si="123"/>
        <v>0</v>
      </c>
      <c r="P568" s="14">
        <f t="shared" si="114"/>
        <v>-0.75310749306836478</v>
      </c>
      <c r="Q568" s="15">
        <f ca="1">STDEV(P568:OFFSET(P568,-$Q$5+1,0))</f>
        <v>0.84209604491346435</v>
      </c>
      <c r="R568" s="15">
        <f ca="1">STDEV(P568:OFFSET(P568,-$R$5+1,0))</f>
        <v>1.123681302461198</v>
      </c>
      <c r="S568" s="18">
        <f t="shared" si="115"/>
        <v>56.6200000000008</v>
      </c>
      <c r="T568" s="18">
        <f t="shared" si="116"/>
        <v>60.360000000000582</v>
      </c>
      <c r="U568" s="18">
        <f t="shared" si="124"/>
        <v>80.229423779547261</v>
      </c>
      <c r="V568" s="33">
        <f ca="1">AVERAGE(E568:OFFSET(E568,-V$5+1,0))</f>
        <v>8010.6478571428579</v>
      </c>
      <c r="W568" s="33">
        <f t="shared" ca="1" si="117"/>
        <v>8130.991992812179</v>
      </c>
      <c r="X568" s="33">
        <f t="shared" ca="1" si="118"/>
        <v>7890.3037214735368</v>
      </c>
      <c r="Y568" s="32">
        <f t="shared" ca="1" si="125"/>
        <v>0</v>
      </c>
    </row>
    <row r="569" spans="1:25">
      <c r="A569" s="5">
        <v>39198</v>
      </c>
      <c r="B569" s="4">
        <v>8046.72</v>
      </c>
      <c r="C569" s="4">
        <v>8052.55</v>
      </c>
      <c r="D569" s="4">
        <v>8000.04</v>
      </c>
      <c r="E569" s="4">
        <v>8000.04</v>
      </c>
      <c r="F569" s="4">
        <v>3566400</v>
      </c>
      <c r="G569" s="8">
        <f t="shared" si="113"/>
        <v>62.070000000000618</v>
      </c>
      <c r="H569" s="8">
        <f t="shared" si="112"/>
        <v>-46.680000000000291</v>
      </c>
      <c r="I569" s="20">
        <f t="shared" ca="1" si="119"/>
        <v>0</v>
      </c>
      <c r="J569" s="8">
        <f t="shared" ca="1" si="120"/>
        <v>3</v>
      </c>
      <c r="K569" s="8">
        <f t="shared" ca="1" si="121"/>
        <v>46.170000000000982</v>
      </c>
      <c r="L569" s="8">
        <f t="shared" ca="1" si="122"/>
        <v>2682.9000000000005</v>
      </c>
      <c r="M569" s="9">
        <f ca="1">AVERAGE(E569:OFFSET(E569,-M$5+1,0))</f>
        <v>7987.99</v>
      </c>
      <c r="N569" s="9">
        <f ca="1">AVERAGE(E569:OFFSET(E569,-N$5+1,0))</f>
        <v>7974.3944999999994</v>
      </c>
      <c r="O569" s="9">
        <f t="shared" ca="1" si="123"/>
        <v>0</v>
      </c>
      <c r="P569" s="14">
        <f t="shared" si="114"/>
        <v>0.19255931463660242</v>
      </c>
      <c r="Q569" s="15">
        <f ca="1">STDEV(P569:OFFSET(P569,-$Q$5+1,0))</f>
        <v>0.8480667951309272</v>
      </c>
      <c r="R569" s="15">
        <f ca="1">STDEV(P569:OFFSET(P569,-$R$5+1,0))</f>
        <v>1.1097423413947594</v>
      </c>
      <c r="S569" s="18">
        <f t="shared" si="115"/>
        <v>52.510000000000218</v>
      </c>
      <c r="T569" s="18">
        <f t="shared" si="116"/>
        <v>67.900000000000546</v>
      </c>
      <c r="U569" s="18">
        <f t="shared" si="124"/>
        <v>78.585500608941032</v>
      </c>
      <c r="V569" s="33">
        <f ca="1">AVERAGE(E569:OFFSET(E569,-V$5+1,0))</f>
        <v>8010.3214285714275</v>
      </c>
      <c r="W569" s="33">
        <f t="shared" ca="1" si="117"/>
        <v>8128.1996794848392</v>
      </c>
      <c r="X569" s="33">
        <f t="shared" ca="1" si="118"/>
        <v>7892.4431776580159</v>
      </c>
      <c r="Y569" s="32">
        <f t="shared" ca="1" si="125"/>
        <v>0</v>
      </c>
    </row>
    <row r="570" spans="1:25">
      <c r="A570" s="5">
        <v>39199</v>
      </c>
      <c r="B570" s="4">
        <v>8019.49</v>
      </c>
      <c r="C570" s="4">
        <v>8026.51</v>
      </c>
      <c r="D570" s="4">
        <v>7949.42</v>
      </c>
      <c r="E570" s="4">
        <v>7949.42</v>
      </c>
      <c r="F570" s="4">
        <v>3479200</v>
      </c>
      <c r="G570" s="8">
        <f t="shared" si="113"/>
        <v>19.449999999999818</v>
      </c>
      <c r="H570" s="8">
        <f t="shared" si="112"/>
        <v>-70.069999999999709</v>
      </c>
      <c r="I570" s="20">
        <f t="shared" ca="1" si="119"/>
        <v>0</v>
      </c>
      <c r="J570" s="8">
        <f t="shared" ca="1" si="120"/>
        <v>3</v>
      </c>
      <c r="K570" s="8">
        <f t="shared" ca="1" si="121"/>
        <v>-151.85999999999967</v>
      </c>
      <c r="L570" s="8">
        <f t="shared" ca="1" si="122"/>
        <v>2531.0400000000009</v>
      </c>
      <c r="M570" s="9">
        <f ca="1">AVERAGE(E570:OFFSET(E570,-M$5+1,0))</f>
        <v>7982.7020000000002</v>
      </c>
      <c r="N570" s="9">
        <f ca="1">AVERAGE(E570:OFFSET(E570,-N$5+1,0))</f>
        <v>7982.4585000000006</v>
      </c>
      <c r="O570" s="9">
        <f t="shared" ca="1" si="123"/>
        <v>0</v>
      </c>
      <c r="P570" s="14">
        <f t="shared" si="114"/>
        <v>-0.63475716373547797</v>
      </c>
      <c r="Q570" s="15">
        <f ca="1">STDEV(P570:OFFSET(P570,-$Q$5+1,0))</f>
        <v>0.82306718363451259</v>
      </c>
      <c r="R570" s="15">
        <f ca="1">STDEV(P570:OFFSET(P570,-$R$5+1,0))</f>
        <v>1.1147321085682182</v>
      </c>
      <c r="S570" s="18">
        <f t="shared" si="115"/>
        <v>77.090000000000146</v>
      </c>
      <c r="T570" s="18">
        <f t="shared" si="116"/>
        <v>77.090000000000146</v>
      </c>
      <c r="U570" s="18">
        <f t="shared" si="124"/>
        <v>78.386100527748908</v>
      </c>
      <c r="V570" s="33">
        <f ca="1">AVERAGE(E570:OFFSET(E570,-V$5+1,0))</f>
        <v>8002.6685714285704</v>
      </c>
      <c r="W570" s="33">
        <f t="shared" ca="1" si="117"/>
        <v>8120.2477222201942</v>
      </c>
      <c r="X570" s="33">
        <f t="shared" ca="1" si="118"/>
        <v>7885.0894206369467</v>
      </c>
      <c r="Y570" s="32">
        <f t="shared" ca="1" si="125"/>
        <v>0</v>
      </c>
    </row>
    <row r="571" spans="1:25">
      <c r="A571" s="5">
        <v>39202</v>
      </c>
      <c r="B571" s="4">
        <v>7956.03</v>
      </c>
      <c r="C571" s="4">
        <v>7956.03</v>
      </c>
      <c r="D571" s="4">
        <v>7843.05</v>
      </c>
      <c r="E571" s="4">
        <v>7875.42</v>
      </c>
      <c r="F571" s="4">
        <v>3466400</v>
      </c>
      <c r="G571" s="8">
        <f t="shared" si="113"/>
        <v>6.6099999999996726</v>
      </c>
      <c r="H571" s="8">
        <f t="shared" si="112"/>
        <v>-80.609999999999673</v>
      </c>
      <c r="I571" s="20">
        <f t="shared" ca="1" si="119"/>
        <v>0</v>
      </c>
      <c r="J571" s="8">
        <f t="shared" ca="1" si="120"/>
        <v>3</v>
      </c>
      <c r="K571" s="8">
        <f t="shared" ca="1" si="121"/>
        <v>-222</v>
      </c>
      <c r="L571" s="8">
        <f t="shared" ca="1" si="122"/>
        <v>2309.0400000000009</v>
      </c>
      <c r="M571" s="9">
        <f ca="1">AVERAGE(E571:OFFSET(E571,-M$5+1,0))</f>
        <v>7965.8900000000012</v>
      </c>
      <c r="N571" s="9">
        <f ca="1">AVERAGE(E571:OFFSET(E571,-N$5+1,0))</f>
        <v>7983.8130000000001</v>
      </c>
      <c r="O571" s="9">
        <f t="shared" ca="1" si="123"/>
        <v>-1</v>
      </c>
      <c r="P571" s="14">
        <f t="shared" si="114"/>
        <v>-0.93524534071227727</v>
      </c>
      <c r="Q571" s="15">
        <f ca="1">STDEV(P571:OFFSET(P571,-$Q$5+1,0))</f>
        <v>0.83700530148357288</v>
      </c>
      <c r="R571" s="15">
        <f ca="1">STDEV(P571:OFFSET(P571,-$R$5+1,0))</f>
        <v>1.0249400462076454</v>
      </c>
      <c r="S571" s="18">
        <f t="shared" si="115"/>
        <v>112.97999999999956</v>
      </c>
      <c r="T571" s="18">
        <f t="shared" si="116"/>
        <v>112.97999999999956</v>
      </c>
      <c r="U571" s="18">
        <f t="shared" si="124"/>
        <v>82.99862045738233</v>
      </c>
      <c r="V571" s="33">
        <f ca="1">AVERAGE(E571:OFFSET(E571,-V$5+1,0))</f>
        <v>7990.313571428569</v>
      </c>
      <c r="W571" s="33">
        <f t="shared" ca="1" si="117"/>
        <v>8114.8115021146423</v>
      </c>
      <c r="X571" s="33">
        <f t="shared" ca="1" si="118"/>
        <v>7865.8156407424958</v>
      </c>
      <c r="Y571" s="32">
        <f t="shared" ca="1" si="125"/>
        <v>0</v>
      </c>
    </row>
    <row r="572" spans="1:25">
      <c r="A572" s="5">
        <v>39204</v>
      </c>
      <c r="B572" s="4">
        <v>7900.76</v>
      </c>
      <c r="C572" s="4">
        <v>7951.69</v>
      </c>
      <c r="D572" s="4">
        <v>7890.54</v>
      </c>
      <c r="E572" s="4">
        <v>7903.04</v>
      </c>
      <c r="F572" s="4">
        <v>3193200</v>
      </c>
      <c r="G572" s="8">
        <f t="shared" si="113"/>
        <v>25.340000000000146</v>
      </c>
      <c r="H572" s="8">
        <f t="shared" si="112"/>
        <v>2.2799999999997453</v>
      </c>
      <c r="I572" s="20">
        <f t="shared" ca="1" si="119"/>
        <v>0</v>
      </c>
      <c r="J572" s="8">
        <f t="shared" ca="1" si="120"/>
        <v>3</v>
      </c>
      <c r="K572" s="8">
        <f t="shared" ca="1" si="121"/>
        <v>82.859999999999673</v>
      </c>
      <c r="L572" s="8">
        <f t="shared" ca="1" si="122"/>
        <v>2391.9000000000005</v>
      </c>
      <c r="M572" s="9">
        <f ca="1">AVERAGE(E572:OFFSET(E572,-M$5+1,0))</f>
        <v>7960.2649999999994</v>
      </c>
      <c r="N572" s="9">
        <f ca="1">AVERAGE(E572:OFFSET(E572,-N$5+1,0))</f>
        <v>7984.7445000000007</v>
      </c>
      <c r="O572" s="9">
        <f t="shared" ca="1" si="123"/>
        <v>0</v>
      </c>
      <c r="P572" s="14">
        <f t="shared" si="114"/>
        <v>0.35009789562714461</v>
      </c>
      <c r="Q572" s="15">
        <f ca="1">STDEV(P572:OFFSET(P572,-$Q$5+1,0))</f>
        <v>0.79686465054822175</v>
      </c>
      <c r="R572" s="15">
        <f ca="1">STDEV(P572:OFFSET(P572,-$R$5+1,0))</f>
        <v>1.0255594424692147</v>
      </c>
      <c r="S572" s="18">
        <f t="shared" si="115"/>
        <v>61.149999999999636</v>
      </c>
      <c r="T572" s="18">
        <f t="shared" si="116"/>
        <v>76.269999999999527</v>
      </c>
      <c r="U572" s="18">
        <f t="shared" si="124"/>
        <v>82.101471063064622</v>
      </c>
      <c r="V572" s="33">
        <f ca="1">AVERAGE(E572:OFFSET(E572,-V$5+1,0))</f>
        <v>7977.3557142857117</v>
      </c>
      <c r="W572" s="33">
        <f t="shared" ca="1" si="117"/>
        <v>8100.507920880309</v>
      </c>
      <c r="X572" s="33">
        <f t="shared" ca="1" si="118"/>
        <v>7854.2035076911143</v>
      </c>
      <c r="Y572" s="32">
        <f t="shared" ca="1" si="125"/>
        <v>0</v>
      </c>
    </row>
    <row r="573" spans="1:25">
      <c r="A573" s="5">
        <v>39205</v>
      </c>
      <c r="B573" s="4">
        <v>7954.16</v>
      </c>
      <c r="C573" s="4">
        <v>7965.93</v>
      </c>
      <c r="D573" s="4">
        <v>7861.43</v>
      </c>
      <c r="E573" s="4">
        <v>7926.66</v>
      </c>
      <c r="F573" s="4">
        <v>4287600</v>
      </c>
      <c r="G573" s="8">
        <f t="shared" si="113"/>
        <v>51.119999999999891</v>
      </c>
      <c r="H573" s="8">
        <f t="shared" si="112"/>
        <v>-27.5</v>
      </c>
      <c r="I573" s="20">
        <f t="shared" ca="1" si="119"/>
        <v>0</v>
      </c>
      <c r="J573" s="8">
        <f t="shared" ca="1" si="120"/>
        <v>3</v>
      </c>
      <c r="K573" s="8">
        <f t="shared" ca="1" si="121"/>
        <v>70.859999999999673</v>
      </c>
      <c r="L573" s="8">
        <f t="shared" ca="1" si="122"/>
        <v>2462.7600000000002</v>
      </c>
      <c r="M573" s="9">
        <f ca="1">AVERAGE(E573:OFFSET(E573,-M$5+1,0))</f>
        <v>7952.6</v>
      </c>
      <c r="N573" s="9">
        <f ca="1">AVERAGE(E573:OFFSET(E573,-N$5+1,0))</f>
        <v>7986.8280000000013</v>
      </c>
      <c r="O573" s="9">
        <f t="shared" ca="1" si="123"/>
        <v>0</v>
      </c>
      <c r="P573" s="14">
        <f t="shared" si="114"/>
        <v>0.29842659721492898</v>
      </c>
      <c r="Q573" s="15">
        <f ca="1">STDEV(P573:OFFSET(P573,-$Q$5+1,0))</f>
        <v>0.77870911087760297</v>
      </c>
      <c r="R573" s="15">
        <f ca="1">STDEV(P573:OFFSET(P573,-$R$5+1,0))</f>
        <v>0.73364377931098579</v>
      </c>
      <c r="S573" s="18">
        <f t="shared" si="115"/>
        <v>104.5</v>
      </c>
      <c r="T573" s="18">
        <f t="shared" si="116"/>
        <v>104.5</v>
      </c>
      <c r="U573" s="18">
        <f t="shared" si="124"/>
        <v>85.087941587989349</v>
      </c>
      <c r="V573" s="33">
        <f ca="1">AVERAGE(E573:OFFSET(E573,-V$5+1,0))</f>
        <v>7966.7457142857138</v>
      </c>
      <c r="W573" s="33">
        <f t="shared" ca="1" si="117"/>
        <v>8094.3776266676978</v>
      </c>
      <c r="X573" s="33">
        <f t="shared" ca="1" si="118"/>
        <v>7839.1138019037298</v>
      </c>
      <c r="Y573" s="32">
        <f t="shared" ca="1" si="125"/>
        <v>0</v>
      </c>
    </row>
    <row r="574" spans="1:25">
      <c r="A574" s="5">
        <v>39206</v>
      </c>
      <c r="B574" s="4">
        <v>7990.97</v>
      </c>
      <c r="C574" s="4">
        <v>8066.06</v>
      </c>
      <c r="D574" s="4">
        <v>7990.97</v>
      </c>
      <c r="E574" s="4">
        <v>8066.06</v>
      </c>
      <c r="F574" s="4">
        <v>3767600</v>
      </c>
      <c r="G574" s="8">
        <f t="shared" si="113"/>
        <v>64.3100000000004</v>
      </c>
      <c r="H574" s="8">
        <f t="shared" si="112"/>
        <v>75.090000000000146</v>
      </c>
      <c r="I574" s="20">
        <f t="shared" ca="1" si="119"/>
        <v>0</v>
      </c>
      <c r="J574" s="8">
        <f t="shared" ca="1" si="120"/>
        <v>3</v>
      </c>
      <c r="K574" s="8">
        <f t="shared" ca="1" si="121"/>
        <v>418.20000000000164</v>
      </c>
      <c r="L574" s="8">
        <f t="shared" ca="1" si="122"/>
        <v>2880.9600000000019</v>
      </c>
      <c r="M574" s="9">
        <f ca="1">AVERAGE(E574:OFFSET(E574,-M$5+1,0))</f>
        <v>7970.3429999999989</v>
      </c>
      <c r="N574" s="9">
        <f ca="1">AVERAGE(E574:OFFSET(E574,-N$5+1,0))</f>
        <v>7993.4855000000007</v>
      </c>
      <c r="O574" s="9">
        <f t="shared" ca="1" si="123"/>
        <v>0</v>
      </c>
      <c r="P574" s="14">
        <f t="shared" si="114"/>
        <v>1.7433373503522656</v>
      </c>
      <c r="Q574" s="15">
        <f ca="1">STDEV(P574:OFFSET(P574,-$Q$5+1,0))</f>
        <v>0.81728248468497278</v>
      </c>
      <c r="R574" s="15">
        <f ca="1">STDEV(P574:OFFSET(P574,-$R$5+1,0))</f>
        <v>0.74832518176518947</v>
      </c>
      <c r="S574" s="18">
        <f t="shared" si="115"/>
        <v>75.090000000000146</v>
      </c>
      <c r="T574" s="18">
        <f t="shared" si="116"/>
        <v>139.40000000000055</v>
      </c>
      <c r="U574" s="18">
        <f t="shared" si="124"/>
        <v>92.329549376257518</v>
      </c>
      <c r="V574" s="33">
        <f ca="1">AVERAGE(E574:OFFSET(E574,-V$5+1,0))</f>
        <v>7971.3</v>
      </c>
      <c r="W574" s="33">
        <f t="shared" ca="1" si="117"/>
        <v>8109.7943240643863</v>
      </c>
      <c r="X574" s="33">
        <f t="shared" ca="1" si="118"/>
        <v>7832.8056759356141</v>
      </c>
      <c r="Y574" s="32">
        <f t="shared" ca="1" si="125"/>
        <v>0</v>
      </c>
    </row>
    <row r="575" spans="1:25">
      <c r="A575" s="5">
        <v>39209</v>
      </c>
      <c r="B575" s="4">
        <v>8122.2</v>
      </c>
      <c r="C575" s="4">
        <v>8132.8</v>
      </c>
      <c r="D575" s="4">
        <v>8095.04</v>
      </c>
      <c r="E575" s="4">
        <v>8115.27</v>
      </c>
      <c r="F575" s="4">
        <v>3750000</v>
      </c>
      <c r="G575" s="8">
        <f t="shared" si="113"/>
        <v>56.139999999999418</v>
      </c>
      <c r="H575" s="8">
        <f t="shared" si="112"/>
        <v>-6.9299999999993815</v>
      </c>
      <c r="I575" s="20">
        <f t="shared" ca="1" si="119"/>
        <v>1</v>
      </c>
      <c r="J575" s="8">
        <f t="shared" ca="1" si="120"/>
        <v>3</v>
      </c>
      <c r="K575" s="8">
        <f t="shared" ca="1" si="121"/>
        <v>147.63000000000011</v>
      </c>
      <c r="L575" s="8">
        <f t="shared" ca="1" si="122"/>
        <v>3028.590000000002</v>
      </c>
      <c r="M575" s="9">
        <f ca="1">AVERAGE(E575:OFFSET(E575,-M$5+1,0))</f>
        <v>7987.6030000000001</v>
      </c>
      <c r="N575" s="9">
        <f ca="1">AVERAGE(E575:OFFSET(E575,-N$5+1,0))</f>
        <v>7999.0184999999983</v>
      </c>
      <c r="O575" s="9">
        <f t="shared" ca="1" si="123"/>
        <v>0</v>
      </c>
      <c r="P575" s="14">
        <f t="shared" si="114"/>
        <v>0.60823370773002539</v>
      </c>
      <c r="Q575" s="15">
        <f ca="1">STDEV(P575:OFFSET(P575,-$Q$5+1,0))</f>
        <v>0.81295046522330738</v>
      </c>
      <c r="R575" s="15">
        <f ca="1">STDEV(P575:OFFSET(P575,-$R$5+1,0))</f>
        <v>0.75048874547785072</v>
      </c>
      <c r="S575" s="18">
        <f t="shared" si="115"/>
        <v>37.760000000000218</v>
      </c>
      <c r="T575" s="18">
        <f t="shared" si="116"/>
        <v>66.739999999999782</v>
      </c>
      <c r="U575" s="18">
        <f t="shared" si="124"/>
        <v>88.917609459423161</v>
      </c>
      <c r="V575" s="33">
        <f ca="1">AVERAGE(E575:OFFSET(E575,-V$5+1,0))</f>
        <v>7976.4235714285724</v>
      </c>
      <c r="W575" s="33">
        <f t="shared" ca="1" si="117"/>
        <v>8109.7999856177075</v>
      </c>
      <c r="X575" s="33">
        <f t="shared" ca="1" si="118"/>
        <v>7843.0471572394372</v>
      </c>
      <c r="Y575" s="32">
        <f t="shared" ca="1" si="125"/>
        <v>1</v>
      </c>
    </row>
    <row r="576" spans="1:25">
      <c r="A576" s="5">
        <v>39210</v>
      </c>
      <c r="B576" s="4">
        <v>8111.51</v>
      </c>
      <c r="C576" s="4">
        <v>8113.31</v>
      </c>
      <c r="D576" s="4">
        <v>8083.18</v>
      </c>
      <c r="E576" s="4">
        <v>8095.84</v>
      </c>
      <c r="F576" s="4">
        <v>2965800</v>
      </c>
      <c r="G576" s="8">
        <f t="shared" si="113"/>
        <v>-3.7600000000002183</v>
      </c>
      <c r="H576" s="8">
        <f t="shared" si="112"/>
        <v>-15.670000000000073</v>
      </c>
      <c r="I576" s="20">
        <f t="shared" ca="1" si="119"/>
        <v>0</v>
      </c>
      <c r="J576" s="8">
        <f t="shared" ca="1" si="120"/>
        <v>3</v>
      </c>
      <c r="K576" s="8">
        <f t="shared" ca="1" si="121"/>
        <v>-58.290000000000873</v>
      </c>
      <c r="L576" s="8">
        <f t="shared" ca="1" si="122"/>
        <v>2970.3000000000011</v>
      </c>
      <c r="M576" s="9">
        <f ca="1">AVERAGE(E576:OFFSET(E576,-M$5+1,0))</f>
        <v>7996.1410000000005</v>
      </c>
      <c r="N576" s="9">
        <f ca="1">AVERAGE(E576:OFFSET(E576,-N$5+1,0))</f>
        <v>8000.9824999999983</v>
      </c>
      <c r="O576" s="9">
        <f t="shared" ca="1" si="123"/>
        <v>0</v>
      </c>
      <c r="P576" s="14">
        <f t="shared" si="114"/>
        <v>-0.23971226281296931</v>
      </c>
      <c r="Q576" s="15">
        <f ca="1">STDEV(P576:OFFSET(P576,-$Q$5+1,0))</f>
        <v>0.79112697253862263</v>
      </c>
      <c r="R576" s="15">
        <f ca="1">STDEV(P576:OFFSET(P576,-$R$5+1,0))</f>
        <v>0.73456131280048187</v>
      </c>
      <c r="S576" s="18">
        <f t="shared" si="115"/>
        <v>30.130000000000109</v>
      </c>
      <c r="T576" s="18">
        <f t="shared" si="116"/>
        <v>32.090000000000146</v>
      </c>
      <c r="U576" s="18">
        <f t="shared" si="124"/>
        <v>81.34059486483342</v>
      </c>
      <c r="V576" s="33">
        <f ca="1">AVERAGE(E576:OFFSET(E576,-V$5+1,0))</f>
        <v>7986.1771428571428</v>
      </c>
      <c r="W576" s="33">
        <f t="shared" ca="1" si="117"/>
        <v>8108.1880351543932</v>
      </c>
      <c r="X576" s="33">
        <f t="shared" ca="1" si="118"/>
        <v>7864.1662505598924</v>
      </c>
      <c r="Y576" s="32">
        <f t="shared" ca="1" si="125"/>
        <v>0</v>
      </c>
    </row>
    <row r="577" spans="1:25">
      <c r="A577" s="5">
        <v>39211</v>
      </c>
      <c r="B577" s="4">
        <v>8092.1</v>
      </c>
      <c r="C577" s="4">
        <v>8093.51</v>
      </c>
      <c r="D577" s="4">
        <v>8043.46</v>
      </c>
      <c r="E577" s="4">
        <v>8052.7</v>
      </c>
      <c r="F577" s="4">
        <v>2886200</v>
      </c>
      <c r="G577" s="8">
        <f t="shared" si="113"/>
        <v>-3.7399999999997817</v>
      </c>
      <c r="H577" s="8">
        <f t="shared" si="112"/>
        <v>-39.400000000000546</v>
      </c>
      <c r="I577" s="20">
        <f t="shared" ca="1" si="119"/>
        <v>0</v>
      </c>
      <c r="J577" s="8">
        <f t="shared" ca="1" si="120"/>
        <v>3</v>
      </c>
      <c r="K577" s="8">
        <f t="shared" ca="1" si="121"/>
        <v>-129.42000000000098</v>
      </c>
      <c r="L577" s="8">
        <f t="shared" ca="1" si="122"/>
        <v>2840.88</v>
      </c>
      <c r="M577" s="9">
        <f ca="1">AVERAGE(E577:OFFSET(E577,-M$5+1,0))</f>
        <v>7996.9099999999989</v>
      </c>
      <c r="N577" s="9">
        <f ca="1">AVERAGE(E577:OFFSET(E577,-N$5+1,0))</f>
        <v>8001.1979999999985</v>
      </c>
      <c r="O577" s="9">
        <f t="shared" ca="1" si="123"/>
        <v>0</v>
      </c>
      <c r="P577" s="14">
        <f t="shared" si="114"/>
        <v>-0.53429105820482403</v>
      </c>
      <c r="Q577" s="15">
        <f ca="1">STDEV(P577:OFFSET(P577,-$Q$5+1,0))</f>
        <v>0.8058581971969998</v>
      </c>
      <c r="R577" s="15">
        <f ca="1">STDEV(P577:OFFSET(P577,-$R$5+1,0))</f>
        <v>0.74198799282667838</v>
      </c>
      <c r="S577" s="18">
        <f t="shared" si="115"/>
        <v>50.050000000000182</v>
      </c>
      <c r="T577" s="18">
        <f t="shared" si="116"/>
        <v>52.380000000000109</v>
      </c>
      <c r="U577" s="18">
        <f t="shared" si="124"/>
        <v>77.479182216188974</v>
      </c>
      <c r="V577" s="33">
        <f ca="1">AVERAGE(E577:OFFSET(E577,-V$5+1,0))</f>
        <v>7989.7049999999999</v>
      </c>
      <c r="W577" s="33">
        <f t="shared" ca="1" si="117"/>
        <v>8105.9237733242835</v>
      </c>
      <c r="X577" s="33">
        <f t="shared" ca="1" si="118"/>
        <v>7873.4862266757164</v>
      </c>
      <c r="Y577" s="32">
        <f t="shared" ca="1" si="125"/>
        <v>0</v>
      </c>
    </row>
    <row r="578" spans="1:25">
      <c r="A578" s="5">
        <v>39212</v>
      </c>
      <c r="B578" s="4">
        <v>8094.72</v>
      </c>
      <c r="C578" s="4">
        <v>8105.09</v>
      </c>
      <c r="D578" s="4">
        <v>8071.5</v>
      </c>
      <c r="E578" s="4">
        <v>8096.86</v>
      </c>
      <c r="F578" s="4">
        <v>3357000</v>
      </c>
      <c r="G578" s="8">
        <f t="shared" si="113"/>
        <v>42.020000000000437</v>
      </c>
      <c r="H578" s="8">
        <f t="shared" si="112"/>
        <v>2.1399999999994179</v>
      </c>
      <c r="I578" s="20">
        <f t="shared" ca="1" si="119"/>
        <v>0</v>
      </c>
      <c r="J578" s="8">
        <f t="shared" ca="1" si="120"/>
        <v>3</v>
      </c>
      <c r="K578" s="8">
        <f t="shared" ca="1" si="121"/>
        <v>132.47999999999956</v>
      </c>
      <c r="L578" s="8">
        <f t="shared" ca="1" si="122"/>
        <v>2973.3599999999997</v>
      </c>
      <c r="M578" s="9">
        <f ca="1">AVERAGE(E578:OFFSET(E578,-M$5+1,0))</f>
        <v>8008.1309999999994</v>
      </c>
      <c r="N578" s="9">
        <f ca="1">AVERAGE(E578:OFFSET(E578,-N$5+1,0))</f>
        <v>8001.8184999999985</v>
      </c>
      <c r="O578" s="9">
        <f t="shared" ca="1" si="123"/>
        <v>1</v>
      </c>
      <c r="P578" s="14">
        <f t="shared" si="114"/>
        <v>0.54688932781209143</v>
      </c>
      <c r="Q578" s="15">
        <f ca="1">STDEV(P578:OFFSET(P578,-$Q$5+1,0))</f>
        <v>0.77335804786341922</v>
      </c>
      <c r="R578" s="15">
        <f ca="1">STDEV(P578:OFFSET(P578,-$R$5+1,0))</f>
        <v>0.73736458803344007</v>
      </c>
      <c r="S578" s="18">
        <f t="shared" si="115"/>
        <v>33.590000000000146</v>
      </c>
      <c r="T578" s="18">
        <f t="shared" si="116"/>
        <v>52.390000000000327</v>
      </c>
      <c r="U578" s="18">
        <f t="shared" si="124"/>
        <v>74.133957920697156</v>
      </c>
      <c r="V578" s="33">
        <f ca="1">AVERAGE(E578:OFFSET(E578,-V$5+1,0))</f>
        <v>8004.5785714285712</v>
      </c>
      <c r="W578" s="33">
        <f t="shared" ca="1" si="117"/>
        <v>8115.7795083096171</v>
      </c>
      <c r="X578" s="33">
        <f t="shared" ca="1" si="118"/>
        <v>7893.3776345475253</v>
      </c>
      <c r="Y578" s="32">
        <f t="shared" ca="1" si="125"/>
        <v>0</v>
      </c>
    </row>
    <row r="579" spans="1:25">
      <c r="A579" s="5">
        <v>39213</v>
      </c>
      <c r="B579" s="4">
        <v>8026.36</v>
      </c>
      <c r="C579" s="4">
        <v>8049.5</v>
      </c>
      <c r="D579" s="4">
        <v>8018.64</v>
      </c>
      <c r="E579" s="4">
        <v>8031.54</v>
      </c>
      <c r="F579" s="4">
        <v>2934200</v>
      </c>
      <c r="G579" s="8">
        <f t="shared" si="113"/>
        <v>-70.5</v>
      </c>
      <c r="H579" s="8">
        <f t="shared" si="112"/>
        <v>5.180000000000291</v>
      </c>
      <c r="I579" s="20">
        <f t="shared" ca="1" si="119"/>
        <v>0</v>
      </c>
      <c r="J579" s="8">
        <f t="shared" ca="1" si="120"/>
        <v>3</v>
      </c>
      <c r="K579" s="8">
        <f t="shared" ca="1" si="121"/>
        <v>-195.95999999999913</v>
      </c>
      <c r="L579" s="8">
        <f t="shared" ca="1" si="122"/>
        <v>2777.4000000000005</v>
      </c>
      <c r="M579" s="9">
        <f ca="1">AVERAGE(E579:OFFSET(E579,-M$5+1,0))</f>
        <v>8011.2809999999981</v>
      </c>
      <c r="N579" s="9">
        <f ca="1">AVERAGE(E579:OFFSET(E579,-N$5+1,0))</f>
        <v>7999.6354999999994</v>
      </c>
      <c r="O579" s="9">
        <f t="shared" ca="1" si="123"/>
        <v>0</v>
      </c>
      <c r="P579" s="14">
        <f t="shared" si="114"/>
        <v>-0.81000418070479174</v>
      </c>
      <c r="Q579" s="15">
        <f ca="1">STDEV(P579:OFFSET(P579,-$Q$5+1,0))</f>
        <v>0.82872603189375693</v>
      </c>
      <c r="R579" s="15">
        <f ca="1">STDEV(P579:OFFSET(P579,-$R$5+1,0))</f>
        <v>0.74667317961280344</v>
      </c>
      <c r="S579" s="18">
        <f t="shared" si="115"/>
        <v>30.859999999999673</v>
      </c>
      <c r="T579" s="18">
        <f t="shared" si="116"/>
        <v>78.219999999999345</v>
      </c>
      <c r="U579" s="18">
        <f t="shared" si="124"/>
        <v>74.678763531270789</v>
      </c>
      <c r="V579" s="33">
        <f ca="1">AVERAGE(E579:OFFSET(E579,-V$5+1,0))</f>
        <v>8010.926428571428</v>
      </c>
      <c r="W579" s="33">
        <f t="shared" ca="1" si="117"/>
        <v>8122.9445738683344</v>
      </c>
      <c r="X579" s="33">
        <f t="shared" ca="1" si="118"/>
        <v>7898.9082832745216</v>
      </c>
      <c r="Y579" s="32">
        <f t="shared" ca="1" si="125"/>
        <v>0</v>
      </c>
    </row>
    <row r="580" spans="1:25">
      <c r="A580" s="5">
        <v>39216</v>
      </c>
      <c r="B580" s="4">
        <v>8072.15</v>
      </c>
      <c r="C580" s="4">
        <v>8072.15</v>
      </c>
      <c r="D580" s="4">
        <v>8013.83</v>
      </c>
      <c r="E580" s="4">
        <v>8030.56</v>
      </c>
      <c r="F580" s="4">
        <v>2857600</v>
      </c>
      <c r="G580" s="8">
        <f t="shared" si="113"/>
        <v>40.609999999999673</v>
      </c>
      <c r="H580" s="8">
        <f t="shared" ref="H580:H643" si="126">E580-B580</f>
        <v>-41.589999999999236</v>
      </c>
      <c r="I580" s="20">
        <f t="shared" ca="1" si="119"/>
        <v>0</v>
      </c>
      <c r="J580" s="8">
        <f t="shared" ca="1" si="120"/>
        <v>3</v>
      </c>
      <c r="K580" s="8">
        <f t="shared" ca="1" si="121"/>
        <v>-2.9399999999986903</v>
      </c>
      <c r="L580" s="8">
        <f t="shared" ca="1" si="122"/>
        <v>2774.4600000000019</v>
      </c>
      <c r="M580" s="9">
        <f ca="1">AVERAGE(E580:OFFSET(E580,-M$5+1,0))</f>
        <v>8019.3949999999986</v>
      </c>
      <c r="N580" s="9">
        <f ca="1">AVERAGE(E580:OFFSET(E580,-N$5+1,0))</f>
        <v>8001.0484999999999</v>
      </c>
      <c r="O580" s="9">
        <f t="shared" ca="1" si="123"/>
        <v>0</v>
      </c>
      <c r="P580" s="14">
        <f t="shared" si="114"/>
        <v>-1.2202638524422549E-2</v>
      </c>
      <c r="Q580" s="15">
        <f ca="1">STDEV(P580:OFFSET(P580,-$Q$5+1,0))</f>
        <v>0.79516781598398523</v>
      </c>
      <c r="R580" s="15">
        <f ca="1">STDEV(P580:OFFSET(P580,-$R$5+1,0))</f>
        <v>0.70051507760358489</v>
      </c>
      <c r="S580" s="18">
        <f t="shared" si="115"/>
        <v>58.319999999999709</v>
      </c>
      <c r="T580" s="18">
        <f t="shared" si="116"/>
        <v>58.319999999999709</v>
      </c>
      <c r="U580" s="18">
        <f t="shared" si="124"/>
        <v>72.497595060434634</v>
      </c>
      <c r="V580" s="33">
        <f ca="1">AVERAGE(E580:OFFSET(E580,-V$5+1,0))</f>
        <v>8012.3621428571423</v>
      </c>
      <c r="W580" s="33">
        <f t="shared" ca="1" si="117"/>
        <v>8121.1085354477946</v>
      </c>
      <c r="X580" s="33">
        <f t="shared" ca="1" si="118"/>
        <v>7903.6157502664901</v>
      </c>
      <c r="Y580" s="32">
        <f t="shared" ca="1" si="125"/>
        <v>0</v>
      </c>
    </row>
    <row r="581" spans="1:25">
      <c r="A581" s="5">
        <v>39217</v>
      </c>
      <c r="B581" s="4">
        <v>8022.58</v>
      </c>
      <c r="C581" s="4">
        <v>8041.55</v>
      </c>
      <c r="D581" s="4">
        <v>7968.92</v>
      </c>
      <c r="E581" s="4">
        <v>7975.03</v>
      </c>
      <c r="F581" s="4">
        <v>2612000</v>
      </c>
      <c r="G581" s="8">
        <f t="shared" ref="G581:G644" si="127">B581-E580</f>
        <v>-7.9800000000004729</v>
      </c>
      <c r="H581" s="8">
        <f t="shared" si="126"/>
        <v>-47.550000000000182</v>
      </c>
      <c r="I581" s="20">
        <f t="shared" ca="1" si="119"/>
        <v>0</v>
      </c>
      <c r="J581" s="8">
        <f t="shared" ca="1" si="120"/>
        <v>3</v>
      </c>
      <c r="K581" s="8">
        <f t="shared" ca="1" si="121"/>
        <v>-166.59000000000196</v>
      </c>
      <c r="L581" s="8">
        <f t="shared" ca="1" si="122"/>
        <v>2607.87</v>
      </c>
      <c r="M581" s="9">
        <f ca="1">AVERAGE(E581:OFFSET(E581,-M$5+1,0))</f>
        <v>8029.3559999999998</v>
      </c>
      <c r="N581" s="9">
        <f ca="1">AVERAGE(E581:OFFSET(E581,-N$5+1,0))</f>
        <v>7997.6229999999996</v>
      </c>
      <c r="O581" s="9">
        <f t="shared" ca="1" si="123"/>
        <v>0</v>
      </c>
      <c r="P581" s="14">
        <f t="shared" ref="P581:P644" si="128">100*LN(E581/E580)</f>
        <v>-0.69388535884341973</v>
      </c>
      <c r="Q581" s="15">
        <f ca="1">STDEV(P581:OFFSET(P581,-$Q$5+1,0))</f>
        <v>0.76322216429149725</v>
      </c>
      <c r="R581" s="15">
        <f ca="1">STDEV(P581:OFFSET(P581,-$R$5+1,0))</f>
        <v>0.6691339692613425</v>
      </c>
      <c r="S581" s="18">
        <f t="shared" si="115"/>
        <v>72.630000000000109</v>
      </c>
      <c r="T581" s="18">
        <f t="shared" si="116"/>
        <v>72.630000000000109</v>
      </c>
      <c r="U581" s="18">
        <f t="shared" si="124"/>
        <v>72.515249052376703</v>
      </c>
      <c r="V581" s="33">
        <f ca="1">AVERAGE(E581:OFFSET(E581,-V$5+1,0))</f>
        <v>8007.3635714285701</v>
      </c>
      <c r="W581" s="33">
        <f t="shared" ca="1" si="117"/>
        <v>8116.1364450071351</v>
      </c>
      <c r="X581" s="33">
        <f t="shared" ca="1" si="118"/>
        <v>7898.5906978500052</v>
      </c>
      <c r="Y581" s="32">
        <f t="shared" ca="1" si="125"/>
        <v>0</v>
      </c>
    </row>
    <row r="582" spans="1:25">
      <c r="A582" s="5">
        <v>39218</v>
      </c>
      <c r="B582" s="4">
        <v>7988.97</v>
      </c>
      <c r="C582" s="4">
        <v>8014.88</v>
      </c>
      <c r="D582" s="4">
        <v>7978.25</v>
      </c>
      <c r="E582" s="4">
        <v>7988.57</v>
      </c>
      <c r="F582" s="4">
        <v>2492000</v>
      </c>
      <c r="G582" s="8">
        <f t="shared" si="127"/>
        <v>13.940000000000509</v>
      </c>
      <c r="H582" s="8">
        <f t="shared" si="126"/>
        <v>-0.4000000000005457</v>
      </c>
      <c r="I582" s="20">
        <f t="shared" ca="1" si="119"/>
        <v>0</v>
      </c>
      <c r="J582" s="8">
        <f t="shared" ca="1" si="120"/>
        <v>3</v>
      </c>
      <c r="K582" s="8">
        <f t="shared" ca="1" si="121"/>
        <v>40.619999999999891</v>
      </c>
      <c r="L582" s="8">
        <f t="shared" ca="1" si="122"/>
        <v>2648.49</v>
      </c>
      <c r="M582" s="9">
        <f ca="1">AVERAGE(E582:OFFSET(E582,-M$5+1,0))</f>
        <v>8037.9089999999997</v>
      </c>
      <c r="N582" s="9">
        <f ca="1">AVERAGE(E582:OFFSET(E582,-N$5+1,0))</f>
        <v>7999.0869999999995</v>
      </c>
      <c r="O582" s="9">
        <f t="shared" ca="1" si="123"/>
        <v>0</v>
      </c>
      <c r="P582" s="14">
        <f t="shared" si="128"/>
        <v>0.16963596240111173</v>
      </c>
      <c r="Q582" s="15">
        <f ca="1">STDEV(P582:OFFSET(P582,-$Q$5+1,0))</f>
        <v>0.7594506756228071</v>
      </c>
      <c r="R582" s="15">
        <f ca="1">STDEV(P582:OFFSET(P582,-$R$5+1,0))</f>
        <v>0.6683191589162859</v>
      </c>
      <c r="S582" s="18">
        <f t="shared" si="115"/>
        <v>36.630000000000109</v>
      </c>
      <c r="T582" s="18">
        <f t="shared" si="116"/>
        <v>39.850000000000364</v>
      </c>
      <c r="U582" s="18">
        <f t="shared" si="124"/>
        <v>68.159882512059852</v>
      </c>
      <c r="V582" s="33">
        <f ca="1">AVERAGE(E582:OFFSET(E582,-V$5+1,0))</f>
        <v>8007.6435714285699</v>
      </c>
      <c r="W582" s="33">
        <f t="shared" ca="1" si="117"/>
        <v>8109.8833951966599</v>
      </c>
      <c r="X582" s="33">
        <f t="shared" ca="1" si="118"/>
        <v>7905.4037476604799</v>
      </c>
      <c r="Y582" s="32">
        <f t="shared" ca="1" si="125"/>
        <v>0</v>
      </c>
    </row>
    <row r="583" spans="1:25">
      <c r="A583" s="5">
        <v>39219</v>
      </c>
      <c r="B583" s="4">
        <v>8029.6</v>
      </c>
      <c r="C583" s="4">
        <v>8080.63</v>
      </c>
      <c r="D583" s="4">
        <v>8029.6</v>
      </c>
      <c r="E583" s="4">
        <v>8037.96</v>
      </c>
      <c r="F583" s="4">
        <v>3142400</v>
      </c>
      <c r="G583" s="8">
        <f t="shared" si="127"/>
        <v>41.030000000000655</v>
      </c>
      <c r="H583" s="8">
        <f t="shared" si="126"/>
        <v>8.3599999999996726</v>
      </c>
      <c r="I583" s="20">
        <f t="shared" ca="1" si="119"/>
        <v>0</v>
      </c>
      <c r="J583" s="8">
        <f t="shared" ca="1" si="120"/>
        <v>3</v>
      </c>
      <c r="K583" s="8">
        <f t="shared" ca="1" si="121"/>
        <v>148.17000000000098</v>
      </c>
      <c r="L583" s="8">
        <f t="shared" ca="1" si="122"/>
        <v>2796.6600000000008</v>
      </c>
      <c r="M583" s="9">
        <f ca="1">AVERAGE(E583:OFFSET(E583,-M$5+1,0))</f>
        <v>8049.0389999999998</v>
      </c>
      <c r="N583" s="9">
        <f ca="1">AVERAGE(E583:OFFSET(E583,-N$5+1,0))</f>
        <v>8000.8194999999996</v>
      </c>
      <c r="O583" s="9">
        <f t="shared" ca="1" si="123"/>
        <v>0</v>
      </c>
      <c r="P583" s="14">
        <f t="shared" si="128"/>
        <v>0.61635496090180497</v>
      </c>
      <c r="Q583" s="15">
        <f ca="1">STDEV(P583:OFFSET(P583,-$Q$5+1,0))</f>
        <v>0.77482397674577064</v>
      </c>
      <c r="R583" s="15">
        <f ca="1">STDEV(P583:OFFSET(P583,-$R$5+1,0))</f>
        <v>0.67324170074377276</v>
      </c>
      <c r="S583" s="18">
        <f t="shared" si="115"/>
        <v>51.029999999999745</v>
      </c>
      <c r="T583" s="18">
        <f t="shared" si="116"/>
        <v>92.0600000000004</v>
      </c>
      <c r="U583" s="18">
        <f t="shared" si="124"/>
        <v>71.346564843785259</v>
      </c>
      <c r="V583" s="33">
        <f ca="1">AVERAGE(E583:OFFSET(E583,-V$5+1,0))</f>
        <v>8010.3521428571412</v>
      </c>
      <c r="W583" s="33">
        <f t="shared" ca="1" si="117"/>
        <v>8117.3719901228187</v>
      </c>
      <c r="X583" s="33">
        <f t="shared" ca="1" si="118"/>
        <v>7903.3322955914637</v>
      </c>
      <c r="Y583" s="32">
        <f t="shared" ca="1" si="125"/>
        <v>0</v>
      </c>
    </row>
    <row r="584" spans="1:25">
      <c r="A584" s="5">
        <v>39220</v>
      </c>
      <c r="B584" s="4">
        <v>8066.01</v>
      </c>
      <c r="C584" s="4">
        <v>8075.21</v>
      </c>
      <c r="D584" s="4">
        <v>8013.89</v>
      </c>
      <c r="E584" s="4">
        <v>8034.14</v>
      </c>
      <c r="F584" s="4">
        <v>2836000</v>
      </c>
      <c r="G584" s="8">
        <f t="shared" si="127"/>
        <v>28.050000000000182</v>
      </c>
      <c r="H584" s="8">
        <f t="shared" si="126"/>
        <v>-31.869999999999891</v>
      </c>
      <c r="I584" s="20">
        <f t="shared" ca="1" si="119"/>
        <v>0</v>
      </c>
      <c r="J584" s="8">
        <f t="shared" ca="1" si="120"/>
        <v>3</v>
      </c>
      <c r="K584" s="8">
        <f t="shared" ca="1" si="121"/>
        <v>-11.459999999999127</v>
      </c>
      <c r="L584" s="8">
        <f t="shared" ca="1" si="122"/>
        <v>2785.2000000000016</v>
      </c>
      <c r="M584" s="9">
        <f ca="1">AVERAGE(E584:OFFSET(E584,-M$5+1,0))</f>
        <v>8045.8469999999998</v>
      </c>
      <c r="N584" s="9">
        <f ca="1">AVERAGE(E584:OFFSET(E584,-N$5+1,0))</f>
        <v>8008.0949999999993</v>
      </c>
      <c r="O584" s="9">
        <f t="shared" ca="1" si="123"/>
        <v>0</v>
      </c>
      <c r="P584" s="14">
        <f t="shared" si="128"/>
        <v>-4.7535792733144344E-2</v>
      </c>
      <c r="Q584" s="15">
        <f ca="1">STDEV(P584:OFFSET(P584,-$Q$5+1,0))</f>
        <v>0.53175856070017802</v>
      </c>
      <c r="R584" s="15">
        <f ca="1">STDEV(P584:OFFSET(P584,-$R$5+1,0))</f>
        <v>0.67339256950021054</v>
      </c>
      <c r="S584" s="18">
        <f t="shared" si="115"/>
        <v>61.319999999999709</v>
      </c>
      <c r="T584" s="18">
        <f t="shared" si="116"/>
        <v>61.319999999999709</v>
      </c>
      <c r="U584" s="18">
        <f t="shared" si="124"/>
        <v>70.009689531280529</v>
      </c>
      <c r="V584" s="33">
        <f ca="1">AVERAGE(E584:OFFSET(E584,-V$5+1,0))</f>
        <v>8016.403571428571</v>
      </c>
      <c r="W584" s="33">
        <f t="shared" ca="1" si="117"/>
        <v>8121.4181057254918</v>
      </c>
      <c r="X584" s="33">
        <f t="shared" ca="1" si="118"/>
        <v>7911.3890371316502</v>
      </c>
      <c r="Y584" s="32">
        <f t="shared" ca="1" si="125"/>
        <v>0</v>
      </c>
    </row>
    <row r="585" spans="1:25">
      <c r="A585" s="5">
        <v>39223</v>
      </c>
      <c r="B585" s="4">
        <v>8067.23</v>
      </c>
      <c r="C585" s="4">
        <v>8159.26</v>
      </c>
      <c r="D585" s="4">
        <v>8043.9</v>
      </c>
      <c r="E585" s="4">
        <v>8141.59</v>
      </c>
      <c r="F585" s="4">
        <v>3614200</v>
      </c>
      <c r="G585" s="8">
        <f t="shared" si="127"/>
        <v>33.089999999999236</v>
      </c>
      <c r="H585" s="8">
        <f t="shared" si="126"/>
        <v>74.360000000000582</v>
      </c>
      <c r="I585" s="20">
        <f t="shared" ca="1" si="119"/>
        <v>0</v>
      </c>
      <c r="J585" s="8">
        <f t="shared" ca="1" si="120"/>
        <v>3</v>
      </c>
      <c r="K585" s="8">
        <f t="shared" ca="1" si="121"/>
        <v>322.34999999999945</v>
      </c>
      <c r="L585" s="8">
        <f t="shared" ca="1" si="122"/>
        <v>3107.5500000000011</v>
      </c>
      <c r="M585" s="9">
        <f ca="1">AVERAGE(E585:OFFSET(E585,-M$5+1,0))</f>
        <v>8048.4789999999994</v>
      </c>
      <c r="N585" s="9">
        <f ca="1">AVERAGE(E585:OFFSET(E585,-N$5+1,0))</f>
        <v>8018.0409999999993</v>
      </c>
      <c r="O585" s="9">
        <f t="shared" ca="1" si="123"/>
        <v>0</v>
      </c>
      <c r="P585" s="14">
        <f t="shared" si="128"/>
        <v>1.3285530910012382</v>
      </c>
      <c r="Q585" s="15">
        <f ca="1">STDEV(P585:OFFSET(P585,-$Q$5+1,0))</f>
        <v>0.66208822817986035</v>
      </c>
      <c r="R585" s="15">
        <f ca="1">STDEV(P585:OFFSET(P585,-$R$5+1,0))</f>
        <v>0.70071947378464428</v>
      </c>
      <c r="S585" s="18">
        <f t="shared" si="115"/>
        <v>115.36000000000058</v>
      </c>
      <c r="T585" s="18">
        <f t="shared" si="116"/>
        <v>125.11999999999989</v>
      </c>
      <c r="U585" s="18">
        <f t="shared" si="124"/>
        <v>77.357730927109785</v>
      </c>
      <c r="V585" s="33">
        <f ca="1">AVERAGE(E585:OFFSET(E585,-V$5+1,0))</f>
        <v>8035.4157142857148</v>
      </c>
      <c r="W585" s="33">
        <f t="shared" ca="1" si="117"/>
        <v>8151.4523106763791</v>
      </c>
      <c r="X585" s="33">
        <f t="shared" ca="1" si="118"/>
        <v>7919.3791178950505</v>
      </c>
      <c r="Y585" s="32">
        <f t="shared" ca="1" si="125"/>
        <v>0</v>
      </c>
    </row>
    <row r="586" spans="1:25">
      <c r="A586" s="5">
        <v>39224</v>
      </c>
      <c r="B586" s="4">
        <v>8158.99</v>
      </c>
      <c r="C586" s="4">
        <v>8205.89</v>
      </c>
      <c r="D586" s="4">
        <v>8158.29</v>
      </c>
      <c r="E586" s="4">
        <v>8188.63</v>
      </c>
      <c r="F586" s="4">
        <v>4077400</v>
      </c>
      <c r="G586" s="8">
        <f t="shared" si="127"/>
        <v>17.399999999999636</v>
      </c>
      <c r="H586" s="8">
        <f t="shared" si="126"/>
        <v>29.640000000000327</v>
      </c>
      <c r="I586" s="20">
        <f t="shared" ca="1" si="119"/>
        <v>1</v>
      </c>
      <c r="J586" s="8">
        <f t="shared" ca="1" si="120"/>
        <v>3</v>
      </c>
      <c r="K586" s="8">
        <f t="shared" ca="1" si="121"/>
        <v>141.11999999999989</v>
      </c>
      <c r="L586" s="8">
        <f t="shared" ca="1" si="122"/>
        <v>3248.670000000001</v>
      </c>
      <c r="M586" s="9">
        <f ca="1">AVERAGE(E586:OFFSET(E586,-M$5+1,0))</f>
        <v>8057.7579999999998</v>
      </c>
      <c r="N586" s="9">
        <f ca="1">AVERAGE(E586:OFFSET(E586,-N$5+1,0))</f>
        <v>8026.9494999999997</v>
      </c>
      <c r="O586" s="9">
        <f t="shared" ca="1" si="123"/>
        <v>0</v>
      </c>
      <c r="P586" s="14">
        <f t="shared" si="128"/>
        <v>0.57611140702861985</v>
      </c>
      <c r="Q586" s="15">
        <f ca="1">STDEV(P586:OFFSET(P586,-$Q$5+1,0))</f>
        <v>0.67497324062126296</v>
      </c>
      <c r="R586" s="15">
        <f ca="1">STDEV(P586:OFFSET(P586,-$R$5+1,0))</f>
        <v>0.69457759674794106</v>
      </c>
      <c r="S586" s="18">
        <f t="shared" si="115"/>
        <v>47.599999999999454</v>
      </c>
      <c r="T586" s="18">
        <f t="shared" si="116"/>
        <v>64.299999999999272</v>
      </c>
      <c r="U586" s="18">
        <f t="shared" si="124"/>
        <v>75.616700136828385</v>
      </c>
      <c r="V586" s="33">
        <f ca="1">AVERAGE(E586:OFFSET(E586,-V$5+1,0))</f>
        <v>8055.8150000000005</v>
      </c>
      <c r="W586" s="33">
        <f t="shared" ca="1" si="117"/>
        <v>8169.2400502052433</v>
      </c>
      <c r="X586" s="33">
        <f t="shared" ca="1" si="118"/>
        <v>7942.3899497947577</v>
      </c>
      <c r="Y586" s="32">
        <f t="shared" ca="1" si="125"/>
        <v>1</v>
      </c>
    </row>
    <row r="587" spans="1:25">
      <c r="A587" s="5">
        <v>39225</v>
      </c>
      <c r="B587" s="4">
        <v>8232.5300000000007</v>
      </c>
      <c r="C587" s="4">
        <v>8256.25</v>
      </c>
      <c r="D587" s="4">
        <v>8214.58</v>
      </c>
      <c r="E587" s="4">
        <v>8221.7900000000009</v>
      </c>
      <c r="F587" s="4">
        <v>3983000</v>
      </c>
      <c r="G587" s="8">
        <f t="shared" si="127"/>
        <v>43.900000000000546</v>
      </c>
      <c r="H587" s="8">
        <f t="shared" si="126"/>
        <v>-10.739999999999782</v>
      </c>
      <c r="I587" s="20">
        <f t="shared" ca="1" si="119"/>
        <v>0</v>
      </c>
      <c r="J587" s="8">
        <f t="shared" ca="1" si="120"/>
        <v>3</v>
      </c>
      <c r="K587" s="8">
        <f t="shared" ca="1" si="121"/>
        <v>99.480000000002292</v>
      </c>
      <c r="L587" s="8">
        <f t="shared" ca="1" si="122"/>
        <v>3348.1500000000033</v>
      </c>
      <c r="M587" s="9">
        <f ca="1">AVERAGE(E587:OFFSET(E587,-M$5+1,0))</f>
        <v>8074.6670000000013</v>
      </c>
      <c r="N587" s="9">
        <f ca="1">AVERAGE(E587:OFFSET(E587,-N$5+1,0))</f>
        <v>8035.7884999999997</v>
      </c>
      <c r="O587" s="9">
        <f t="shared" ca="1" si="123"/>
        <v>0</v>
      </c>
      <c r="P587" s="14">
        <f t="shared" si="128"/>
        <v>0.40413402133448462</v>
      </c>
      <c r="Q587" s="15">
        <f ca="1">STDEV(P587:OFFSET(P587,-$Q$5+1,0))</f>
        <v>0.63911418019283461</v>
      </c>
      <c r="R587" s="15">
        <f ca="1">STDEV(P587:OFFSET(P587,-$R$5+1,0))</f>
        <v>0.69398818624188419</v>
      </c>
      <c r="S587" s="18">
        <f t="shared" si="115"/>
        <v>41.670000000000073</v>
      </c>
      <c r="T587" s="18">
        <f t="shared" si="116"/>
        <v>67.619999999999891</v>
      </c>
      <c r="U587" s="18">
        <f t="shared" si="124"/>
        <v>74.550473451917924</v>
      </c>
      <c r="V587" s="33">
        <f ca="1">AVERAGE(E587:OFFSET(E587,-V$5+1,0))</f>
        <v>8076.8957142857153</v>
      </c>
      <c r="W587" s="33">
        <f t="shared" ca="1" si="117"/>
        <v>8188.7214244635925</v>
      </c>
      <c r="X587" s="33">
        <f t="shared" ca="1" si="118"/>
        <v>7965.070004107838</v>
      </c>
      <c r="Y587" s="32">
        <f t="shared" ca="1" si="125"/>
        <v>0</v>
      </c>
    </row>
    <row r="588" spans="1:25">
      <c r="A588" s="5">
        <v>39226</v>
      </c>
      <c r="B588" s="4">
        <v>8231.65</v>
      </c>
      <c r="C588" s="4">
        <v>8249.48</v>
      </c>
      <c r="D588" s="4">
        <v>8207.9599999999991</v>
      </c>
      <c r="E588" s="4">
        <v>8216.41</v>
      </c>
      <c r="F588" s="4">
        <v>3395800</v>
      </c>
      <c r="G588" s="8">
        <f t="shared" si="127"/>
        <v>9.8599999999987631</v>
      </c>
      <c r="H588" s="8">
        <f t="shared" si="126"/>
        <v>-15.239999999999782</v>
      </c>
      <c r="I588" s="20">
        <f t="shared" ca="1" si="119"/>
        <v>0</v>
      </c>
      <c r="J588" s="8">
        <f t="shared" ca="1" si="120"/>
        <v>3</v>
      </c>
      <c r="K588" s="8">
        <f t="shared" ca="1" si="121"/>
        <v>-16.140000000003056</v>
      </c>
      <c r="L588" s="8">
        <f t="shared" ca="1" si="122"/>
        <v>3332.01</v>
      </c>
      <c r="M588" s="9">
        <f ca="1">AVERAGE(E588:OFFSET(E588,-M$5+1,0))</f>
        <v>8086.6220000000003</v>
      </c>
      <c r="N588" s="9">
        <f ca="1">AVERAGE(E588:OFFSET(E588,-N$5+1,0))</f>
        <v>8047.3765000000003</v>
      </c>
      <c r="O588" s="9">
        <f t="shared" ca="1" si="123"/>
        <v>0</v>
      </c>
      <c r="P588" s="14">
        <f t="shared" si="128"/>
        <v>-6.5457290848108585E-2</v>
      </c>
      <c r="Q588" s="15">
        <f ca="1">STDEV(P588:OFFSET(P588,-$Q$5+1,0))</f>
        <v>0.63231495105426627</v>
      </c>
      <c r="R588" s="15">
        <f ca="1">STDEV(P588:OFFSET(P588,-$R$5+1,0))</f>
        <v>0.69425615796843587</v>
      </c>
      <c r="S588" s="18">
        <f t="shared" si="115"/>
        <v>41.520000000000437</v>
      </c>
      <c r="T588" s="18">
        <f t="shared" si="116"/>
        <v>41.520000000000437</v>
      </c>
      <c r="U588" s="18">
        <f t="shared" si="124"/>
        <v>70.1464103249956</v>
      </c>
      <c r="V588" s="33">
        <f ca="1">AVERAGE(E588:OFFSET(E588,-V$5+1,0))</f>
        <v>8087.6350000000011</v>
      </c>
      <c r="W588" s="33">
        <f t="shared" ca="1" si="117"/>
        <v>8192.8546154874948</v>
      </c>
      <c r="X588" s="33">
        <f t="shared" ca="1" si="118"/>
        <v>7982.4153845125074</v>
      </c>
      <c r="Y588" s="32">
        <f t="shared" ca="1" si="125"/>
        <v>0</v>
      </c>
    </row>
    <row r="589" spans="1:25">
      <c r="A589" s="5">
        <v>39227</v>
      </c>
      <c r="B589" s="4">
        <v>8170.58</v>
      </c>
      <c r="C589" s="4">
        <v>8170.58</v>
      </c>
      <c r="D589" s="4">
        <v>8130.17</v>
      </c>
      <c r="E589" s="4">
        <v>8159.97</v>
      </c>
      <c r="F589" s="4">
        <v>3235600</v>
      </c>
      <c r="G589" s="8">
        <f t="shared" si="127"/>
        <v>-45.829999999999927</v>
      </c>
      <c r="H589" s="8">
        <f t="shared" si="126"/>
        <v>-10.609999999999673</v>
      </c>
      <c r="I589" s="20">
        <f t="shared" ca="1" si="119"/>
        <v>0</v>
      </c>
      <c r="J589" s="8">
        <f t="shared" ca="1" si="120"/>
        <v>3</v>
      </c>
      <c r="K589" s="8">
        <f t="shared" ca="1" si="121"/>
        <v>-169.3199999999988</v>
      </c>
      <c r="L589" s="8">
        <f t="shared" ca="1" si="122"/>
        <v>3162.6900000000014</v>
      </c>
      <c r="M589" s="9">
        <f ca="1">AVERAGE(E589:OFFSET(E589,-M$5+1,0))</f>
        <v>8099.4650000000011</v>
      </c>
      <c r="N589" s="9">
        <f ca="1">AVERAGE(E589:OFFSET(E589,-N$5+1,0))</f>
        <v>8055.3729999999996</v>
      </c>
      <c r="O589" s="9">
        <f t="shared" ca="1" si="123"/>
        <v>0</v>
      </c>
      <c r="P589" s="14">
        <f t="shared" si="128"/>
        <v>-0.68928815115096875</v>
      </c>
      <c r="Q589" s="15">
        <f ca="1">STDEV(P589:OFFSET(P589,-$Q$5+1,0))</f>
        <v>0.61287728739783121</v>
      </c>
      <c r="R589" s="15">
        <f ca="1">STDEV(P589:OFFSET(P589,-$R$5+1,0))</f>
        <v>0.70084333542358102</v>
      </c>
      <c r="S589" s="18">
        <f t="shared" si="115"/>
        <v>40.409999999999854</v>
      </c>
      <c r="T589" s="18">
        <f t="shared" si="116"/>
        <v>86.239999999999782</v>
      </c>
      <c r="U589" s="18">
        <f t="shared" si="124"/>
        <v>72.292222281662816</v>
      </c>
      <c r="V589" s="33">
        <f ca="1">AVERAGE(E589:OFFSET(E589,-V$5+1,0))</f>
        <v>8090.8278571428573</v>
      </c>
      <c r="W589" s="33">
        <f t="shared" ca="1" si="117"/>
        <v>8199.2661905653513</v>
      </c>
      <c r="X589" s="33">
        <f t="shared" ca="1" si="118"/>
        <v>7982.3895237203633</v>
      </c>
      <c r="Y589" s="32">
        <f t="shared" ca="1" si="125"/>
        <v>0</v>
      </c>
    </row>
    <row r="590" spans="1:25">
      <c r="A590" s="5">
        <v>39230</v>
      </c>
      <c r="B590" s="4">
        <v>8194.83</v>
      </c>
      <c r="C590" s="4">
        <v>8201.65</v>
      </c>
      <c r="D590" s="4">
        <v>8154.22</v>
      </c>
      <c r="E590" s="4">
        <v>8156.82</v>
      </c>
      <c r="F590" s="4">
        <v>2887600</v>
      </c>
      <c r="G590" s="8">
        <f t="shared" si="127"/>
        <v>34.859999999999673</v>
      </c>
      <c r="H590" s="8">
        <f t="shared" si="126"/>
        <v>-38.010000000000218</v>
      </c>
      <c r="I590" s="20">
        <f t="shared" ca="1" si="119"/>
        <v>0</v>
      </c>
      <c r="J590" s="8">
        <f t="shared" ca="1" si="120"/>
        <v>3</v>
      </c>
      <c r="K590" s="8">
        <f t="shared" ca="1" si="121"/>
        <v>-9.4500000000016371</v>
      </c>
      <c r="L590" s="8">
        <f t="shared" ca="1" si="122"/>
        <v>3153.24</v>
      </c>
      <c r="M590" s="9">
        <f ca="1">AVERAGE(E590:OFFSET(E590,-M$5+1,0))</f>
        <v>8112.0910000000003</v>
      </c>
      <c r="N590" s="9">
        <f ca="1">AVERAGE(E590:OFFSET(E590,-N$5+1,0))</f>
        <v>8065.7430000000004</v>
      </c>
      <c r="O590" s="9">
        <f t="shared" ca="1" si="123"/>
        <v>0</v>
      </c>
      <c r="P590" s="14">
        <f t="shared" si="128"/>
        <v>-3.8610536007795966E-2</v>
      </c>
      <c r="Q590" s="15">
        <f ca="1">STDEV(P590:OFFSET(P590,-$Q$5+1,0))</f>
        <v>0.61375149337037227</v>
      </c>
      <c r="R590" s="15">
        <f ca="1">STDEV(P590:OFFSET(P590,-$R$5+1,0))</f>
        <v>0.68831617467417461</v>
      </c>
      <c r="S590" s="18">
        <f t="shared" si="115"/>
        <v>47.429999999999382</v>
      </c>
      <c r="T590" s="18">
        <f t="shared" si="116"/>
        <v>47.429999999999382</v>
      </c>
      <c r="U590" s="18">
        <f t="shared" si="124"/>
        <v>68.977259310774357</v>
      </c>
      <c r="V590" s="33">
        <f ca="1">AVERAGE(E590:OFFSET(E590,-V$5+1,0))</f>
        <v>8095.1835714285717</v>
      </c>
      <c r="W590" s="33">
        <f t="shared" ca="1" si="117"/>
        <v>8198.649460394734</v>
      </c>
      <c r="X590" s="33">
        <f t="shared" ca="1" si="118"/>
        <v>7991.7176824624103</v>
      </c>
      <c r="Y590" s="32">
        <f t="shared" ca="1" si="125"/>
        <v>0</v>
      </c>
    </row>
    <row r="591" spans="1:25">
      <c r="A591" s="5">
        <v>39231</v>
      </c>
      <c r="B591" s="4">
        <v>8178.7</v>
      </c>
      <c r="C591" s="4">
        <v>8229.44</v>
      </c>
      <c r="D591" s="4">
        <v>8166.46</v>
      </c>
      <c r="E591" s="4">
        <v>8181.49</v>
      </c>
      <c r="F591" s="4">
        <v>3047000</v>
      </c>
      <c r="G591" s="8">
        <f t="shared" si="127"/>
        <v>21.880000000000109</v>
      </c>
      <c r="H591" s="8">
        <f t="shared" si="126"/>
        <v>2.7899999999999636</v>
      </c>
      <c r="I591" s="20">
        <f t="shared" ca="1" si="119"/>
        <v>0</v>
      </c>
      <c r="J591" s="8">
        <f t="shared" ca="1" si="120"/>
        <v>3</v>
      </c>
      <c r="K591" s="8">
        <f t="shared" ca="1" si="121"/>
        <v>74.010000000000218</v>
      </c>
      <c r="L591" s="8">
        <f t="shared" ca="1" si="122"/>
        <v>3227.25</v>
      </c>
      <c r="M591" s="9">
        <f ca="1">AVERAGE(E591:OFFSET(E591,-M$5+1,0))</f>
        <v>8132.737000000001</v>
      </c>
      <c r="N591" s="9">
        <f ca="1">AVERAGE(E591:OFFSET(E591,-N$5+1,0))</f>
        <v>8081.0465000000013</v>
      </c>
      <c r="O591" s="9">
        <f t="shared" ca="1" si="123"/>
        <v>0</v>
      </c>
      <c r="P591" s="14">
        <f t="shared" si="128"/>
        <v>0.30198984777200116</v>
      </c>
      <c r="Q591" s="15">
        <f ca="1">STDEV(P591:OFFSET(P591,-$Q$5+1,0))</f>
        <v>0.53645407568083714</v>
      </c>
      <c r="R591" s="15">
        <f ca="1">STDEV(P591:OFFSET(P591,-$R$5+1,0))</f>
        <v>0.68084815497385143</v>
      </c>
      <c r="S591" s="18">
        <f t="shared" si="115"/>
        <v>62.980000000000473</v>
      </c>
      <c r="T591" s="18">
        <f t="shared" si="116"/>
        <v>72.6200000000008</v>
      </c>
      <c r="U591" s="18">
        <f t="shared" si="124"/>
        <v>69.462958069337887</v>
      </c>
      <c r="V591" s="33">
        <f ca="1">AVERAGE(E591:OFFSET(E591,-V$5+1,0))</f>
        <v>8104.3828571428594</v>
      </c>
      <c r="W591" s="33">
        <f t="shared" ca="1" si="117"/>
        <v>8208.5772942468666</v>
      </c>
      <c r="X591" s="33">
        <f t="shared" ca="1" si="118"/>
        <v>8000.1884200388522</v>
      </c>
      <c r="Y591" s="32">
        <f t="shared" ca="1" si="125"/>
        <v>0</v>
      </c>
    </row>
    <row r="592" spans="1:25">
      <c r="A592" s="5">
        <v>39232</v>
      </c>
      <c r="B592" s="4">
        <v>8163.81</v>
      </c>
      <c r="C592" s="4">
        <v>8177.76</v>
      </c>
      <c r="D592" s="4">
        <v>8110.28</v>
      </c>
      <c r="E592" s="4">
        <v>8147.34</v>
      </c>
      <c r="F592" s="4">
        <v>3248600</v>
      </c>
      <c r="G592" s="8">
        <f t="shared" si="127"/>
        <v>-17.679999999999382</v>
      </c>
      <c r="H592" s="8">
        <f t="shared" si="126"/>
        <v>-16.470000000000255</v>
      </c>
      <c r="I592" s="20">
        <f t="shared" ca="1" si="119"/>
        <v>0</v>
      </c>
      <c r="J592" s="8">
        <f t="shared" ca="1" si="120"/>
        <v>3</v>
      </c>
      <c r="K592" s="8">
        <f t="shared" ca="1" si="121"/>
        <v>-102.44999999999891</v>
      </c>
      <c r="L592" s="8">
        <f t="shared" ca="1" si="122"/>
        <v>3124.8000000000011</v>
      </c>
      <c r="M592" s="9">
        <f ca="1">AVERAGE(E592:OFFSET(E592,-M$5+1,0))</f>
        <v>8148.6139999999996</v>
      </c>
      <c r="N592" s="9">
        <f ca="1">AVERAGE(E592:OFFSET(E592,-N$5+1,0))</f>
        <v>8093.2615000000005</v>
      </c>
      <c r="O592" s="9">
        <f t="shared" ca="1" si="123"/>
        <v>0</v>
      </c>
      <c r="P592" s="14">
        <f t="shared" si="128"/>
        <v>-0.41827920053023993</v>
      </c>
      <c r="Q592" s="15">
        <f ca="1">STDEV(P592:OFFSET(P592,-$Q$5+1,0))</f>
        <v>0.5775612030409395</v>
      </c>
      <c r="R592" s="15">
        <f ca="1">STDEV(P592:OFFSET(P592,-$R$5+1,0))</f>
        <v>0.68324757540678538</v>
      </c>
      <c r="S592" s="18">
        <f t="shared" si="115"/>
        <v>67.480000000000473</v>
      </c>
      <c r="T592" s="18">
        <f t="shared" si="116"/>
        <v>71.210000000000036</v>
      </c>
      <c r="U592" s="18">
        <f t="shared" si="124"/>
        <v>69.695896993426175</v>
      </c>
      <c r="V592" s="33">
        <f ca="1">AVERAGE(E592:OFFSET(E592,-V$5+1,0))</f>
        <v>8107.988571428572</v>
      </c>
      <c r="W592" s="33">
        <f t="shared" ca="1" si="117"/>
        <v>8212.5324169187115</v>
      </c>
      <c r="X592" s="33">
        <f t="shared" ca="1" si="118"/>
        <v>8003.4447259384324</v>
      </c>
      <c r="Y592" s="32">
        <f t="shared" ca="1" si="125"/>
        <v>0</v>
      </c>
    </row>
    <row r="593" spans="1:25">
      <c r="A593" s="5">
        <v>39233</v>
      </c>
      <c r="B593" s="4">
        <v>8204.7199999999993</v>
      </c>
      <c r="C593" s="4">
        <v>8220.81</v>
      </c>
      <c r="D593" s="4">
        <v>8144.95</v>
      </c>
      <c r="E593" s="4">
        <v>8144.95</v>
      </c>
      <c r="F593" s="4">
        <v>4230600</v>
      </c>
      <c r="G593" s="8">
        <f t="shared" si="127"/>
        <v>57.3799999999992</v>
      </c>
      <c r="H593" s="8">
        <f t="shared" si="126"/>
        <v>-59.769999999999527</v>
      </c>
      <c r="I593" s="20">
        <f t="shared" ca="1" si="119"/>
        <v>0</v>
      </c>
      <c r="J593" s="8">
        <f t="shared" ca="1" si="120"/>
        <v>3</v>
      </c>
      <c r="K593" s="8">
        <f t="shared" ca="1" si="121"/>
        <v>-7.1700000000009823</v>
      </c>
      <c r="L593" s="8">
        <f t="shared" ca="1" si="122"/>
        <v>3117.63</v>
      </c>
      <c r="M593" s="9">
        <f ca="1">AVERAGE(E593:OFFSET(E593,-M$5+1,0))</f>
        <v>8159.3129999999992</v>
      </c>
      <c r="N593" s="9">
        <f ca="1">AVERAGE(E593:OFFSET(E593,-N$5+1,0))</f>
        <v>8104.1760000000013</v>
      </c>
      <c r="O593" s="9">
        <f t="shared" ca="1" si="123"/>
        <v>0</v>
      </c>
      <c r="P593" s="14">
        <f t="shared" si="128"/>
        <v>-2.9339031126312805E-2</v>
      </c>
      <c r="Q593" s="15">
        <f ca="1">STDEV(P593:OFFSET(P593,-$Q$5+1,0))</f>
        <v>0.5613089209414811</v>
      </c>
      <c r="R593" s="15">
        <f ca="1">STDEV(P593:OFFSET(P593,-$R$5+1,0))</f>
        <v>0.68337500438190246</v>
      </c>
      <c r="S593" s="18">
        <f t="shared" si="115"/>
        <v>75.859999999999673</v>
      </c>
      <c r="T593" s="18">
        <f t="shared" si="116"/>
        <v>75.859999999999673</v>
      </c>
      <c r="U593" s="18">
        <f t="shared" si="124"/>
        <v>70.517777394302641</v>
      </c>
      <c r="V593" s="33">
        <f ca="1">AVERAGE(E593:OFFSET(E593,-V$5+1,0))</f>
        <v>8116.0892857142853</v>
      </c>
      <c r="W593" s="33">
        <f t="shared" ca="1" si="117"/>
        <v>8221.8659518057393</v>
      </c>
      <c r="X593" s="33">
        <f t="shared" ca="1" si="118"/>
        <v>8010.3126196228313</v>
      </c>
      <c r="Y593" s="32">
        <f t="shared" ca="1" si="125"/>
        <v>0</v>
      </c>
    </row>
    <row r="594" spans="1:25">
      <c r="A594" s="5">
        <v>39234</v>
      </c>
      <c r="B594" s="4">
        <v>8236.76</v>
      </c>
      <c r="C594" s="4">
        <v>8261.67</v>
      </c>
      <c r="D594" s="4">
        <v>8224.2800000000007</v>
      </c>
      <c r="E594" s="4">
        <v>8249.9</v>
      </c>
      <c r="F594" s="4">
        <v>4198400</v>
      </c>
      <c r="G594" s="8">
        <f t="shared" si="127"/>
        <v>91.8100000000004</v>
      </c>
      <c r="H594" s="8">
        <f t="shared" si="126"/>
        <v>13.139999999999418</v>
      </c>
      <c r="I594" s="20">
        <f t="shared" ca="1" si="119"/>
        <v>1</v>
      </c>
      <c r="J594" s="8">
        <f t="shared" ca="1" si="120"/>
        <v>3</v>
      </c>
      <c r="K594" s="8">
        <f t="shared" ca="1" si="121"/>
        <v>314.84999999999945</v>
      </c>
      <c r="L594" s="8">
        <f t="shared" ca="1" si="122"/>
        <v>3432.4799999999996</v>
      </c>
      <c r="M594" s="9">
        <f ca="1">AVERAGE(E594:OFFSET(E594,-M$5+1,0))</f>
        <v>8180.8889999999983</v>
      </c>
      <c r="N594" s="9">
        <f ca="1">AVERAGE(E594:OFFSET(E594,-N$5+1,0))</f>
        <v>8113.3680000000004</v>
      </c>
      <c r="O594" s="9">
        <f t="shared" ca="1" si="123"/>
        <v>0</v>
      </c>
      <c r="P594" s="14">
        <f t="shared" si="128"/>
        <v>1.2802975761260085</v>
      </c>
      <c r="Q594" s="15">
        <f ca="1">STDEV(P594:OFFSET(P594,-$Q$5+1,0))</f>
        <v>0.66207119134910353</v>
      </c>
      <c r="R594" s="15">
        <f ca="1">STDEV(P594:OFFSET(P594,-$R$5+1,0))</f>
        <v>0.70464313370745923</v>
      </c>
      <c r="S594" s="18">
        <f t="shared" si="115"/>
        <v>37.389999999999418</v>
      </c>
      <c r="T594" s="18">
        <f t="shared" si="116"/>
        <v>116.72000000000025</v>
      </c>
      <c r="U594" s="18">
        <f t="shared" si="124"/>
        <v>76.678073741728994</v>
      </c>
      <c r="V594" s="33">
        <f ca="1">AVERAGE(E594:OFFSET(E594,-V$5+1,0))</f>
        <v>8131.7564285714279</v>
      </c>
      <c r="W594" s="33">
        <f t="shared" ca="1" si="117"/>
        <v>8246.7735391840215</v>
      </c>
      <c r="X594" s="33">
        <f t="shared" ca="1" si="118"/>
        <v>8016.7393179588344</v>
      </c>
      <c r="Y594" s="32">
        <f t="shared" ca="1" si="125"/>
        <v>1</v>
      </c>
    </row>
    <row r="595" spans="1:25">
      <c r="A595" s="5">
        <v>39237</v>
      </c>
      <c r="B595" s="4">
        <v>8310.09</v>
      </c>
      <c r="C595" s="4">
        <v>8317.6</v>
      </c>
      <c r="D595" s="4">
        <v>8282.7900000000009</v>
      </c>
      <c r="E595" s="4">
        <v>8294.7900000000009</v>
      </c>
      <c r="F595" s="4">
        <v>4053200</v>
      </c>
      <c r="G595" s="8">
        <f t="shared" si="127"/>
        <v>60.190000000000509</v>
      </c>
      <c r="H595" s="8">
        <f t="shared" si="126"/>
        <v>-15.299999999999272</v>
      </c>
      <c r="I595" s="20">
        <f t="shared" ca="1" si="119"/>
        <v>0</v>
      </c>
      <c r="J595" s="8">
        <f t="shared" ca="1" si="120"/>
        <v>3</v>
      </c>
      <c r="K595" s="8">
        <f t="shared" ca="1" si="121"/>
        <v>134.67000000000371</v>
      </c>
      <c r="L595" s="8">
        <f t="shared" ca="1" si="122"/>
        <v>3567.1500000000033</v>
      </c>
      <c r="M595" s="9">
        <f ca="1">AVERAGE(E595:OFFSET(E595,-M$5+1,0))</f>
        <v>8196.2089999999989</v>
      </c>
      <c r="N595" s="9">
        <f ca="1">AVERAGE(E595:OFFSET(E595,-N$5+1,0))</f>
        <v>8122.3440000000019</v>
      </c>
      <c r="O595" s="9">
        <f t="shared" ca="1" si="123"/>
        <v>0</v>
      </c>
      <c r="P595" s="14">
        <f t="shared" si="128"/>
        <v>0.5426527805238881</v>
      </c>
      <c r="Q595" s="15">
        <f ca="1">STDEV(P595:OFFSET(P595,-$Q$5+1,0))</f>
        <v>0.56067854559129482</v>
      </c>
      <c r="R595" s="15">
        <f ca="1">STDEV(P595:OFFSET(P595,-$R$5+1,0))</f>
        <v>0.69643810717061205</v>
      </c>
      <c r="S595" s="18">
        <f t="shared" si="115"/>
        <v>34.809999999999491</v>
      </c>
      <c r="T595" s="18">
        <f t="shared" si="116"/>
        <v>67.700000000000728</v>
      </c>
      <c r="U595" s="18">
        <f t="shared" si="124"/>
        <v>75.480997242831904</v>
      </c>
      <c r="V595" s="33">
        <f ca="1">AVERAGE(E595:OFFSET(E595,-V$5+1,0))</f>
        <v>8154.596428571429</v>
      </c>
      <c r="W595" s="33">
        <f t="shared" ca="1" si="117"/>
        <v>8267.8179244356761</v>
      </c>
      <c r="X595" s="33">
        <f t="shared" ca="1" si="118"/>
        <v>8041.374932707181</v>
      </c>
      <c r="Y595" s="32">
        <f t="shared" ca="1" si="125"/>
        <v>0</v>
      </c>
    </row>
    <row r="596" spans="1:25">
      <c r="A596" s="5">
        <v>39238</v>
      </c>
      <c r="B596" s="4">
        <v>8321.42</v>
      </c>
      <c r="C596" s="4">
        <v>8321.42</v>
      </c>
      <c r="D596" s="4">
        <v>8267.59</v>
      </c>
      <c r="E596" s="4">
        <v>8303.99</v>
      </c>
      <c r="F596" s="4">
        <v>4299400</v>
      </c>
      <c r="G596" s="8">
        <f t="shared" si="127"/>
        <v>26.6299999999992</v>
      </c>
      <c r="H596" s="8">
        <f t="shared" si="126"/>
        <v>-17.430000000000291</v>
      </c>
      <c r="I596" s="20">
        <f t="shared" ca="1" si="119"/>
        <v>0</v>
      </c>
      <c r="J596" s="8">
        <f t="shared" ca="1" si="120"/>
        <v>3</v>
      </c>
      <c r="K596" s="8">
        <f t="shared" ca="1" si="121"/>
        <v>27.599999999996726</v>
      </c>
      <c r="L596" s="8">
        <f t="shared" ca="1" si="122"/>
        <v>3594.75</v>
      </c>
      <c r="M596" s="9">
        <f ca="1">AVERAGE(E596:OFFSET(E596,-M$5+1,0))</f>
        <v>8207.7450000000008</v>
      </c>
      <c r="N596" s="9">
        <f ca="1">AVERAGE(E596:OFFSET(E596,-N$5+1,0))</f>
        <v>8132.7515000000003</v>
      </c>
      <c r="O596" s="9">
        <f t="shared" ca="1" si="123"/>
        <v>0</v>
      </c>
      <c r="P596" s="14">
        <f t="shared" si="128"/>
        <v>0.11085153176417829</v>
      </c>
      <c r="Q596" s="15">
        <f ca="1">STDEV(P596:OFFSET(P596,-$Q$5+1,0))</f>
        <v>0.54379831553903279</v>
      </c>
      <c r="R596" s="15">
        <f ca="1">STDEV(P596:OFFSET(P596,-$R$5+1,0))</f>
        <v>0.69056051054751233</v>
      </c>
      <c r="S596" s="18">
        <f t="shared" si="115"/>
        <v>53.829999999999927</v>
      </c>
      <c r="T596" s="18">
        <f t="shared" si="116"/>
        <v>53.829999999999927</v>
      </c>
      <c r="U596" s="18">
        <f t="shared" si="124"/>
        <v>72.594197610454302</v>
      </c>
      <c r="V596" s="33">
        <f ca="1">AVERAGE(E596:OFFSET(E596,-V$5+1,0))</f>
        <v>8177.1264285714287</v>
      </c>
      <c r="W596" s="33">
        <f t="shared" ca="1" si="117"/>
        <v>8286.0177249871103</v>
      </c>
      <c r="X596" s="33">
        <f t="shared" ca="1" si="118"/>
        <v>8068.2351321557471</v>
      </c>
      <c r="Y596" s="32">
        <f t="shared" ca="1" si="125"/>
        <v>0</v>
      </c>
    </row>
    <row r="597" spans="1:25">
      <c r="A597" s="5">
        <v>39239</v>
      </c>
      <c r="B597" s="4">
        <v>8330.7199999999993</v>
      </c>
      <c r="C597" s="4">
        <v>8376.9699999999993</v>
      </c>
      <c r="D597" s="4">
        <v>8313.59</v>
      </c>
      <c r="E597" s="4">
        <v>8314.68</v>
      </c>
      <c r="F597" s="4">
        <v>4775800</v>
      </c>
      <c r="G597" s="8">
        <f t="shared" si="127"/>
        <v>26.729999999999563</v>
      </c>
      <c r="H597" s="8">
        <f t="shared" si="126"/>
        <v>-16.039999999999054</v>
      </c>
      <c r="I597" s="20">
        <f t="shared" ca="1" si="119"/>
        <v>0</v>
      </c>
      <c r="J597" s="8">
        <f t="shared" ca="1" si="120"/>
        <v>3</v>
      </c>
      <c r="K597" s="8">
        <f t="shared" ca="1" si="121"/>
        <v>32.070000000001528</v>
      </c>
      <c r="L597" s="8">
        <f t="shared" ca="1" si="122"/>
        <v>3626.8200000000015</v>
      </c>
      <c r="M597" s="9">
        <f ca="1">AVERAGE(E597:OFFSET(E597,-M$5+1,0))</f>
        <v>8217.0339999999997</v>
      </c>
      <c r="N597" s="9">
        <f ca="1">AVERAGE(E597:OFFSET(E597,-N$5+1,0))</f>
        <v>8145.8505000000005</v>
      </c>
      <c r="O597" s="9">
        <f t="shared" ca="1" si="123"/>
        <v>0</v>
      </c>
      <c r="P597" s="14">
        <f t="shared" si="128"/>
        <v>0.12865050541847051</v>
      </c>
      <c r="Q597" s="15">
        <f ca="1">STDEV(P597:OFFSET(P597,-$Q$5+1,0))</f>
        <v>0.5358445689478406</v>
      </c>
      <c r="R597" s="15">
        <f ca="1">STDEV(P597:OFFSET(P597,-$R$5+1,0))</f>
        <v>0.69000573345877214</v>
      </c>
      <c r="S597" s="18">
        <f t="shared" si="115"/>
        <v>63.3799999999992</v>
      </c>
      <c r="T597" s="18">
        <f t="shared" si="116"/>
        <v>72.979999999999563</v>
      </c>
      <c r="U597" s="18">
        <f t="shared" si="124"/>
        <v>72.645637929060342</v>
      </c>
      <c r="V597" s="33">
        <f ca="1">AVERAGE(E597:OFFSET(E597,-V$5+1,0))</f>
        <v>8196.892142857143</v>
      </c>
      <c r="W597" s="33">
        <f t="shared" ca="1" si="117"/>
        <v>8305.8605997507329</v>
      </c>
      <c r="X597" s="33">
        <f t="shared" ca="1" si="118"/>
        <v>8087.9236859635521</v>
      </c>
      <c r="Y597" s="32">
        <f t="shared" ca="1" si="125"/>
        <v>0</v>
      </c>
    </row>
    <row r="598" spans="1:25">
      <c r="A598" s="5">
        <v>39240</v>
      </c>
      <c r="B598" s="4">
        <v>8298.9699999999993</v>
      </c>
      <c r="C598" s="4">
        <v>8368.56</v>
      </c>
      <c r="D598" s="4">
        <v>8263.61</v>
      </c>
      <c r="E598" s="4">
        <v>8355.26</v>
      </c>
      <c r="F598" s="4">
        <v>3844000</v>
      </c>
      <c r="G598" s="8">
        <f t="shared" si="127"/>
        <v>-15.710000000000946</v>
      </c>
      <c r="H598" s="8">
        <f t="shared" si="126"/>
        <v>56.290000000000873</v>
      </c>
      <c r="I598" s="20">
        <f t="shared" ca="1" si="119"/>
        <v>0</v>
      </c>
      <c r="J598" s="8">
        <f t="shared" ca="1" si="120"/>
        <v>3</v>
      </c>
      <c r="K598" s="8">
        <f t="shared" ca="1" si="121"/>
        <v>121.73999999999978</v>
      </c>
      <c r="L598" s="8">
        <f t="shared" ca="1" si="122"/>
        <v>3748.5600000000013</v>
      </c>
      <c r="M598" s="9">
        <f ca="1">AVERAGE(E598:OFFSET(E598,-M$5+1,0))</f>
        <v>8230.9189999999981</v>
      </c>
      <c r="N598" s="9">
        <f ca="1">AVERAGE(E598:OFFSET(E598,-N$5+1,0))</f>
        <v>8158.7705000000005</v>
      </c>
      <c r="O598" s="9">
        <f t="shared" ca="1" si="123"/>
        <v>0</v>
      </c>
      <c r="P598" s="14">
        <f t="shared" si="128"/>
        <v>0.48686534154617639</v>
      </c>
      <c r="Q598" s="15">
        <f ca="1">STDEV(P598:OFFSET(P598,-$Q$5+1,0))</f>
        <v>0.54388606132409856</v>
      </c>
      <c r="R598" s="15">
        <f ca="1">STDEV(P598:OFFSET(P598,-$R$5+1,0))</f>
        <v>0.69057539956086245</v>
      </c>
      <c r="S598" s="18">
        <f t="shared" si="115"/>
        <v>104.94999999999891</v>
      </c>
      <c r="T598" s="18">
        <f t="shared" si="116"/>
        <v>104.94999999999891</v>
      </c>
      <c r="U598" s="18">
        <f t="shared" si="124"/>
        <v>76.952886205185479</v>
      </c>
      <c r="V598" s="33">
        <f ca="1">AVERAGE(E598:OFFSET(E598,-V$5+1,0))</f>
        <v>8219.829285714286</v>
      </c>
      <c r="W598" s="33">
        <f t="shared" ca="1" si="117"/>
        <v>8335.258615022065</v>
      </c>
      <c r="X598" s="33">
        <f t="shared" ca="1" si="118"/>
        <v>8104.399956406508</v>
      </c>
      <c r="Y598" s="32">
        <f t="shared" ca="1" si="125"/>
        <v>0</v>
      </c>
    </row>
    <row r="599" spans="1:25">
      <c r="A599" s="5">
        <v>39241</v>
      </c>
      <c r="B599" s="4">
        <v>8288.26</v>
      </c>
      <c r="C599" s="4">
        <v>8308.4500000000007</v>
      </c>
      <c r="D599" s="4">
        <v>8279.9599999999991</v>
      </c>
      <c r="E599" s="4">
        <v>8300.7099999999991</v>
      </c>
      <c r="F599" s="4">
        <v>4241600</v>
      </c>
      <c r="G599" s="8">
        <f t="shared" si="127"/>
        <v>-67</v>
      </c>
      <c r="H599" s="8">
        <f t="shared" si="126"/>
        <v>12.449999999998909</v>
      </c>
      <c r="I599" s="20">
        <f t="shared" ca="1" si="119"/>
        <v>0</v>
      </c>
      <c r="J599" s="8">
        <f t="shared" ca="1" si="120"/>
        <v>3</v>
      </c>
      <c r="K599" s="8">
        <f t="shared" ca="1" si="121"/>
        <v>-163.65000000000327</v>
      </c>
      <c r="L599" s="8">
        <f t="shared" ca="1" si="122"/>
        <v>3584.909999999998</v>
      </c>
      <c r="M599" s="9">
        <f ca="1">AVERAGE(E599:OFFSET(E599,-M$5+1,0))</f>
        <v>8244.9929999999986</v>
      </c>
      <c r="N599" s="9">
        <f ca="1">AVERAGE(E599:OFFSET(E599,-N$5+1,0))</f>
        <v>8172.2289999999994</v>
      </c>
      <c r="O599" s="9">
        <f t="shared" ca="1" si="123"/>
        <v>0</v>
      </c>
      <c r="P599" s="14">
        <f t="shared" si="128"/>
        <v>-0.65502273408290768</v>
      </c>
      <c r="Q599" s="15">
        <f ca="1">STDEV(P599:OFFSET(P599,-$Q$5+1,0))</f>
        <v>0.53796357901141822</v>
      </c>
      <c r="R599" s="15">
        <f ca="1">STDEV(P599:OFFSET(P599,-$R$5+1,0))</f>
        <v>0.69975408866257793</v>
      </c>
      <c r="S599" s="18">
        <f t="shared" si="115"/>
        <v>28.490000000001601</v>
      </c>
      <c r="T599" s="18">
        <f t="shared" si="116"/>
        <v>75.300000000001091</v>
      </c>
      <c r="U599" s="18">
        <f t="shared" si="124"/>
        <v>76.73250137782756</v>
      </c>
      <c r="V599" s="33">
        <f ca="1">AVERAGE(E599:OFFSET(E599,-V$5+1,0))</f>
        <v>8231.1950000000015</v>
      </c>
      <c r="W599" s="33">
        <f t="shared" ca="1" si="117"/>
        <v>8346.2937520667438</v>
      </c>
      <c r="X599" s="33">
        <f t="shared" ca="1" si="118"/>
        <v>8116.0962479332602</v>
      </c>
      <c r="Y599" s="32">
        <f t="shared" ca="1" si="125"/>
        <v>0</v>
      </c>
    </row>
    <row r="600" spans="1:25">
      <c r="A600" s="5">
        <v>39244</v>
      </c>
      <c r="B600" s="4">
        <v>8351.0300000000007</v>
      </c>
      <c r="C600" s="4">
        <v>8359.75</v>
      </c>
      <c r="D600" s="4">
        <v>8328.61</v>
      </c>
      <c r="E600" s="4">
        <v>8338.8799999999992</v>
      </c>
      <c r="F600" s="4">
        <v>4133600</v>
      </c>
      <c r="G600" s="8">
        <f t="shared" si="127"/>
        <v>50.320000000001528</v>
      </c>
      <c r="H600" s="8">
        <f t="shared" si="126"/>
        <v>-12.150000000001455</v>
      </c>
      <c r="I600" s="20">
        <f t="shared" ca="1" si="119"/>
        <v>0</v>
      </c>
      <c r="J600" s="8">
        <f t="shared" ca="1" si="120"/>
        <v>3</v>
      </c>
      <c r="K600" s="8">
        <f t="shared" ca="1" si="121"/>
        <v>114.51000000000022</v>
      </c>
      <c r="L600" s="8">
        <f t="shared" ca="1" si="122"/>
        <v>3699.4199999999983</v>
      </c>
      <c r="M600" s="9">
        <f ca="1">AVERAGE(E600:OFFSET(E600,-M$5+1,0))</f>
        <v>8263.1989999999987</v>
      </c>
      <c r="N600" s="9">
        <f ca="1">AVERAGE(E600:OFFSET(E600,-N$5+1,0))</f>
        <v>8187.6450000000013</v>
      </c>
      <c r="O600" s="9">
        <f t="shared" ca="1" si="123"/>
        <v>0</v>
      </c>
      <c r="P600" s="14">
        <f t="shared" si="128"/>
        <v>0.45878614739497797</v>
      </c>
      <c r="Q600" s="15">
        <f ca="1">STDEV(P600:OFFSET(P600,-$Q$5+1,0))</f>
        <v>0.53942167343112446</v>
      </c>
      <c r="R600" s="15">
        <f ca="1">STDEV(P600:OFFSET(P600,-$R$5+1,0))</f>
        <v>0.68406703092119814</v>
      </c>
      <c r="S600" s="18">
        <f t="shared" si="115"/>
        <v>31.139999999999418</v>
      </c>
      <c r="T600" s="18">
        <f t="shared" si="116"/>
        <v>59.040000000000873</v>
      </c>
      <c r="U600" s="18">
        <f t="shared" si="124"/>
        <v>74.373501194117338</v>
      </c>
      <c r="V600" s="33">
        <f ca="1">AVERAGE(E600:OFFSET(E600,-V$5+1,0))</f>
        <v>8241.9271428571428</v>
      </c>
      <c r="W600" s="33">
        <f t="shared" ca="1" si="117"/>
        <v>8353.4873946483185</v>
      </c>
      <c r="X600" s="33">
        <f t="shared" ca="1" si="118"/>
        <v>8130.3668910659671</v>
      </c>
      <c r="Y600" s="32">
        <f t="shared" ca="1" si="125"/>
        <v>0</v>
      </c>
    </row>
    <row r="601" spans="1:25">
      <c r="A601" s="5">
        <v>39245</v>
      </c>
      <c r="B601" s="4">
        <v>8371.7000000000007</v>
      </c>
      <c r="C601" s="4">
        <v>8396.2199999999993</v>
      </c>
      <c r="D601" s="4">
        <v>8345.01</v>
      </c>
      <c r="E601" s="4">
        <v>8370.26</v>
      </c>
      <c r="F601" s="4">
        <v>4774400</v>
      </c>
      <c r="G601" s="8">
        <f t="shared" si="127"/>
        <v>32.820000000001528</v>
      </c>
      <c r="H601" s="8">
        <f t="shared" si="126"/>
        <v>-1.4400000000005093</v>
      </c>
      <c r="I601" s="20">
        <f t="shared" ca="1" si="119"/>
        <v>1</v>
      </c>
      <c r="J601" s="8">
        <f t="shared" ca="1" si="120"/>
        <v>3</v>
      </c>
      <c r="K601" s="8">
        <f t="shared" ca="1" si="121"/>
        <v>94.140000000003056</v>
      </c>
      <c r="L601" s="8">
        <f t="shared" ca="1" si="122"/>
        <v>3793.5600000000013</v>
      </c>
      <c r="M601" s="9">
        <f ca="1">AVERAGE(E601:OFFSET(E601,-M$5+1,0))</f>
        <v>8282.0759999999991</v>
      </c>
      <c r="N601" s="9">
        <f ca="1">AVERAGE(E601:OFFSET(E601,-N$5+1,0))</f>
        <v>8207.406500000001</v>
      </c>
      <c r="O601" s="9">
        <f t="shared" ca="1" si="123"/>
        <v>0</v>
      </c>
      <c r="P601" s="14">
        <f t="shared" si="128"/>
        <v>0.37560325536608996</v>
      </c>
      <c r="Q601" s="15">
        <f ca="1">STDEV(P601:OFFSET(P601,-$Q$5+1,0))</f>
        <v>0.54115309969520164</v>
      </c>
      <c r="R601" s="15">
        <f ca="1">STDEV(P601:OFFSET(P601,-$R$5+1,0))</f>
        <v>0.68228217083253506</v>
      </c>
      <c r="S601" s="18">
        <f t="shared" si="115"/>
        <v>51.209999999999127</v>
      </c>
      <c r="T601" s="18">
        <f t="shared" si="116"/>
        <v>57.340000000000146</v>
      </c>
      <c r="U601" s="18">
        <f t="shared" si="124"/>
        <v>72.102367701568383</v>
      </c>
      <c r="V601" s="33">
        <f ca="1">AVERAGE(E601:OFFSET(E601,-V$5+1,0))</f>
        <v>8252.5321428571424</v>
      </c>
      <c r="W601" s="33">
        <f t="shared" ca="1" si="117"/>
        <v>8360.6856944094943</v>
      </c>
      <c r="X601" s="33">
        <f t="shared" ca="1" si="118"/>
        <v>8144.3785913047896</v>
      </c>
      <c r="Y601" s="32">
        <f t="shared" ca="1" si="125"/>
        <v>1</v>
      </c>
    </row>
    <row r="602" spans="1:25">
      <c r="A602" s="5">
        <v>39246</v>
      </c>
      <c r="B602" s="4">
        <v>8388.49</v>
      </c>
      <c r="C602" s="4">
        <v>8388.49</v>
      </c>
      <c r="D602" s="4">
        <v>8336.5300000000007</v>
      </c>
      <c r="E602" s="4">
        <v>8346.39</v>
      </c>
      <c r="F602" s="4">
        <v>4398600</v>
      </c>
      <c r="G602" s="8">
        <f t="shared" si="127"/>
        <v>18.229999999999563</v>
      </c>
      <c r="H602" s="8">
        <f t="shared" si="126"/>
        <v>-42.100000000000364</v>
      </c>
      <c r="I602" s="20">
        <f t="shared" ca="1" si="119"/>
        <v>0</v>
      </c>
      <c r="J602" s="8">
        <f t="shared" ca="1" si="120"/>
        <v>3</v>
      </c>
      <c r="K602" s="8">
        <f t="shared" ca="1" si="121"/>
        <v>-71.610000000002401</v>
      </c>
      <c r="L602" s="8">
        <f t="shared" ca="1" si="122"/>
        <v>3721.9499999999989</v>
      </c>
      <c r="M602" s="9">
        <f ca="1">AVERAGE(E602:OFFSET(E602,-M$5+1,0))</f>
        <v>8301.9809999999998</v>
      </c>
      <c r="N602" s="9">
        <f ca="1">AVERAGE(E602:OFFSET(E602,-N$5+1,0))</f>
        <v>8225.2975000000006</v>
      </c>
      <c r="O602" s="9">
        <f t="shared" ca="1" si="123"/>
        <v>0</v>
      </c>
      <c r="P602" s="14">
        <f t="shared" si="128"/>
        <v>-0.28558372907558893</v>
      </c>
      <c r="Q602" s="15">
        <f ca="1">STDEV(P602:OFFSET(P602,-$Q$5+1,0))</f>
        <v>0.52492564906918915</v>
      </c>
      <c r="R602" s="15">
        <f ca="1">STDEV(P602:OFFSET(P602,-$R$5+1,0))</f>
        <v>0.65945237790817857</v>
      </c>
      <c r="S602" s="18">
        <f t="shared" si="115"/>
        <v>51.959999999999127</v>
      </c>
      <c r="T602" s="18">
        <f t="shared" si="116"/>
        <v>51.959999999999127</v>
      </c>
      <c r="U602" s="18">
        <f t="shared" si="124"/>
        <v>69.416718674692476</v>
      </c>
      <c r="V602" s="33">
        <f ca="1">AVERAGE(E602:OFFSET(E602,-V$5+1,0))</f>
        <v>8261.8164285714283</v>
      </c>
      <c r="W602" s="33">
        <f t="shared" ca="1" si="117"/>
        <v>8365.9415065834673</v>
      </c>
      <c r="X602" s="33">
        <f t="shared" ca="1" si="118"/>
        <v>8157.6913505593893</v>
      </c>
      <c r="Y602" s="32">
        <f t="shared" ca="1" si="125"/>
        <v>0</v>
      </c>
    </row>
    <row r="603" spans="1:25">
      <c r="A603" s="5">
        <v>39247</v>
      </c>
      <c r="B603" s="4">
        <v>8421.2099999999991</v>
      </c>
      <c r="C603" s="4">
        <v>8476.1299999999992</v>
      </c>
      <c r="D603" s="4">
        <v>8409</v>
      </c>
      <c r="E603" s="4">
        <v>8450.7199999999993</v>
      </c>
      <c r="F603" s="4">
        <v>4853400</v>
      </c>
      <c r="G603" s="8">
        <f t="shared" si="127"/>
        <v>74.819999999999709</v>
      </c>
      <c r="H603" s="8">
        <f t="shared" si="126"/>
        <v>29.510000000000218</v>
      </c>
      <c r="I603" s="20">
        <f t="shared" ca="1" si="119"/>
        <v>1</v>
      </c>
      <c r="J603" s="8">
        <f t="shared" ca="1" si="120"/>
        <v>3</v>
      </c>
      <c r="K603" s="8">
        <f t="shared" ca="1" si="121"/>
        <v>312.98999999999978</v>
      </c>
      <c r="L603" s="8">
        <f t="shared" ca="1" si="122"/>
        <v>4034.9399999999987</v>
      </c>
      <c r="M603" s="9">
        <f ca="1">AVERAGE(E603:OFFSET(E603,-M$5+1,0))</f>
        <v>8332.5580000000009</v>
      </c>
      <c r="N603" s="9">
        <f ca="1">AVERAGE(E603:OFFSET(E603,-N$5+1,0))</f>
        <v>8245.9354999999996</v>
      </c>
      <c r="O603" s="9">
        <f t="shared" ca="1" si="123"/>
        <v>0</v>
      </c>
      <c r="P603" s="14">
        <f t="shared" si="128"/>
        <v>1.2422534790196409</v>
      </c>
      <c r="Q603" s="15">
        <f ca="1">STDEV(P603:OFFSET(P603,-$Q$5+1,0))</f>
        <v>0.60061971367901079</v>
      </c>
      <c r="R603" s="15">
        <f ca="1">STDEV(P603:OFFSET(P603,-$R$5+1,0))</f>
        <v>0.67980544479000593</v>
      </c>
      <c r="S603" s="18">
        <f t="shared" si="115"/>
        <v>67.1299999999992</v>
      </c>
      <c r="T603" s="18">
        <f t="shared" si="116"/>
        <v>129.73999999999978</v>
      </c>
      <c r="U603" s="18">
        <f t="shared" si="124"/>
        <v>77.459822851400119</v>
      </c>
      <c r="V603" s="33">
        <f ca="1">AVERAGE(E603:OFFSET(E603,-V$5+1,0))</f>
        <v>8282.5842857142852</v>
      </c>
      <c r="W603" s="33">
        <f t="shared" ca="1" si="117"/>
        <v>8398.774019991386</v>
      </c>
      <c r="X603" s="33">
        <f t="shared" ca="1" si="118"/>
        <v>8166.3945514371853</v>
      </c>
      <c r="Y603" s="32">
        <f t="shared" ca="1" si="125"/>
        <v>1</v>
      </c>
    </row>
    <row r="604" spans="1:25">
      <c r="A604" s="5">
        <v>39248</v>
      </c>
      <c r="B604" s="4">
        <v>8519.3799999999992</v>
      </c>
      <c r="C604" s="4">
        <v>8578.33</v>
      </c>
      <c r="D604" s="4">
        <v>8511.07</v>
      </c>
      <c r="E604" s="4">
        <v>8573.64</v>
      </c>
      <c r="F604" s="4">
        <v>5280000</v>
      </c>
      <c r="G604" s="8">
        <f t="shared" si="127"/>
        <v>68.659999999999854</v>
      </c>
      <c r="H604" s="8">
        <f t="shared" si="126"/>
        <v>54.260000000000218</v>
      </c>
      <c r="I604" s="20">
        <f t="shared" ca="1" si="119"/>
        <v>0</v>
      </c>
      <c r="J604" s="8">
        <f t="shared" ca="1" si="120"/>
        <v>3</v>
      </c>
      <c r="K604" s="8">
        <f t="shared" ca="1" si="121"/>
        <v>368.76000000000022</v>
      </c>
      <c r="L604" s="8">
        <f t="shared" ca="1" si="122"/>
        <v>4403.6999999999989</v>
      </c>
      <c r="M604" s="9">
        <f ca="1">AVERAGE(E604:OFFSET(E604,-M$5+1,0))</f>
        <v>8364.9319999999989</v>
      </c>
      <c r="N604" s="9">
        <f ca="1">AVERAGE(E604:OFFSET(E604,-N$5+1,0))</f>
        <v>8272.9105000000018</v>
      </c>
      <c r="O604" s="9">
        <f t="shared" ca="1" si="123"/>
        <v>0</v>
      </c>
      <c r="P604" s="14">
        <f t="shared" si="128"/>
        <v>1.4440735050755489</v>
      </c>
      <c r="Q604" s="15">
        <f ca="1">STDEV(P604:OFFSET(P604,-$Q$5+1,0))</f>
        <v>0.62976945104798487</v>
      </c>
      <c r="R604" s="15">
        <f ca="1">STDEV(P604:OFFSET(P604,-$R$5+1,0))</f>
        <v>0.66084385747375918</v>
      </c>
      <c r="S604" s="18">
        <f t="shared" si="115"/>
        <v>67.260000000000218</v>
      </c>
      <c r="T604" s="18">
        <f t="shared" si="116"/>
        <v>127.61000000000058</v>
      </c>
      <c r="U604" s="18">
        <f t="shared" si="124"/>
        <v>84.146513137880177</v>
      </c>
      <c r="V604" s="33">
        <f ca="1">AVERAGE(E604:OFFSET(E604,-V$5+1,0))</f>
        <v>8312.3571428571413</v>
      </c>
      <c r="W604" s="33">
        <f t="shared" ca="1" si="117"/>
        <v>8438.5769125639617</v>
      </c>
      <c r="X604" s="33">
        <f t="shared" ca="1" si="118"/>
        <v>8186.1373731503209</v>
      </c>
      <c r="Y604" s="32">
        <f t="shared" ca="1" si="125"/>
        <v>0</v>
      </c>
    </row>
    <row r="605" spans="1:25">
      <c r="A605" s="5">
        <v>39253</v>
      </c>
      <c r="B605" s="4">
        <v>8651.26</v>
      </c>
      <c r="C605" s="4">
        <v>8761.8799999999992</v>
      </c>
      <c r="D605" s="4">
        <v>8636.4699999999993</v>
      </c>
      <c r="E605" s="4">
        <v>8755.8799999999992</v>
      </c>
      <c r="F605" s="4">
        <v>6320400</v>
      </c>
      <c r="G605" s="8">
        <f t="shared" si="127"/>
        <v>77.6200000000008</v>
      </c>
      <c r="H605" s="8">
        <f t="shared" si="126"/>
        <v>104.61999999999898</v>
      </c>
      <c r="I605" s="20">
        <f t="shared" ca="1" si="119"/>
        <v>0</v>
      </c>
      <c r="J605" s="8">
        <f t="shared" ca="1" si="120"/>
        <v>3</v>
      </c>
      <c r="K605" s="8">
        <f t="shared" ca="1" si="121"/>
        <v>546.71999999999935</v>
      </c>
      <c r="L605" s="8">
        <f t="shared" ca="1" si="122"/>
        <v>4950.4199999999983</v>
      </c>
      <c r="M605" s="9">
        <f ca="1">AVERAGE(E605:OFFSET(E605,-M$5+1,0))</f>
        <v>8411.0410000000011</v>
      </c>
      <c r="N605" s="9">
        <f ca="1">AVERAGE(E605:OFFSET(E605,-N$5+1,0))</f>
        <v>8303.625</v>
      </c>
      <c r="O605" s="9">
        <f t="shared" ca="1" si="123"/>
        <v>0</v>
      </c>
      <c r="P605" s="14">
        <f t="shared" si="128"/>
        <v>2.1033094788116111</v>
      </c>
      <c r="Q605" s="15">
        <f ca="1">STDEV(P605:OFFSET(P605,-$Q$5+1,0))</f>
        <v>0.83359500654357632</v>
      </c>
      <c r="R605" s="15">
        <f ca="1">STDEV(P605:OFFSET(P605,-$R$5+1,0))</f>
        <v>0.72231424671962519</v>
      </c>
      <c r="S605" s="18">
        <f t="shared" si="115"/>
        <v>125.40999999999985</v>
      </c>
      <c r="T605" s="18">
        <f t="shared" si="116"/>
        <v>188.23999999999978</v>
      </c>
      <c r="U605" s="18">
        <f t="shared" si="124"/>
        <v>98.025644719496114</v>
      </c>
      <c r="V605" s="33">
        <f ca="1">AVERAGE(E605:OFFSET(E605,-V$5+1,0))</f>
        <v>8353.3850000000002</v>
      </c>
      <c r="W605" s="33">
        <f t="shared" ca="1" si="117"/>
        <v>8500.4234670792448</v>
      </c>
      <c r="X605" s="33">
        <f t="shared" ca="1" si="118"/>
        <v>8206.3465329207556</v>
      </c>
      <c r="Y605" s="32">
        <f t="shared" ca="1" si="125"/>
        <v>0</v>
      </c>
    </row>
    <row r="606" spans="1:25">
      <c r="A606" s="5">
        <v>39254</v>
      </c>
      <c r="B606" s="4">
        <v>8789.09</v>
      </c>
      <c r="C606" s="4">
        <v>8871.7199999999993</v>
      </c>
      <c r="D606" s="4">
        <v>8722.15</v>
      </c>
      <c r="E606" s="4">
        <v>8851.99</v>
      </c>
      <c r="F606" s="4">
        <v>5581200</v>
      </c>
      <c r="G606" s="8">
        <f t="shared" si="127"/>
        <v>33.210000000000946</v>
      </c>
      <c r="H606" s="8">
        <f t="shared" si="126"/>
        <v>62.899999999999636</v>
      </c>
      <c r="I606" s="20">
        <f t="shared" ca="1" si="119"/>
        <v>0</v>
      </c>
      <c r="J606" s="8">
        <f t="shared" ca="1" si="120"/>
        <v>3</v>
      </c>
      <c r="K606" s="8">
        <f t="shared" ca="1" si="121"/>
        <v>288.33000000000175</v>
      </c>
      <c r="L606" s="8">
        <f t="shared" ca="1" si="122"/>
        <v>5238.75</v>
      </c>
      <c r="M606" s="9">
        <f ca="1">AVERAGE(E606:OFFSET(E606,-M$5+1,0))</f>
        <v>8465.8410000000022</v>
      </c>
      <c r="N606" s="9">
        <f ca="1">AVERAGE(E606:OFFSET(E606,-N$5+1,0))</f>
        <v>8336.7929999999997</v>
      </c>
      <c r="O606" s="9">
        <f t="shared" ca="1" si="123"/>
        <v>0</v>
      </c>
      <c r="P606" s="14">
        <f t="shared" si="128"/>
        <v>1.0916817821332268</v>
      </c>
      <c r="Q606" s="15">
        <f ca="1">STDEV(P606:OFFSET(P606,-$Q$5+1,0))</f>
        <v>0.83506403368149429</v>
      </c>
      <c r="R606" s="15">
        <f ca="1">STDEV(P606:OFFSET(P606,-$R$5+1,0))</f>
        <v>0.7285030561678808</v>
      </c>
      <c r="S606" s="18">
        <f t="shared" si="115"/>
        <v>149.56999999999971</v>
      </c>
      <c r="T606" s="18">
        <f t="shared" si="116"/>
        <v>149.56999999999971</v>
      </c>
      <c r="U606" s="18">
        <f t="shared" si="124"/>
        <v>104.89822542356326</v>
      </c>
      <c r="V606" s="33">
        <f ca="1">AVERAGE(E606:OFFSET(E606,-V$5+1,0))</f>
        <v>8403.7171428571437</v>
      </c>
      <c r="W606" s="33">
        <f t="shared" ca="1" si="117"/>
        <v>8561.0644809924888</v>
      </c>
      <c r="X606" s="33">
        <f t="shared" ca="1" si="118"/>
        <v>8246.3698047217986</v>
      </c>
      <c r="Y606" s="32">
        <f t="shared" ca="1" si="125"/>
        <v>0</v>
      </c>
    </row>
    <row r="607" spans="1:25">
      <c r="A607" s="5">
        <v>39255</v>
      </c>
      <c r="B607" s="4">
        <v>8879.99</v>
      </c>
      <c r="C607" s="4">
        <v>8884.0300000000007</v>
      </c>
      <c r="D607" s="4">
        <v>8799.2900000000009</v>
      </c>
      <c r="E607" s="4">
        <v>8846.39</v>
      </c>
      <c r="F607" s="4">
        <v>5979200</v>
      </c>
      <c r="G607" s="8">
        <f t="shared" si="127"/>
        <v>28</v>
      </c>
      <c r="H607" s="8">
        <f t="shared" si="126"/>
        <v>-33.600000000000364</v>
      </c>
      <c r="I607" s="20">
        <f t="shared" ca="1" si="119"/>
        <v>0</v>
      </c>
      <c r="J607" s="8">
        <f t="shared" ca="1" si="120"/>
        <v>3</v>
      </c>
      <c r="K607" s="8">
        <f t="shared" ca="1" si="121"/>
        <v>-16.800000000001091</v>
      </c>
      <c r="L607" s="8">
        <f t="shared" ca="1" si="122"/>
        <v>5221.9499999999989</v>
      </c>
      <c r="M607" s="9">
        <f ca="1">AVERAGE(E607:OFFSET(E607,-M$5+1,0))</f>
        <v>8519.0120000000006</v>
      </c>
      <c r="N607" s="9">
        <f ca="1">AVERAGE(E607:OFFSET(E607,-N$5+1,0))</f>
        <v>8368.023000000001</v>
      </c>
      <c r="O607" s="9">
        <f t="shared" ca="1" si="123"/>
        <v>0</v>
      </c>
      <c r="P607" s="14">
        <f t="shared" si="128"/>
        <v>-6.3282630239449023E-2</v>
      </c>
      <c r="Q607" s="15">
        <f ca="1">STDEV(P607:OFFSET(P607,-$Q$5+1,0))</f>
        <v>0.8501680619578158</v>
      </c>
      <c r="R607" s="15">
        <f ca="1">STDEV(P607:OFFSET(P607,-$R$5+1,0))</f>
        <v>0.72954508373363047</v>
      </c>
      <c r="S607" s="18">
        <f t="shared" si="115"/>
        <v>84.739999999999782</v>
      </c>
      <c r="T607" s="18">
        <f t="shared" si="116"/>
        <v>84.739999999999782</v>
      </c>
      <c r="U607" s="18">
        <f t="shared" si="124"/>
        <v>102.21046203375479</v>
      </c>
      <c r="V607" s="33">
        <f ca="1">AVERAGE(E607:OFFSET(E607,-V$5+1,0))</f>
        <v>8453.8200000000015</v>
      </c>
      <c r="W607" s="33">
        <f t="shared" ca="1" si="117"/>
        <v>8607.1356930506336</v>
      </c>
      <c r="X607" s="33">
        <f t="shared" ca="1" si="118"/>
        <v>8300.5043069493695</v>
      </c>
      <c r="Y607" s="32">
        <f t="shared" ca="1" si="125"/>
        <v>0</v>
      </c>
    </row>
    <row r="608" spans="1:25">
      <c r="A608" s="5">
        <v>39258</v>
      </c>
      <c r="B608" s="4">
        <v>8882.2999999999993</v>
      </c>
      <c r="C608" s="4">
        <v>8985.93</v>
      </c>
      <c r="D608" s="4">
        <v>8882.2999999999993</v>
      </c>
      <c r="E608" s="4">
        <v>8939.19</v>
      </c>
      <c r="F608" s="4">
        <v>6503800</v>
      </c>
      <c r="G608" s="8">
        <f t="shared" si="127"/>
        <v>35.909999999999854</v>
      </c>
      <c r="H608" s="8">
        <f t="shared" si="126"/>
        <v>56.890000000001237</v>
      </c>
      <c r="I608" s="20">
        <f t="shared" ca="1" si="119"/>
        <v>0</v>
      </c>
      <c r="J608" s="8">
        <f t="shared" ca="1" si="120"/>
        <v>3</v>
      </c>
      <c r="K608" s="8">
        <f t="shared" ca="1" si="121"/>
        <v>278.40000000000327</v>
      </c>
      <c r="L608" s="8">
        <f t="shared" ca="1" si="122"/>
        <v>5500.3500000000022</v>
      </c>
      <c r="M608" s="9">
        <f ca="1">AVERAGE(E608:OFFSET(E608,-M$5+1,0))</f>
        <v>8577.4050000000007</v>
      </c>
      <c r="N608" s="9">
        <f ca="1">AVERAGE(E608:OFFSET(E608,-N$5+1,0))</f>
        <v>8404.1620000000003</v>
      </c>
      <c r="O608" s="9">
        <f t="shared" ca="1" si="123"/>
        <v>0</v>
      </c>
      <c r="P608" s="14">
        <f t="shared" si="128"/>
        <v>1.0435514856219714</v>
      </c>
      <c r="Q608" s="15">
        <f ca="1">STDEV(P608:OFFSET(P608,-$Q$5+1,0))</f>
        <v>0.85867463835107694</v>
      </c>
      <c r="R608" s="15">
        <f ca="1">STDEV(P608:OFFSET(P608,-$R$5+1,0))</f>
        <v>0.72227034586580563</v>
      </c>
      <c r="S608" s="18">
        <f t="shared" si="115"/>
        <v>103.63000000000102</v>
      </c>
      <c r="T608" s="18">
        <f t="shared" si="116"/>
        <v>139.54000000000087</v>
      </c>
      <c r="U608" s="18">
        <f t="shared" si="124"/>
        <v>107.18773376258761</v>
      </c>
      <c r="V608" s="33">
        <f ca="1">AVERAGE(E608:OFFSET(E608,-V$5+1,0))</f>
        <v>8503.0550000000003</v>
      </c>
      <c r="W608" s="33">
        <f t="shared" ca="1" si="117"/>
        <v>8663.836600643881</v>
      </c>
      <c r="X608" s="33">
        <f t="shared" ca="1" si="118"/>
        <v>8342.2733993561196</v>
      </c>
      <c r="Y608" s="32">
        <f t="shared" ca="1" si="125"/>
        <v>0</v>
      </c>
    </row>
    <row r="609" spans="1:25">
      <c r="A609" s="5">
        <v>39259</v>
      </c>
      <c r="B609" s="4">
        <v>8965.82</v>
      </c>
      <c r="C609" s="4">
        <v>8983.9599999999991</v>
      </c>
      <c r="D609" s="4">
        <v>8856.2900000000009</v>
      </c>
      <c r="E609" s="4">
        <v>8865.75</v>
      </c>
      <c r="F609" s="4">
        <v>5709600</v>
      </c>
      <c r="G609" s="8">
        <f t="shared" si="127"/>
        <v>26.6299999999992</v>
      </c>
      <c r="H609" s="8">
        <f t="shared" si="126"/>
        <v>-100.06999999999971</v>
      </c>
      <c r="I609" s="20">
        <f t="shared" ca="1" si="119"/>
        <v>0</v>
      </c>
      <c r="J609" s="8">
        <f t="shared" ca="1" si="120"/>
        <v>3</v>
      </c>
      <c r="K609" s="8">
        <f t="shared" ca="1" si="121"/>
        <v>-220.32000000000153</v>
      </c>
      <c r="L609" s="8">
        <f t="shared" ca="1" si="122"/>
        <v>5280.0300000000007</v>
      </c>
      <c r="M609" s="9">
        <f ca="1">AVERAGE(E609:OFFSET(E609,-M$5+1,0))</f>
        <v>8633.9089999999997</v>
      </c>
      <c r="N609" s="9">
        <f ca="1">AVERAGE(E609:OFFSET(E609,-N$5+1,0))</f>
        <v>8439.4509999999973</v>
      </c>
      <c r="O609" s="9">
        <f t="shared" ca="1" si="123"/>
        <v>0</v>
      </c>
      <c r="P609" s="14">
        <f t="shared" si="128"/>
        <v>-0.82494427373254875</v>
      </c>
      <c r="Q609" s="15">
        <f ca="1">STDEV(P609:OFFSET(P609,-$Q$5+1,0))</f>
        <v>0.88907359564024002</v>
      </c>
      <c r="R609" s="15">
        <f ca="1">STDEV(P609:OFFSET(P609,-$R$5+1,0))</f>
        <v>0.74312882922255585</v>
      </c>
      <c r="S609" s="18">
        <f t="shared" si="115"/>
        <v>127.66999999999825</v>
      </c>
      <c r="T609" s="18">
        <f t="shared" si="116"/>
        <v>127.66999999999825</v>
      </c>
      <c r="U609" s="18">
        <f t="shared" si="124"/>
        <v>109.91870259424238</v>
      </c>
      <c r="V609" s="33">
        <f ca="1">AVERAGE(E609:OFFSET(E609,-V$5+1,0))</f>
        <v>8543.8378571428584</v>
      </c>
      <c r="W609" s="33">
        <f t="shared" ca="1" si="117"/>
        <v>8708.7159110342218</v>
      </c>
      <c r="X609" s="33">
        <f t="shared" ca="1" si="118"/>
        <v>8378.959803251495</v>
      </c>
      <c r="Y609" s="32">
        <f t="shared" ca="1" si="125"/>
        <v>0</v>
      </c>
    </row>
    <row r="610" spans="1:25">
      <c r="A610" s="5">
        <v>39260</v>
      </c>
      <c r="B610" s="4">
        <v>8862.2900000000009</v>
      </c>
      <c r="C610" s="4">
        <v>8887.8799999999992</v>
      </c>
      <c r="D610" s="4">
        <v>8820.68</v>
      </c>
      <c r="E610" s="4">
        <v>8844.2199999999993</v>
      </c>
      <c r="F610" s="4">
        <v>5225800</v>
      </c>
      <c r="G610" s="8">
        <f t="shared" si="127"/>
        <v>-3.4599999999991269</v>
      </c>
      <c r="H610" s="8">
        <f t="shared" si="126"/>
        <v>-18.070000000001528</v>
      </c>
      <c r="I610" s="20">
        <f t="shared" ca="1" si="119"/>
        <v>0</v>
      </c>
      <c r="J610" s="8">
        <f t="shared" ca="1" si="120"/>
        <v>3</v>
      </c>
      <c r="K610" s="8">
        <f t="shared" ca="1" si="121"/>
        <v>-64.590000000001965</v>
      </c>
      <c r="L610" s="8">
        <f t="shared" ca="1" si="122"/>
        <v>5215.4399999999987</v>
      </c>
      <c r="M610" s="9">
        <f ca="1">AVERAGE(E610:OFFSET(E610,-M$5+1,0))</f>
        <v>8684.4429999999993</v>
      </c>
      <c r="N610" s="9">
        <f ca="1">AVERAGE(E610:OFFSET(E610,-N$5+1,0))</f>
        <v>8473.8209999999999</v>
      </c>
      <c r="O610" s="9">
        <f t="shared" ca="1" si="123"/>
        <v>0</v>
      </c>
      <c r="P610" s="14">
        <f t="shared" si="128"/>
        <v>-0.24314000087617918</v>
      </c>
      <c r="Q610" s="15">
        <f ca="1">STDEV(P610:OFFSET(P610,-$Q$5+1,0))</f>
        <v>0.93321003504065203</v>
      </c>
      <c r="R610" s="15">
        <f ca="1">STDEV(P610:OFFSET(P610,-$R$5+1,0))</f>
        <v>0.73359935908470908</v>
      </c>
      <c r="S610" s="18">
        <f t="shared" si="115"/>
        <v>67.199999999998909</v>
      </c>
      <c r="T610" s="18">
        <f t="shared" si="116"/>
        <v>67.199999999998909</v>
      </c>
      <c r="U610" s="18">
        <f t="shared" si="124"/>
        <v>104.22287558167658</v>
      </c>
      <c r="V610" s="33">
        <f ca="1">AVERAGE(E610:OFFSET(E610,-V$5+1,0))</f>
        <v>8582.425714285715</v>
      </c>
      <c r="W610" s="33">
        <f t="shared" ca="1" si="117"/>
        <v>8738.7600276582307</v>
      </c>
      <c r="X610" s="33">
        <f t="shared" ca="1" si="118"/>
        <v>8426.0914009131993</v>
      </c>
      <c r="Y610" s="32">
        <f t="shared" ca="1" si="125"/>
        <v>0</v>
      </c>
    </row>
    <row r="611" spans="1:25">
      <c r="A611" s="5">
        <v>39261</v>
      </c>
      <c r="B611" s="4">
        <v>8914.69</v>
      </c>
      <c r="C611" s="4">
        <v>8914.69</v>
      </c>
      <c r="D611" s="4">
        <v>8841.9599999999991</v>
      </c>
      <c r="E611" s="4">
        <v>8892.83</v>
      </c>
      <c r="F611" s="4">
        <v>5698600</v>
      </c>
      <c r="G611" s="8">
        <f t="shared" si="127"/>
        <v>70.470000000001164</v>
      </c>
      <c r="H611" s="8">
        <f t="shared" si="126"/>
        <v>-21.860000000000582</v>
      </c>
      <c r="I611" s="20">
        <f t="shared" ca="1" si="119"/>
        <v>0</v>
      </c>
      <c r="J611" s="8">
        <f t="shared" ca="1" si="120"/>
        <v>3</v>
      </c>
      <c r="K611" s="8">
        <f t="shared" ca="1" si="121"/>
        <v>145.83000000000175</v>
      </c>
      <c r="L611" s="8">
        <f t="shared" ca="1" si="122"/>
        <v>5361.27</v>
      </c>
      <c r="M611" s="9">
        <f ca="1">AVERAGE(E611:OFFSET(E611,-M$5+1,0))</f>
        <v>8736.7000000000007</v>
      </c>
      <c r="N611" s="9">
        <f ca="1">AVERAGE(E611:OFFSET(E611,-N$5+1,0))</f>
        <v>8509.3880000000008</v>
      </c>
      <c r="O611" s="9">
        <f t="shared" ca="1" si="123"/>
        <v>0</v>
      </c>
      <c r="P611" s="14">
        <f t="shared" si="128"/>
        <v>0.54811957683131562</v>
      </c>
      <c r="Q611" s="15">
        <f ca="1">STDEV(P611:OFFSET(P611,-$Q$5+1,0))</f>
        <v>0.93043055002410502</v>
      </c>
      <c r="R611" s="15">
        <f ca="1">STDEV(P611:OFFSET(P611,-$R$5+1,0))</f>
        <v>0.70834183149916108</v>
      </c>
      <c r="S611" s="18">
        <f t="shared" si="115"/>
        <v>72.730000000001382</v>
      </c>
      <c r="T611" s="18">
        <f t="shared" si="116"/>
        <v>72.730000000001382</v>
      </c>
      <c r="U611" s="18">
        <f t="shared" si="124"/>
        <v>100.02382550411988</v>
      </c>
      <c r="V611" s="33">
        <f ca="1">AVERAGE(E611:OFFSET(E611,-V$5+1,0))</f>
        <v>8623.7221428571447</v>
      </c>
      <c r="W611" s="33">
        <f t="shared" ca="1" si="117"/>
        <v>8773.7578811133244</v>
      </c>
      <c r="X611" s="33">
        <f t="shared" ca="1" si="118"/>
        <v>8473.686404600965</v>
      </c>
      <c r="Y611" s="32">
        <f t="shared" ca="1" si="125"/>
        <v>0</v>
      </c>
    </row>
    <row r="612" spans="1:25">
      <c r="A612" s="5">
        <v>39262</v>
      </c>
      <c r="B612" s="4">
        <v>8932.18</v>
      </c>
      <c r="C612" s="4">
        <v>8932.9500000000007</v>
      </c>
      <c r="D612" s="4">
        <v>8849.0400000000009</v>
      </c>
      <c r="E612" s="4">
        <v>8883.2099999999991</v>
      </c>
      <c r="F612" s="4">
        <v>5464800</v>
      </c>
      <c r="G612" s="8">
        <f t="shared" si="127"/>
        <v>39.350000000000364</v>
      </c>
      <c r="H612" s="8">
        <f t="shared" si="126"/>
        <v>-48.970000000001164</v>
      </c>
      <c r="I612" s="20">
        <f t="shared" ca="1" si="119"/>
        <v>0</v>
      </c>
      <c r="J612" s="8">
        <f t="shared" ca="1" si="120"/>
        <v>3</v>
      </c>
      <c r="K612" s="8">
        <f t="shared" ca="1" si="121"/>
        <v>-28.860000000002401</v>
      </c>
      <c r="L612" s="8">
        <f t="shared" ca="1" si="122"/>
        <v>5332.409999999998</v>
      </c>
      <c r="M612" s="9">
        <f ca="1">AVERAGE(E612:OFFSET(E612,-M$5+1,0))</f>
        <v>8790.3820000000014</v>
      </c>
      <c r="N612" s="9">
        <f ca="1">AVERAGE(E612:OFFSET(E612,-N$5+1,0))</f>
        <v>8546.1814999999988</v>
      </c>
      <c r="O612" s="9">
        <f t="shared" ca="1" si="123"/>
        <v>0</v>
      </c>
      <c r="P612" s="14">
        <f t="shared" si="128"/>
        <v>-0.10823559059440692</v>
      </c>
      <c r="Q612" s="15">
        <f ca="1">STDEV(P612:OFFSET(P612,-$Q$5+1,0))</f>
        <v>0.91308483719472344</v>
      </c>
      <c r="R612" s="15">
        <f ca="1">STDEV(P612:OFFSET(P612,-$R$5+1,0))</f>
        <v>0.71127381956637936</v>
      </c>
      <c r="S612" s="18">
        <f t="shared" si="115"/>
        <v>83.909999999999854</v>
      </c>
      <c r="T612" s="18">
        <f t="shared" si="116"/>
        <v>83.909999999999854</v>
      </c>
      <c r="U612" s="18">
        <f t="shared" si="124"/>
        <v>97.87531543690389</v>
      </c>
      <c r="V612" s="33">
        <f ca="1">AVERAGE(E612:OFFSET(E612,-V$5+1,0))</f>
        <v>8661.4328571428578</v>
      </c>
      <c r="W612" s="33">
        <f t="shared" ca="1" si="117"/>
        <v>8808.2458302982141</v>
      </c>
      <c r="X612" s="33">
        <f t="shared" ca="1" si="118"/>
        <v>8514.6198839875015</v>
      </c>
      <c r="Y612" s="32">
        <f t="shared" ca="1" si="125"/>
        <v>0</v>
      </c>
    </row>
    <row r="613" spans="1:25">
      <c r="A613" s="5">
        <v>39265</v>
      </c>
      <c r="B613" s="4">
        <v>8903.77</v>
      </c>
      <c r="C613" s="4">
        <v>8939.49</v>
      </c>
      <c r="D613" s="4">
        <v>8849.35</v>
      </c>
      <c r="E613" s="4">
        <v>8939.49</v>
      </c>
      <c r="F613" s="4">
        <v>5468400</v>
      </c>
      <c r="G613" s="8">
        <f t="shared" si="127"/>
        <v>20.56000000000131</v>
      </c>
      <c r="H613" s="8">
        <f t="shared" si="126"/>
        <v>35.719999999999345</v>
      </c>
      <c r="I613" s="20">
        <f t="shared" ca="1" si="119"/>
        <v>0</v>
      </c>
      <c r="J613" s="8">
        <f t="shared" ca="1" si="120"/>
        <v>3</v>
      </c>
      <c r="K613" s="8">
        <f t="shared" ca="1" si="121"/>
        <v>168.84000000000196</v>
      </c>
      <c r="L613" s="8">
        <f t="shared" ca="1" si="122"/>
        <v>5501.25</v>
      </c>
      <c r="M613" s="9">
        <f ca="1">AVERAGE(E613:OFFSET(E613,-M$5+1,0))</f>
        <v>8839.2590000000018</v>
      </c>
      <c r="N613" s="9">
        <f ca="1">AVERAGE(E613:OFFSET(E613,-N$5+1,0))</f>
        <v>8585.9084999999995</v>
      </c>
      <c r="O613" s="9">
        <f t="shared" ca="1" si="123"/>
        <v>0</v>
      </c>
      <c r="P613" s="14">
        <f t="shared" si="128"/>
        <v>0.63155624082497219</v>
      </c>
      <c r="Q613" s="15">
        <f ca="1">STDEV(P613:OFFSET(P613,-$Q$5+1,0))</f>
        <v>0.88714474385165909</v>
      </c>
      <c r="R613" s="15">
        <f ca="1">STDEV(P613:OFFSET(P613,-$R$5+1,0))</f>
        <v>0.71329495125222475</v>
      </c>
      <c r="S613" s="18">
        <f t="shared" si="115"/>
        <v>90.139999999999418</v>
      </c>
      <c r="T613" s="18">
        <f t="shared" si="116"/>
        <v>90.139999999999418</v>
      </c>
      <c r="U613" s="18">
        <f t="shared" si="124"/>
        <v>96.843940045316629</v>
      </c>
      <c r="V613" s="33">
        <f ca="1">AVERAGE(E613:OFFSET(E613,-V$5+1,0))</f>
        <v>8707.0600000000013</v>
      </c>
      <c r="W613" s="33">
        <f t="shared" ca="1" si="117"/>
        <v>8852.325910067977</v>
      </c>
      <c r="X613" s="33">
        <f t="shared" ca="1" si="118"/>
        <v>8561.7940899320256</v>
      </c>
      <c r="Y613" s="32">
        <f t="shared" ca="1" si="125"/>
        <v>0</v>
      </c>
    </row>
    <row r="614" spans="1:25">
      <c r="A614" s="5">
        <v>39266</v>
      </c>
      <c r="B614" s="4">
        <v>8983.24</v>
      </c>
      <c r="C614" s="4">
        <v>9019.93</v>
      </c>
      <c r="D614" s="4">
        <v>8977.09</v>
      </c>
      <c r="E614" s="4">
        <v>8996.2000000000007</v>
      </c>
      <c r="F614" s="4">
        <v>6580400</v>
      </c>
      <c r="G614" s="8">
        <f t="shared" si="127"/>
        <v>43.75</v>
      </c>
      <c r="H614" s="8">
        <f t="shared" si="126"/>
        <v>12.960000000000946</v>
      </c>
      <c r="I614" s="20">
        <f t="shared" ca="1" si="119"/>
        <v>0</v>
      </c>
      <c r="J614" s="8">
        <f t="shared" ca="1" si="120"/>
        <v>3</v>
      </c>
      <c r="K614" s="8">
        <f t="shared" ca="1" si="121"/>
        <v>170.13000000000284</v>
      </c>
      <c r="L614" s="8">
        <f t="shared" ca="1" si="122"/>
        <v>5671.3800000000028</v>
      </c>
      <c r="M614" s="9">
        <f ca="1">AVERAGE(E614:OFFSET(E614,-M$5+1,0))</f>
        <v>8881.5149999999994</v>
      </c>
      <c r="N614" s="9">
        <f ca="1">AVERAGE(E614:OFFSET(E614,-N$5+1,0))</f>
        <v>8623.2234999999982</v>
      </c>
      <c r="O614" s="9">
        <f t="shared" ca="1" si="123"/>
        <v>0</v>
      </c>
      <c r="P614" s="14">
        <f t="shared" si="128"/>
        <v>0.63237253747805877</v>
      </c>
      <c r="Q614" s="15">
        <f ca="1">STDEV(P614:OFFSET(P614,-$Q$5+1,0))</f>
        <v>0.83297869616801368</v>
      </c>
      <c r="R614" s="15">
        <f ca="1">STDEV(P614:OFFSET(P614,-$R$5+1,0))</f>
        <v>0.67635071603638286</v>
      </c>
      <c r="S614" s="18">
        <f t="shared" si="115"/>
        <v>42.840000000000146</v>
      </c>
      <c r="T614" s="18">
        <f t="shared" si="116"/>
        <v>80.440000000000509</v>
      </c>
      <c r="U614" s="18">
        <f t="shared" si="124"/>
        <v>94.656748039274476</v>
      </c>
      <c r="V614" s="33">
        <f ca="1">AVERAGE(E614:OFFSET(E614,-V$5+1,0))</f>
        <v>8754.011428571428</v>
      </c>
      <c r="W614" s="33">
        <f t="shared" ca="1" si="117"/>
        <v>8895.9965506303397</v>
      </c>
      <c r="X614" s="33">
        <f t="shared" ca="1" si="118"/>
        <v>8612.0263065125164</v>
      </c>
      <c r="Y614" s="32">
        <f t="shared" ca="1" si="125"/>
        <v>0</v>
      </c>
    </row>
    <row r="615" spans="1:25">
      <c r="A615" s="5">
        <v>39267</v>
      </c>
      <c r="B615" s="4">
        <v>9069.32</v>
      </c>
      <c r="C615" s="4">
        <v>9112.74</v>
      </c>
      <c r="D615" s="4">
        <v>9034.5</v>
      </c>
      <c r="E615" s="4">
        <v>9068.98</v>
      </c>
      <c r="F615" s="4">
        <v>7220200</v>
      </c>
      <c r="G615" s="8">
        <f t="shared" si="127"/>
        <v>73.119999999998981</v>
      </c>
      <c r="H615" s="8">
        <f t="shared" si="126"/>
        <v>-0.34000000000014552</v>
      </c>
      <c r="I615" s="20">
        <f t="shared" ca="1" si="119"/>
        <v>0</v>
      </c>
      <c r="J615" s="8">
        <f t="shared" ca="1" si="120"/>
        <v>3</v>
      </c>
      <c r="K615" s="8">
        <f t="shared" ca="1" si="121"/>
        <v>218.33999999999651</v>
      </c>
      <c r="L615" s="8">
        <f t="shared" ca="1" si="122"/>
        <v>5889.7199999999993</v>
      </c>
      <c r="M615" s="9">
        <f ca="1">AVERAGE(E615:OFFSET(E615,-M$5+1,0))</f>
        <v>8912.8250000000007</v>
      </c>
      <c r="N615" s="9">
        <f ca="1">AVERAGE(E615:OFFSET(E615,-N$5+1,0))</f>
        <v>8661.9330000000009</v>
      </c>
      <c r="O615" s="9">
        <f t="shared" ca="1" si="123"/>
        <v>0</v>
      </c>
      <c r="P615" s="14">
        <f t="shared" si="128"/>
        <v>0.80575331950935047</v>
      </c>
      <c r="Q615" s="15">
        <f ca="1">STDEV(P615:OFFSET(P615,-$Q$5+1,0))</f>
        <v>0.62806135614036596</v>
      </c>
      <c r="R615" s="15">
        <f ca="1">STDEV(P615:OFFSET(P615,-$R$5+1,0))</f>
        <v>0.67957551895133117</v>
      </c>
      <c r="S615" s="18">
        <f t="shared" si="115"/>
        <v>78.239999999999782</v>
      </c>
      <c r="T615" s="18">
        <f t="shared" si="116"/>
        <v>116.53999999999905</v>
      </c>
      <c r="U615" s="18">
        <f t="shared" si="124"/>
        <v>97.574514967371087</v>
      </c>
      <c r="V615" s="33">
        <f ca="1">AVERAGE(E615:OFFSET(E615,-V$5+1,0))</f>
        <v>8803.92</v>
      </c>
      <c r="W615" s="33">
        <f t="shared" ca="1" si="117"/>
        <v>8950.2817724510569</v>
      </c>
      <c r="X615" s="33">
        <f t="shared" ca="1" si="118"/>
        <v>8657.5582275489433</v>
      </c>
      <c r="Y615" s="32">
        <f t="shared" ca="1" si="125"/>
        <v>0</v>
      </c>
    </row>
    <row r="616" spans="1:25">
      <c r="A616" s="5">
        <v>39268</v>
      </c>
      <c r="B616" s="4">
        <v>9114.06</v>
      </c>
      <c r="C616" s="4">
        <v>9148.7800000000007</v>
      </c>
      <c r="D616" s="4">
        <v>9086.19</v>
      </c>
      <c r="E616" s="4">
        <v>9148.7800000000007</v>
      </c>
      <c r="F616" s="4">
        <v>7038200</v>
      </c>
      <c r="G616" s="8">
        <f t="shared" si="127"/>
        <v>45.079999999999927</v>
      </c>
      <c r="H616" s="8">
        <f t="shared" si="126"/>
        <v>34.720000000001164</v>
      </c>
      <c r="I616" s="20">
        <f t="shared" ca="1" si="119"/>
        <v>0</v>
      </c>
      <c r="J616" s="8">
        <f t="shared" ca="1" si="120"/>
        <v>3</v>
      </c>
      <c r="K616" s="8">
        <f t="shared" ca="1" si="121"/>
        <v>239.40000000000327</v>
      </c>
      <c r="L616" s="8">
        <f t="shared" ca="1" si="122"/>
        <v>6129.1200000000026</v>
      </c>
      <c r="M616" s="9">
        <f ca="1">AVERAGE(E616:OFFSET(E616,-M$5+1,0))</f>
        <v>8942.503999999999</v>
      </c>
      <c r="N616" s="9">
        <f ca="1">AVERAGE(E616:OFFSET(E616,-N$5+1,0))</f>
        <v>8704.1725000000024</v>
      </c>
      <c r="O616" s="9">
        <f t="shared" ca="1" si="123"/>
        <v>0</v>
      </c>
      <c r="P616" s="14">
        <f t="shared" si="128"/>
        <v>0.87607379162273624</v>
      </c>
      <c r="Q616" s="15">
        <f ca="1">STDEV(P616:OFFSET(P616,-$Q$5+1,0))</f>
        <v>0.60302403858459386</v>
      </c>
      <c r="R616" s="15">
        <f ca="1">STDEV(P616:OFFSET(P616,-$R$5+1,0))</f>
        <v>0.68068825433512337</v>
      </c>
      <c r="S616" s="18">
        <f t="shared" si="115"/>
        <v>62.590000000000146</v>
      </c>
      <c r="T616" s="18">
        <f t="shared" si="116"/>
        <v>79.800000000001091</v>
      </c>
      <c r="U616" s="18">
        <f t="shared" si="124"/>
        <v>95.204579638388424</v>
      </c>
      <c r="V616" s="33">
        <f ca="1">AVERAGE(E616:OFFSET(E616,-V$5+1,0))</f>
        <v>8861.2335714285709</v>
      </c>
      <c r="W616" s="33">
        <f t="shared" ca="1" si="117"/>
        <v>9004.0404408861541</v>
      </c>
      <c r="X616" s="33">
        <f t="shared" ca="1" si="118"/>
        <v>8718.4267019709878</v>
      </c>
      <c r="Y616" s="32">
        <f t="shared" ca="1" si="125"/>
        <v>0</v>
      </c>
    </row>
    <row r="617" spans="1:25">
      <c r="A617" s="5">
        <v>39269</v>
      </c>
      <c r="B617" s="4">
        <v>9169.56</v>
      </c>
      <c r="C617" s="4">
        <v>9199.66</v>
      </c>
      <c r="D617" s="4">
        <v>9118.26</v>
      </c>
      <c r="E617" s="4">
        <v>9188.31</v>
      </c>
      <c r="F617" s="4">
        <v>7483000</v>
      </c>
      <c r="G617" s="8">
        <f t="shared" si="127"/>
        <v>20.779999999998836</v>
      </c>
      <c r="H617" s="8">
        <f t="shared" si="126"/>
        <v>18.75</v>
      </c>
      <c r="I617" s="20">
        <f t="shared" ca="1" si="119"/>
        <v>0</v>
      </c>
      <c r="J617" s="8">
        <f t="shared" ca="1" si="120"/>
        <v>3</v>
      </c>
      <c r="K617" s="8">
        <f t="shared" ca="1" si="121"/>
        <v>118.58999999999651</v>
      </c>
      <c r="L617" s="8">
        <f t="shared" ca="1" si="122"/>
        <v>6247.7099999999991</v>
      </c>
      <c r="M617" s="9">
        <f ca="1">AVERAGE(E617:OFFSET(E617,-M$5+1,0))</f>
        <v>8976.6959999999999</v>
      </c>
      <c r="N617" s="9">
        <f ca="1">AVERAGE(E617:OFFSET(E617,-N$5+1,0))</f>
        <v>8747.8540000000012</v>
      </c>
      <c r="O617" s="9">
        <f t="shared" ca="1" si="123"/>
        <v>0</v>
      </c>
      <c r="P617" s="14">
        <f t="shared" si="128"/>
        <v>0.43114868536912643</v>
      </c>
      <c r="Q617" s="15">
        <f ca="1">STDEV(P617:OFFSET(P617,-$Q$5+1,0))</f>
        <v>0.58727909776911924</v>
      </c>
      <c r="R617" s="15">
        <f ca="1">STDEV(P617:OFFSET(P617,-$R$5+1,0))</f>
        <v>0.66712205083944265</v>
      </c>
      <c r="S617" s="18">
        <f t="shared" si="115"/>
        <v>81.399999999999636</v>
      </c>
      <c r="T617" s="18">
        <f t="shared" si="116"/>
        <v>81.399999999999636</v>
      </c>
      <c r="U617" s="18">
        <f t="shared" si="124"/>
        <v>93.36396901993659</v>
      </c>
      <c r="V617" s="33">
        <f ca="1">AVERAGE(E617:OFFSET(E617,-V$5+1,0))</f>
        <v>8913.9185714285722</v>
      </c>
      <c r="W617" s="33">
        <f t="shared" ca="1" si="117"/>
        <v>9053.9645249584773</v>
      </c>
      <c r="X617" s="33">
        <f t="shared" ca="1" si="118"/>
        <v>8773.8726178986672</v>
      </c>
      <c r="Y617" s="32">
        <f t="shared" ca="1" si="125"/>
        <v>0</v>
      </c>
    </row>
    <row r="618" spans="1:25">
      <c r="A618" s="5">
        <v>39272</v>
      </c>
      <c r="B618" s="4">
        <v>9246.44</v>
      </c>
      <c r="C618" s="4">
        <v>9369.84</v>
      </c>
      <c r="D618" s="4">
        <v>9239.2000000000007</v>
      </c>
      <c r="E618" s="4">
        <v>9369.84</v>
      </c>
      <c r="F618" s="4">
        <v>8013400</v>
      </c>
      <c r="G618" s="8">
        <f t="shared" si="127"/>
        <v>58.130000000001019</v>
      </c>
      <c r="H618" s="8">
        <f t="shared" si="126"/>
        <v>123.39999999999964</v>
      </c>
      <c r="I618" s="20">
        <f t="shared" ca="1" si="119"/>
        <v>0</v>
      </c>
      <c r="J618" s="8">
        <f t="shared" ca="1" si="120"/>
        <v>3</v>
      </c>
      <c r="K618" s="8">
        <f t="shared" ca="1" si="121"/>
        <v>544.59000000000196</v>
      </c>
      <c r="L618" s="8">
        <f t="shared" ca="1" si="122"/>
        <v>6792.3000000000011</v>
      </c>
      <c r="M618" s="9">
        <f ca="1">AVERAGE(E618:OFFSET(E618,-M$5+1,0))</f>
        <v>9019.7609999999986</v>
      </c>
      <c r="N618" s="9">
        <f ca="1">AVERAGE(E618:OFFSET(E618,-N$5+1,0))</f>
        <v>8798.5830000000005</v>
      </c>
      <c r="O618" s="9">
        <f t="shared" ca="1" si="123"/>
        <v>0</v>
      </c>
      <c r="P618" s="14">
        <f t="shared" si="128"/>
        <v>1.9563996412683244</v>
      </c>
      <c r="Q618" s="15">
        <f ca="1">STDEV(P618:OFFSET(P618,-$Q$5+1,0))</f>
        <v>0.75032515827925406</v>
      </c>
      <c r="R618" s="15">
        <f ca="1">STDEV(P618:OFFSET(P618,-$R$5+1,0))</f>
        <v>0.71443037590413705</v>
      </c>
      <c r="S618" s="18">
        <f t="shared" si="115"/>
        <v>130.63999999999942</v>
      </c>
      <c r="T618" s="18">
        <f t="shared" si="116"/>
        <v>181.53000000000065</v>
      </c>
      <c r="U618" s="18">
        <f t="shared" si="124"/>
        <v>105.11943981727848</v>
      </c>
      <c r="V618" s="33">
        <f ca="1">AVERAGE(E618:OFFSET(E618,-V$5+1,0))</f>
        <v>8970.7899999999991</v>
      </c>
      <c r="W618" s="33">
        <f t="shared" ca="1" si="117"/>
        <v>9128.4691597259171</v>
      </c>
      <c r="X618" s="33">
        <f t="shared" ca="1" si="118"/>
        <v>8813.1108402740811</v>
      </c>
      <c r="Y618" s="32">
        <f t="shared" ca="1" si="125"/>
        <v>0</v>
      </c>
    </row>
    <row r="619" spans="1:25">
      <c r="A619" s="5">
        <v>39273</v>
      </c>
      <c r="B619" s="4">
        <v>9404.76</v>
      </c>
      <c r="C619" s="4">
        <v>9404.76</v>
      </c>
      <c r="D619" s="4">
        <v>9306.6200000000008</v>
      </c>
      <c r="E619" s="4">
        <v>9384.73</v>
      </c>
      <c r="F619" s="4">
        <v>7632600</v>
      </c>
      <c r="G619" s="8">
        <f t="shared" si="127"/>
        <v>34.920000000000073</v>
      </c>
      <c r="H619" s="8">
        <f t="shared" si="126"/>
        <v>-20.030000000000655</v>
      </c>
      <c r="I619" s="20">
        <f t="shared" ca="1" si="119"/>
        <v>0</v>
      </c>
      <c r="J619" s="8">
        <f t="shared" ca="1" si="120"/>
        <v>3</v>
      </c>
      <c r="K619" s="8">
        <f t="shared" ca="1" si="121"/>
        <v>44.669999999998254</v>
      </c>
      <c r="L619" s="8">
        <f t="shared" ca="1" si="122"/>
        <v>6836.9699999999993</v>
      </c>
      <c r="M619" s="9">
        <f ca="1">AVERAGE(E619:OFFSET(E619,-M$5+1,0))</f>
        <v>9071.6589999999978</v>
      </c>
      <c r="N619" s="9">
        <f ca="1">AVERAGE(E619:OFFSET(E619,-N$5+1,0))</f>
        <v>8852.7840000000015</v>
      </c>
      <c r="O619" s="9">
        <f t="shared" ca="1" si="123"/>
        <v>0</v>
      </c>
      <c r="P619" s="14">
        <f t="shared" si="128"/>
        <v>0.15878799811021863</v>
      </c>
      <c r="Q619" s="15">
        <f ca="1">STDEV(P619:OFFSET(P619,-$Q$5+1,0))</f>
        <v>0.61364898837687398</v>
      </c>
      <c r="R619" s="15">
        <f ca="1">STDEV(P619:OFFSET(P619,-$R$5+1,0))</f>
        <v>0.68956227211659527</v>
      </c>
      <c r="S619" s="18">
        <f t="shared" si="115"/>
        <v>98.139999999999418</v>
      </c>
      <c r="T619" s="18">
        <f t="shared" si="116"/>
        <v>98.139999999999418</v>
      </c>
      <c r="U619" s="18">
        <f t="shared" si="124"/>
        <v>104.18884784164126</v>
      </c>
      <c r="V619" s="33">
        <f ca="1">AVERAGE(E619:OFFSET(E619,-V$5+1,0))</f>
        <v>9015.7078571428556</v>
      </c>
      <c r="W619" s="33">
        <f t="shared" ca="1" si="117"/>
        <v>9171.991128905318</v>
      </c>
      <c r="X619" s="33">
        <f t="shared" ca="1" si="118"/>
        <v>8859.4245853803932</v>
      </c>
      <c r="Y619" s="32">
        <f t="shared" ca="1" si="125"/>
        <v>0</v>
      </c>
    </row>
    <row r="620" spans="1:25">
      <c r="A620" s="5">
        <v>39274</v>
      </c>
      <c r="B620" s="4">
        <v>9322.69</v>
      </c>
      <c r="C620" s="4">
        <v>9341.32</v>
      </c>
      <c r="D620" s="4">
        <v>9263.26</v>
      </c>
      <c r="E620" s="4">
        <v>9290.9500000000007</v>
      </c>
      <c r="F620" s="4">
        <v>8176800</v>
      </c>
      <c r="G620" s="8">
        <f t="shared" si="127"/>
        <v>-62.039999999999054</v>
      </c>
      <c r="H620" s="8">
        <f t="shared" si="126"/>
        <v>-31.739999999999782</v>
      </c>
      <c r="I620" s="20">
        <f t="shared" ca="1" si="119"/>
        <v>0</v>
      </c>
      <c r="J620" s="8">
        <f t="shared" ca="1" si="120"/>
        <v>3</v>
      </c>
      <c r="K620" s="8">
        <f t="shared" ca="1" si="121"/>
        <v>-281.33999999999651</v>
      </c>
      <c r="L620" s="8">
        <f t="shared" ca="1" si="122"/>
        <v>6555.6300000000028</v>
      </c>
      <c r="M620" s="9">
        <f ca="1">AVERAGE(E620:OFFSET(E620,-M$5+1,0))</f>
        <v>9116.3319999999985</v>
      </c>
      <c r="N620" s="9">
        <f ca="1">AVERAGE(E620:OFFSET(E620,-N$5+1,0))</f>
        <v>8900.3875000000007</v>
      </c>
      <c r="O620" s="9">
        <f t="shared" ca="1" si="123"/>
        <v>0</v>
      </c>
      <c r="P620" s="14">
        <f t="shared" si="128"/>
        <v>-1.0043092219239058</v>
      </c>
      <c r="Q620" s="15">
        <f ca="1">STDEV(P620:OFFSET(P620,-$Q$5+1,0))</f>
        <v>0.7562114068805883</v>
      </c>
      <c r="R620" s="15">
        <f ca="1">STDEV(P620:OFFSET(P620,-$R$5+1,0))</f>
        <v>0.72147681350167958</v>
      </c>
      <c r="S620" s="18">
        <f t="shared" si="115"/>
        <v>78.059999999999491</v>
      </c>
      <c r="T620" s="18">
        <f t="shared" si="116"/>
        <v>121.46999999999935</v>
      </c>
      <c r="U620" s="18">
        <f t="shared" si="124"/>
        <v>106.49300146275567</v>
      </c>
      <c r="V620" s="33">
        <f ca="1">AVERAGE(E620:OFFSET(E620,-V$5+1,0))</f>
        <v>9047.0621428571412</v>
      </c>
      <c r="W620" s="33">
        <f t="shared" ca="1" si="117"/>
        <v>9206.801645051275</v>
      </c>
      <c r="X620" s="33">
        <f t="shared" ca="1" si="118"/>
        <v>8887.3226406630074</v>
      </c>
      <c r="Y620" s="32">
        <f t="shared" ca="1" si="125"/>
        <v>0</v>
      </c>
    </row>
    <row r="621" spans="1:25">
      <c r="A621" s="5">
        <v>39275</v>
      </c>
      <c r="B621" s="4">
        <v>9346.9500000000007</v>
      </c>
      <c r="C621" s="4">
        <v>9400.3700000000008</v>
      </c>
      <c r="D621" s="4">
        <v>9316.91</v>
      </c>
      <c r="E621" s="4">
        <v>9354.41</v>
      </c>
      <c r="F621" s="4">
        <v>8373600</v>
      </c>
      <c r="G621" s="8">
        <f t="shared" si="127"/>
        <v>56</v>
      </c>
      <c r="H621" s="8">
        <f t="shared" si="126"/>
        <v>7.4599999999991269</v>
      </c>
      <c r="I621" s="20">
        <f t="shared" ca="1" si="119"/>
        <v>0</v>
      </c>
      <c r="J621" s="8">
        <f t="shared" ca="1" si="120"/>
        <v>3</v>
      </c>
      <c r="K621" s="8">
        <f t="shared" ca="1" si="121"/>
        <v>190.37999999999738</v>
      </c>
      <c r="L621" s="8">
        <f t="shared" ca="1" si="122"/>
        <v>6746.01</v>
      </c>
      <c r="M621" s="9">
        <f ca="1">AVERAGE(E621:OFFSET(E621,-M$5+1,0))</f>
        <v>9162.49</v>
      </c>
      <c r="N621" s="9">
        <f ca="1">AVERAGE(E621:OFFSET(E621,-N$5+1,0))</f>
        <v>8949.5950000000012</v>
      </c>
      <c r="O621" s="9">
        <f t="shared" ca="1" si="123"/>
        <v>0</v>
      </c>
      <c r="P621" s="14">
        <f t="shared" si="128"/>
        <v>0.6807081766395443</v>
      </c>
      <c r="Q621" s="15">
        <f ca="1">STDEV(P621:OFFSET(P621,-$Q$5+1,0))</f>
        <v>0.75844880524698044</v>
      </c>
      <c r="R621" s="15">
        <f ca="1">STDEV(P621:OFFSET(P621,-$R$5+1,0))</f>
        <v>0.70225435060742691</v>
      </c>
      <c r="S621" s="18">
        <f t="shared" si="115"/>
        <v>83.460000000000946</v>
      </c>
      <c r="T621" s="18">
        <f t="shared" si="116"/>
        <v>109.42000000000007</v>
      </c>
      <c r="U621" s="18">
        <f t="shared" si="124"/>
        <v>106.88326793438826</v>
      </c>
      <c r="V621" s="33">
        <f ca="1">AVERAGE(E621:OFFSET(E621,-V$5+1,0))</f>
        <v>9083.3492857142846</v>
      </c>
      <c r="W621" s="33">
        <f t="shared" ca="1" si="117"/>
        <v>9243.6741876158667</v>
      </c>
      <c r="X621" s="33">
        <f t="shared" ca="1" si="118"/>
        <v>8923.0243838127026</v>
      </c>
      <c r="Y621" s="32">
        <f t="shared" ca="1" si="125"/>
        <v>0</v>
      </c>
    </row>
    <row r="622" spans="1:25">
      <c r="A622" s="5">
        <v>39276</v>
      </c>
      <c r="B622" s="4">
        <v>9530.7199999999993</v>
      </c>
      <c r="C622" s="4">
        <v>9540.35</v>
      </c>
      <c r="D622" s="4">
        <v>9411.0400000000009</v>
      </c>
      <c r="E622" s="4">
        <v>9471.2999999999993</v>
      </c>
      <c r="F622" s="4">
        <v>8507000</v>
      </c>
      <c r="G622" s="8">
        <f t="shared" si="127"/>
        <v>176.30999999999949</v>
      </c>
      <c r="H622" s="8">
        <f t="shared" si="126"/>
        <v>-59.420000000000073</v>
      </c>
      <c r="I622" s="20">
        <f t="shared" ca="1" si="119"/>
        <v>0</v>
      </c>
      <c r="J622" s="8">
        <f t="shared" ca="1" si="120"/>
        <v>3</v>
      </c>
      <c r="K622" s="8">
        <f t="shared" ca="1" si="121"/>
        <v>350.66999999999825</v>
      </c>
      <c r="L622" s="8">
        <f t="shared" ca="1" si="122"/>
        <v>7096.6799999999985</v>
      </c>
      <c r="M622" s="9">
        <f ca="1">AVERAGE(E622:OFFSET(E622,-M$5+1,0))</f>
        <v>9221.2990000000009</v>
      </c>
      <c r="N622" s="9">
        <f ca="1">AVERAGE(E622:OFFSET(E622,-N$5+1,0))</f>
        <v>9005.8405000000021</v>
      </c>
      <c r="O622" s="9">
        <f t="shared" ca="1" si="123"/>
        <v>0</v>
      </c>
      <c r="P622" s="14">
        <f t="shared" si="128"/>
        <v>1.2418283524682789</v>
      </c>
      <c r="Q622" s="15">
        <f ca="1">STDEV(P622:OFFSET(P622,-$Q$5+1,0))</f>
        <v>0.75711609565670679</v>
      </c>
      <c r="R622" s="15">
        <f ca="1">STDEV(P622:OFFSET(P622,-$R$5+1,0))</f>
        <v>0.71365185035406664</v>
      </c>
      <c r="S622" s="18">
        <f t="shared" si="115"/>
        <v>129.30999999999949</v>
      </c>
      <c r="T622" s="18">
        <f t="shared" si="116"/>
        <v>185.94000000000051</v>
      </c>
      <c r="U622" s="18">
        <f t="shared" si="124"/>
        <v>117.42416554313657</v>
      </c>
      <c r="V622" s="33">
        <f ca="1">AVERAGE(E622:OFFSET(E622,-V$5+1,0))</f>
        <v>9121.3571428571413</v>
      </c>
      <c r="W622" s="33">
        <f t="shared" ca="1" si="117"/>
        <v>9297.4933911718454</v>
      </c>
      <c r="X622" s="33">
        <f t="shared" ca="1" si="118"/>
        <v>8945.2208945424372</v>
      </c>
      <c r="Y622" s="32">
        <f t="shared" ca="1" si="125"/>
        <v>0</v>
      </c>
    </row>
    <row r="623" spans="1:25">
      <c r="A623" s="5">
        <v>39279</v>
      </c>
      <c r="B623" s="4">
        <v>9514.09</v>
      </c>
      <c r="C623" s="4">
        <v>9539.2000000000007</v>
      </c>
      <c r="D623" s="4">
        <v>9403.73</v>
      </c>
      <c r="E623" s="4">
        <v>9417.32</v>
      </c>
      <c r="F623" s="4">
        <v>8678600</v>
      </c>
      <c r="G623" s="8">
        <f t="shared" si="127"/>
        <v>42.790000000000873</v>
      </c>
      <c r="H623" s="8">
        <f t="shared" si="126"/>
        <v>-96.770000000000437</v>
      </c>
      <c r="I623" s="20">
        <f t="shared" ca="1" si="119"/>
        <v>0</v>
      </c>
      <c r="J623" s="8">
        <f t="shared" ca="1" si="120"/>
        <v>3</v>
      </c>
      <c r="K623" s="8">
        <f t="shared" ca="1" si="121"/>
        <v>-161.93999999999869</v>
      </c>
      <c r="L623" s="8">
        <f t="shared" ca="1" si="122"/>
        <v>6934.74</v>
      </c>
      <c r="M623" s="9">
        <f ca="1">AVERAGE(E623:OFFSET(E623,-M$5+1,0))</f>
        <v>9269.0820000000003</v>
      </c>
      <c r="N623" s="9">
        <f ca="1">AVERAGE(E623:OFFSET(E623,-N$5+1,0))</f>
        <v>9054.170500000002</v>
      </c>
      <c r="O623" s="9">
        <f t="shared" ca="1" si="123"/>
        <v>0</v>
      </c>
      <c r="P623" s="14">
        <f t="shared" si="128"/>
        <v>-0.57156263351374215</v>
      </c>
      <c r="Q623" s="15">
        <f ca="1">STDEV(P623:OFFSET(P623,-$Q$5+1,0))</f>
        <v>0.84882725491553124</v>
      </c>
      <c r="R623" s="15">
        <f ca="1">STDEV(P623:OFFSET(P623,-$R$5+1,0))</f>
        <v>0.73004060800707626</v>
      </c>
      <c r="S623" s="18">
        <f t="shared" si="115"/>
        <v>135.47000000000116</v>
      </c>
      <c r="T623" s="18">
        <f t="shared" si="116"/>
        <v>135.47000000000116</v>
      </c>
      <c r="U623" s="18">
        <f t="shared" si="124"/>
        <v>119.83027680405186</v>
      </c>
      <c r="V623" s="33">
        <f ca="1">AVERAGE(E623:OFFSET(E623,-V$5+1,0))</f>
        <v>9160.7549999999992</v>
      </c>
      <c r="W623" s="33">
        <f t="shared" ca="1" si="117"/>
        <v>9340.5004152060774</v>
      </c>
      <c r="X623" s="33">
        <f t="shared" ca="1" si="118"/>
        <v>8981.009584793921</v>
      </c>
      <c r="Y623" s="32">
        <f t="shared" ca="1" si="125"/>
        <v>0</v>
      </c>
    </row>
    <row r="624" spans="1:25">
      <c r="A624" s="5">
        <v>39280</v>
      </c>
      <c r="B624" s="4">
        <v>9444.8700000000008</v>
      </c>
      <c r="C624" s="4">
        <v>9513.9500000000007</v>
      </c>
      <c r="D624" s="4">
        <v>9337.67</v>
      </c>
      <c r="E624" s="4">
        <v>9509.73</v>
      </c>
      <c r="F624" s="4">
        <v>7041800</v>
      </c>
      <c r="G624" s="8">
        <f t="shared" si="127"/>
        <v>27.550000000001091</v>
      </c>
      <c r="H624" s="8">
        <f t="shared" si="126"/>
        <v>64.859999999998763</v>
      </c>
      <c r="I624" s="20">
        <f t="shared" ca="1" si="119"/>
        <v>0</v>
      </c>
      <c r="J624" s="8">
        <f t="shared" ca="1" si="120"/>
        <v>3</v>
      </c>
      <c r="K624" s="8">
        <f t="shared" ca="1" si="121"/>
        <v>277.22999999999956</v>
      </c>
      <c r="L624" s="8">
        <f t="shared" ca="1" si="122"/>
        <v>7211.9699999999993</v>
      </c>
      <c r="M624" s="9">
        <f ca="1">AVERAGE(E624:OFFSET(E624,-M$5+1,0))</f>
        <v>9320.4349999999995</v>
      </c>
      <c r="N624" s="9">
        <f ca="1">AVERAGE(E624:OFFSET(E624,-N$5+1,0))</f>
        <v>9100.9750000000004</v>
      </c>
      <c r="O624" s="9">
        <f t="shared" ca="1" si="123"/>
        <v>0</v>
      </c>
      <c r="P624" s="14">
        <f t="shared" si="128"/>
        <v>0.97649379384736157</v>
      </c>
      <c r="Q624" s="15">
        <f ca="1">STDEV(P624:OFFSET(P624,-$Q$5+1,0))</f>
        <v>0.86074843736134121</v>
      </c>
      <c r="R624" s="15">
        <f ca="1">STDEV(P624:OFFSET(P624,-$R$5+1,0))</f>
        <v>0.73204266819099217</v>
      </c>
      <c r="S624" s="18">
        <f t="shared" si="115"/>
        <v>176.28000000000065</v>
      </c>
      <c r="T624" s="18">
        <f t="shared" si="116"/>
        <v>176.28000000000065</v>
      </c>
      <c r="U624" s="18">
        <f t="shared" si="124"/>
        <v>127.35690656351171</v>
      </c>
      <c r="V624" s="33">
        <f ca="1">AVERAGE(E624:OFFSET(E624,-V$5+1,0))</f>
        <v>9208.2914285714269</v>
      </c>
      <c r="W624" s="33">
        <f t="shared" ca="1" si="117"/>
        <v>9399.3267884166944</v>
      </c>
      <c r="X624" s="33">
        <f t="shared" ca="1" si="118"/>
        <v>9017.2560687261594</v>
      </c>
      <c r="Y624" s="32">
        <f t="shared" ca="1" si="125"/>
        <v>0</v>
      </c>
    </row>
    <row r="625" spans="1:25">
      <c r="A625" s="5">
        <v>39281</v>
      </c>
      <c r="B625" s="4">
        <v>9512.39</v>
      </c>
      <c r="C625" s="4">
        <v>9574.69</v>
      </c>
      <c r="D625" s="4">
        <v>9482.5499999999993</v>
      </c>
      <c r="E625" s="4">
        <v>9485.35</v>
      </c>
      <c r="F625" s="4">
        <v>9296000</v>
      </c>
      <c r="G625" s="8">
        <f t="shared" si="127"/>
        <v>2.6599999999998545</v>
      </c>
      <c r="H625" s="8">
        <f t="shared" si="126"/>
        <v>-27.039999999999054</v>
      </c>
      <c r="I625" s="20">
        <f t="shared" ca="1" si="119"/>
        <v>0</v>
      </c>
      <c r="J625" s="8">
        <f t="shared" ca="1" si="120"/>
        <v>3</v>
      </c>
      <c r="K625" s="8">
        <f t="shared" ca="1" si="121"/>
        <v>-73.139999999997599</v>
      </c>
      <c r="L625" s="8">
        <f t="shared" ca="1" si="122"/>
        <v>7138.8300000000017</v>
      </c>
      <c r="M625" s="9">
        <f ca="1">AVERAGE(E625:OFFSET(E625,-M$5+1,0))</f>
        <v>9362.0720000000019</v>
      </c>
      <c r="N625" s="9">
        <f ca="1">AVERAGE(E625:OFFSET(E625,-N$5+1,0))</f>
        <v>9137.4485000000004</v>
      </c>
      <c r="O625" s="9">
        <f t="shared" ca="1" si="123"/>
        <v>0</v>
      </c>
      <c r="P625" s="14">
        <f t="shared" si="128"/>
        <v>-0.25669819118903103</v>
      </c>
      <c r="Q625" s="15">
        <f ca="1">STDEV(P625:OFFSET(P625,-$Q$5+1,0))</f>
        <v>0.89140140281769964</v>
      </c>
      <c r="R625" s="15">
        <f ca="1">STDEV(P625:OFFSET(P625,-$R$5+1,0))</f>
        <v>0.72455250966718587</v>
      </c>
      <c r="S625" s="18">
        <f t="shared" si="115"/>
        <v>92.140000000001237</v>
      </c>
      <c r="T625" s="18">
        <f t="shared" si="116"/>
        <v>92.140000000001237</v>
      </c>
      <c r="U625" s="18">
        <f t="shared" si="124"/>
        <v>122.66131902171033</v>
      </c>
      <c r="V625" s="33">
        <f ca="1">AVERAGE(E625:OFFSET(E625,-V$5+1,0))</f>
        <v>9250.6142857142859</v>
      </c>
      <c r="W625" s="33">
        <f t="shared" ca="1" si="117"/>
        <v>9434.6062642468514</v>
      </c>
      <c r="X625" s="33">
        <f t="shared" ca="1" si="118"/>
        <v>9066.6223071817203</v>
      </c>
      <c r="Y625" s="32">
        <f t="shared" ca="1" si="125"/>
        <v>0</v>
      </c>
    </row>
    <row r="626" spans="1:25">
      <c r="A626" s="5">
        <v>39282</v>
      </c>
      <c r="B626" s="4">
        <v>9449.7199999999993</v>
      </c>
      <c r="C626" s="4">
        <v>9529.35</v>
      </c>
      <c r="D626" s="4">
        <v>9441.7900000000009</v>
      </c>
      <c r="E626" s="4">
        <v>9473.31</v>
      </c>
      <c r="F626" s="4">
        <v>8738400</v>
      </c>
      <c r="G626" s="8">
        <f t="shared" si="127"/>
        <v>-35.630000000001019</v>
      </c>
      <c r="H626" s="8">
        <f t="shared" si="126"/>
        <v>23.590000000000146</v>
      </c>
      <c r="I626" s="20">
        <f t="shared" ca="1" si="119"/>
        <v>0</v>
      </c>
      <c r="J626" s="8">
        <f t="shared" ca="1" si="120"/>
        <v>3</v>
      </c>
      <c r="K626" s="8">
        <f t="shared" ca="1" si="121"/>
        <v>-36.120000000002619</v>
      </c>
      <c r="L626" s="8">
        <f t="shared" ca="1" si="122"/>
        <v>7102.7099999999991</v>
      </c>
      <c r="M626" s="9">
        <f ca="1">AVERAGE(E626:OFFSET(E626,-M$5+1,0))</f>
        <v>9394.5250000000015</v>
      </c>
      <c r="N626" s="9">
        <f ca="1">AVERAGE(E626:OFFSET(E626,-N$5+1,0))</f>
        <v>9168.5144999999993</v>
      </c>
      <c r="O626" s="9">
        <f t="shared" ca="1" si="123"/>
        <v>0</v>
      </c>
      <c r="P626" s="14">
        <f t="shared" si="128"/>
        <v>-0.12701321315550979</v>
      </c>
      <c r="Q626" s="15">
        <f ca="1">STDEV(P626:OFFSET(P626,-$Q$5+1,0))</f>
        <v>0.89442236940016429</v>
      </c>
      <c r="R626" s="15">
        <f ca="1">STDEV(P626:OFFSET(P626,-$R$5+1,0))</f>
        <v>0.72823993645770779</v>
      </c>
      <c r="S626" s="18">
        <f t="shared" si="115"/>
        <v>87.559999999999491</v>
      </c>
      <c r="T626" s="18">
        <f t="shared" si="116"/>
        <v>87.559999999999491</v>
      </c>
      <c r="U626" s="18">
        <f t="shared" si="124"/>
        <v>117.98114315214889</v>
      </c>
      <c r="V626" s="33">
        <f ca="1">AVERAGE(E626:OFFSET(E626,-V$5+1,0))</f>
        <v>9292.7642857142855</v>
      </c>
      <c r="W626" s="33">
        <f t="shared" ca="1" si="117"/>
        <v>9469.7360004425082</v>
      </c>
      <c r="X626" s="33">
        <f t="shared" ca="1" si="118"/>
        <v>9115.7925709860629</v>
      </c>
      <c r="Y626" s="32">
        <f t="shared" ca="1" si="125"/>
        <v>0</v>
      </c>
    </row>
    <row r="627" spans="1:25">
      <c r="A627" s="5">
        <v>39283</v>
      </c>
      <c r="B627" s="4">
        <v>9537.24</v>
      </c>
      <c r="C627" s="4">
        <v>9585.9</v>
      </c>
      <c r="D627" s="4">
        <v>9487.9500000000007</v>
      </c>
      <c r="E627" s="4">
        <v>9585.9</v>
      </c>
      <c r="F627" s="4">
        <v>7902400</v>
      </c>
      <c r="G627" s="8">
        <f t="shared" si="127"/>
        <v>63.930000000000291</v>
      </c>
      <c r="H627" s="8">
        <f t="shared" si="126"/>
        <v>48.659999999999854</v>
      </c>
      <c r="I627" s="20">
        <f t="shared" ca="1" si="119"/>
        <v>0</v>
      </c>
      <c r="J627" s="8">
        <f t="shared" ca="1" si="120"/>
        <v>3</v>
      </c>
      <c r="K627" s="8">
        <f t="shared" ca="1" si="121"/>
        <v>337.77000000000044</v>
      </c>
      <c r="L627" s="8">
        <f t="shared" ca="1" si="122"/>
        <v>7440.48</v>
      </c>
      <c r="M627" s="9">
        <f ca="1">AVERAGE(E627:OFFSET(E627,-M$5+1,0))</f>
        <v>9434.2839999999997</v>
      </c>
      <c r="N627" s="9">
        <f ca="1">AVERAGE(E627:OFFSET(E627,-N$5+1,0))</f>
        <v>9205.49</v>
      </c>
      <c r="O627" s="9">
        <f t="shared" ca="1" si="123"/>
        <v>0</v>
      </c>
      <c r="P627" s="14">
        <f t="shared" si="128"/>
        <v>1.1814897859577933</v>
      </c>
      <c r="Q627" s="15">
        <f ca="1">STDEV(P627:OFFSET(P627,-$Q$5+1,0))</f>
        <v>0.93277035484584681</v>
      </c>
      <c r="R627" s="15">
        <f ca="1">STDEV(P627:OFFSET(P627,-$R$5+1,0))</f>
        <v>0.73961289978195544</v>
      </c>
      <c r="S627" s="18">
        <f t="shared" si="115"/>
        <v>97.949999999998909</v>
      </c>
      <c r="T627" s="18">
        <f t="shared" si="116"/>
        <v>112.59000000000015</v>
      </c>
      <c r="U627" s="18">
        <f t="shared" si="124"/>
        <v>117.26232406519573</v>
      </c>
      <c r="V627" s="33">
        <f ca="1">AVERAGE(E627:OFFSET(E627,-V$5+1,0))</f>
        <v>9338.9364285714291</v>
      </c>
      <c r="W627" s="33">
        <f t="shared" ca="1" si="117"/>
        <v>9514.8299146692225</v>
      </c>
      <c r="X627" s="33">
        <f t="shared" ca="1" si="118"/>
        <v>9163.0429424736358</v>
      </c>
      <c r="Y627" s="32">
        <f t="shared" ca="1" si="125"/>
        <v>0</v>
      </c>
    </row>
    <row r="628" spans="1:25">
      <c r="A628" s="5">
        <v>39286</v>
      </c>
      <c r="B628" s="4">
        <v>9576.06</v>
      </c>
      <c r="C628" s="4">
        <v>9637.18</v>
      </c>
      <c r="D628" s="4">
        <v>9563.7199999999993</v>
      </c>
      <c r="E628" s="4">
        <v>9621.57</v>
      </c>
      <c r="F628" s="4">
        <v>7442400</v>
      </c>
      <c r="G628" s="8">
        <f t="shared" si="127"/>
        <v>-9.8400000000001455</v>
      </c>
      <c r="H628" s="8">
        <f t="shared" si="126"/>
        <v>45.510000000000218</v>
      </c>
      <c r="I628" s="20">
        <f t="shared" ca="1" si="119"/>
        <v>0</v>
      </c>
      <c r="J628" s="8">
        <f t="shared" ca="1" si="120"/>
        <v>3</v>
      </c>
      <c r="K628" s="8">
        <f t="shared" ca="1" si="121"/>
        <v>107.01000000000022</v>
      </c>
      <c r="L628" s="8">
        <f t="shared" ca="1" si="122"/>
        <v>7547.49</v>
      </c>
      <c r="M628" s="9">
        <f ca="1">AVERAGE(E628:OFFSET(E628,-M$5+1,0))</f>
        <v>9459.4570000000003</v>
      </c>
      <c r="N628" s="9">
        <f ca="1">AVERAGE(E628:OFFSET(E628,-N$5+1,0))</f>
        <v>9239.6090000000004</v>
      </c>
      <c r="O628" s="9">
        <f t="shared" ca="1" si="123"/>
        <v>0</v>
      </c>
      <c r="P628" s="14">
        <f t="shared" si="128"/>
        <v>0.37141842216718002</v>
      </c>
      <c r="Q628" s="15">
        <f ca="1">STDEV(P628:OFFSET(P628,-$Q$5+1,0))</f>
        <v>0.76249706058490385</v>
      </c>
      <c r="R628" s="15">
        <f ca="1">STDEV(P628:OFFSET(P628,-$R$5+1,0))</f>
        <v>0.73602613112693538</v>
      </c>
      <c r="S628" s="18">
        <f t="shared" si="115"/>
        <v>73.460000000000946</v>
      </c>
      <c r="T628" s="18">
        <f t="shared" si="116"/>
        <v>73.460000000000946</v>
      </c>
      <c r="U628" s="18">
        <f t="shared" si="124"/>
        <v>111.42201418983643</v>
      </c>
      <c r="V628" s="33">
        <f ca="1">AVERAGE(E628:OFFSET(E628,-V$5+1,0))</f>
        <v>9383.6057142857135</v>
      </c>
      <c r="W628" s="33">
        <f t="shared" ca="1" si="117"/>
        <v>9550.7387355704686</v>
      </c>
      <c r="X628" s="33">
        <f t="shared" ca="1" si="118"/>
        <v>9216.4726930009583</v>
      </c>
      <c r="Y628" s="32">
        <f t="shared" ca="1" si="125"/>
        <v>0</v>
      </c>
    </row>
    <row r="629" spans="1:25">
      <c r="A629" s="5">
        <v>39287</v>
      </c>
      <c r="B629" s="4">
        <v>9674.24</v>
      </c>
      <c r="C629" s="4">
        <v>9745.32</v>
      </c>
      <c r="D629" s="4">
        <v>9643.27</v>
      </c>
      <c r="E629" s="4">
        <v>9744.06</v>
      </c>
      <c r="F629" s="4">
        <v>9247000</v>
      </c>
      <c r="G629" s="8">
        <f t="shared" si="127"/>
        <v>52.670000000000073</v>
      </c>
      <c r="H629" s="8">
        <f t="shared" si="126"/>
        <v>69.819999999999709</v>
      </c>
      <c r="I629" s="20">
        <f t="shared" ca="1" si="119"/>
        <v>0</v>
      </c>
      <c r="J629" s="8">
        <f t="shared" ca="1" si="120"/>
        <v>3</v>
      </c>
      <c r="K629" s="8">
        <f t="shared" ca="1" si="121"/>
        <v>367.46999999999935</v>
      </c>
      <c r="L629" s="8">
        <f t="shared" ca="1" si="122"/>
        <v>7914.9599999999991</v>
      </c>
      <c r="M629" s="9">
        <f ca="1">AVERAGE(E629:OFFSET(E629,-M$5+1,0))</f>
        <v>9495.39</v>
      </c>
      <c r="N629" s="9">
        <f ca="1">AVERAGE(E629:OFFSET(E629,-N$5+1,0))</f>
        <v>9283.5244999999995</v>
      </c>
      <c r="O629" s="9">
        <f t="shared" ca="1" si="123"/>
        <v>0</v>
      </c>
      <c r="P629" s="14">
        <f t="shared" si="128"/>
        <v>1.2650415559176931</v>
      </c>
      <c r="Q629" s="15">
        <f ca="1">STDEV(P629:OFFSET(P629,-$Q$5+1,0))</f>
        <v>0.8231906346133504</v>
      </c>
      <c r="R629" s="15">
        <f ca="1">STDEV(P629:OFFSET(P629,-$R$5+1,0))</f>
        <v>0.72703615078136463</v>
      </c>
      <c r="S629" s="18">
        <f t="shared" ref="S629:S692" si="129">C629-D629</f>
        <v>102.04999999999927</v>
      </c>
      <c r="T629" s="18">
        <f t="shared" ref="T629:T692" si="130">MAX(C629,E628)-MIN(D629,E628)</f>
        <v>123.75</v>
      </c>
      <c r="U629" s="18">
        <f t="shared" si="124"/>
        <v>113.06574563119158</v>
      </c>
      <c r="V629" s="33">
        <f ca="1">AVERAGE(E629:OFFSET(E629,-V$5+1,0))</f>
        <v>9431.8257142857146</v>
      </c>
      <c r="W629" s="33">
        <f t="shared" ref="W629:W692" ca="1" si="131">V629+W$5*U629</f>
        <v>9601.4243327325021</v>
      </c>
      <c r="X629" s="33">
        <f t="shared" ref="X629:X692" ca="1" si="132">V629-W$5*U629</f>
        <v>9262.2270958389272</v>
      </c>
      <c r="Y629" s="32">
        <f t="shared" ca="1" si="125"/>
        <v>0</v>
      </c>
    </row>
    <row r="630" spans="1:25">
      <c r="A630" s="5">
        <v>39288</v>
      </c>
      <c r="B630" s="4">
        <v>9683.9699999999993</v>
      </c>
      <c r="C630" s="4">
        <v>9763.26</v>
      </c>
      <c r="D630" s="4">
        <v>9656.0400000000009</v>
      </c>
      <c r="E630" s="4">
        <v>9740.1299999999992</v>
      </c>
      <c r="F630" s="4">
        <v>8173600</v>
      </c>
      <c r="G630" s="8">
        <f t="shared" si="127"/>
        <v>-60.090000000000146</v>
      </c>
      <c r="H630" s="8">
        <f t="shared" si="126"/>
        <v>56.159999999999854</v>
      </c>
      <c r="I630" s="20">
        <f t="shared" ref="I630:I693" ca="1" si="133">Y630</f>
        <v>0</v>
      </c>
      <c r="J630" s="8">
        <f t="shared" ref="J630:J693" ca="1" si="134">IF((J629+I629)&gt;=J$5,J$5,IF((J629+I629)&lt;=J$7,J$7,J629+I629))</f>
        <v>3</v>
      </c>
      <c r="K630" s="8">
        <f t="shared" ref="K630:K693" ca="1" si="135">J629*G630+J630*H630</f>
        <v>-11.790000000000873</v>
      </c>
      <c r="L630" s="8">
        <f t="shared" ref="L630:L693" ca="1" si="136">L629+K630</f>
        <v>7903.1699999999983</v>
      </c>
      <c r="M630" s="9">
        <f ca="1">AVERAGE(E630:OFFSET(E630,-M$5+1,0))</f>
        <v>9540.3079999999991</v>
      </c>
      <c r="N630" s="9">
        <f ca="1">AVERAGE(E630:OFFSET(E630,-N$5+1,0))</f>
        <v>9328.3199999999979</v>
      </c>
      <c r="O630" s="9">
        <f t="shared" ref="O630:O693" ca="1" si="137">IF(AND(M629&lt;=N629,M630&gt;N630),1,IF(AND(M629&gt;=N629,M630&lt;N630),-1,0))</f>
        <v>0</v>
      </c>
      <c r="P630" s="14">
        <f t="shared" si="128"/>
        <v>-4.0340399609076066E-2</v>
      </c>
      <c r="Q630" s="15">
        <f ca="1">STDEV(P630:OFFSET(P630,-$Q$5+1,0))</f>
        <v>0.689158057575875</v>
      </c>
      <c r="R630" s="15">
        <f ca="1">STDEV(P630:OFFSET(P630,-$R$5+1,0))</f>
        <v>0.72706561718516727</v>
      </c>
      <c r="S630" s="18">
        <f t="shared" si="129"/>
        <v>107.21999999999935</v>
      </c>
      <c r="T630" s="18">
        <f t="shared" si="130"/>
        <v>107.21999999999935</v>
      </c>
      <c r="U630" s="18">
        <f t="shared" ref="U630:U693" si="138">$U$5*T630+(1-$U$5)*U629</f>
        <v>112.28631288036594</v>
      </c>
      <c r="V630" s="33">
        <f ca="1">AVERAGE(E630:OFFSET(E630,-V$5+1,0))</f>
        <v>9474.0650000000005</v>
      </c>
      <c r="W630" s="33">
        <f t="shared" ca="1" si="131"/>
        <v>9642.4944693205489</v>
      </c>
      <c r="X630" s="33">
        <f t="shared" ca="1" si="132"/>
        <v>9305.6355306794521</v>
      </c>
      <c r="Y630" s="32">
        <f t="shared" ref="Y630:Y693" ca="1" si="139">IF(AND(E629&gt;X629,E630&lt;X630),-1,IF(AND(E629&lt;W629,E630&gt;W630),1,0))</f>
        <v>0</v>
      </c>
    </row>
    <row r="631" spans="1:25">
      <c r="A631" s="5">
        <v>39289</v>
      </c>
      <c r="B631" s="4">
        <v>9793.76</v>
      </c>
      <c r="C631" s="4">
        <v>9807.91</v>
      </c>
      <c r="D631" s="4">
        <v>9566.42</v>
      </c>
      <c r="E631" s="4">
        <v>9566.42</v>
      </c>
      <c r="F631" s="4">
        <v>10397800</v>
      </c>
      <c r="G631" s="8">
        <f t="shared" si="127"/>
        <v>53.630000000001019</v>
      </c>
      <c r="H631" s="8">
        <f t="shared" si="126"/>
        <v>-227.34000000000015</v>
      </c>
      <c r="I631" s="20">
        <f t="shared" ca="1" si="133"/>
        <v>0</v>
      </c>
      <c r="J631" s="8">
        <f t="shared" ca="1" si="134"/>
        <v>3</v>
      </c>
      <c r="K631" s="8">
        <f t="shared" ca="1" si="135"/>
        <v>-521.12999999999738</v>
      </c>
      <c r="L631" s="8">
        <f t="shared" ca="1" si="136"/>
        <v>7382.0400000000009</v>
      </c>
      <c r="M631" s="9">
        <f ca="1">AVERAGE(E631:OFFSET(E631,-M$5+1,0))</f>
        <v>9561.509</v>
      </c>
      <c r="N631" s="9">
        <f ca="1">AVERAGE(E631:OFFSET(E631,-N$5+1,0))</f>
        <v>9361.9995000000017</v>
      </c>
      <c r="O631" s="9">
        <f t="shared" ca="1" si="137"/>
        <v>0</v>
      </c>
      <c r="P631" s="14">
        <f t="shared" si="128"/>
        <v>-1.7995414795032174</v>
      </c>
      <c r="Q631" s="15">
        <f ca="1">STDEV(P631:OFFSET(P631,-$Q$5+1,0))</f>
        <v>0.98749428350971535</v>
      </c>
      <c r="R631" s="15">
        <f ca="1">STDEV(P631:OFFSET(P631,-$R$5+1,0))</f>
        <v>0.80887943980503296</v>
      </c>
      <c r="S631" s="18">
        <f t="shared" si="129"/>
        <v>241.48999999999978</v>
      </c>
      <c r="T631" s="18">
        <f t="shared" si="130"/>
        <v>241.48999999999978</v>
      </c>
      <c r="U631" s="18">
        <f t="shared" si="138"/>
        <v>129.51347116298379</v>
      </c>
      <c r="V631" s="33">
        <f ca="1">AVERAGE(E631:OFFSET(E631,-V$5+1,0))</f>
        <v>9501.072857142859</v>
      </c>
      <c r="W631" s="33">
        <f t="shared" ca="1" si="131"/>
        <v>9695.3430638873342</v>
      </c>
      <c r="X631" s="33">
        <f t="shared" ca="1" si="132"/>
        <v>9306.8026503983838</v>
      </c>
      <c r="Y631" s="32">
        <f t="shared" ca="1" si="139"/>
        <v>0</v>
      </c>
    </row>
    <row r="632" spans="1:25">
      <c r="A632" s="5">
        <v>39290</v>
      </c>
      <c r="B632" s="4">
        <v>9244.6200000000008</v>
      </c>
      <c r="C632" s="4">
        <v>9376.9500000000007</v>
      </c>
      <c r="D632" s="4">
        <v>9162.2800000000007</v>
      </c>
      <c r="E632" s="4">
        <v>9162.2800000000007</v>
      </c>
      <c r="F632" s="4">
        <v>9371200</v>
      </c>
      <c r="G632" s="8">
        <f t="shared" si="127"/>
        <v>-321.79999999999927</v>
      </c>
      <c r="H632" s="8">
        <f t="shared" si="126"/>
        <v>-82.340000000000146</v>
      </c>
      <c r="I632" s="20">
        <f t="shared" ca="1" si="133"/>
        <v>-1</v>
      </c>
      <c r="J632" s="8">
        <f t="shared" ca="1" si="134"/>
        <v>3</v>
      </c>
      <c r="K632" s="8">
        <f t="shared" ca="1" si="135"/>
        <v>-1212.4199999999983</v>
      </c>
      <c r="L632" s="8">
        <f t="shared" ca="1" si="136"/>
        <v>6169.6200000000026</v>
      </c>
      <c r="M632" s="9">
        <f ca="1">AVERAGE(E632:OFFSET(E632,-M$5+1,0))</f>
        <v>9530.607</v>
      </c>
      <c r="N632" s="9">
        <f ca="1">AVERAGE(E632:OFFSET(E632,-N$5+1,0))</f>
        <v>9375.9530000000013</v>
      </c>
      <c r="O632" s="9">
        <f t="shared" ca="1" si="137"/>
        <v>0</v>
      </c>
      <c r="P632" s="14">
        <f t="shared" si="128"/>
        <v>-4.3163993782476444</v>
      </c>
      <c r="Q632" s="15">
        <f ca="1">STDEV(P632:OFFSET(P632,-$Q$5+1,0))</f>
        <v>1.6755565455829111</v>
      </c>
      <c r="R632" s="15">
        <f ca="1">STDEV(P632:OFFSET(P632,-$R$5+1,0))</f>
        <v>1.0935902713375034</v>
      </c>
      <c r="S632" s="18">
        <f t="shared" si="129"/>
        <v>214.67000000000007</v>
      </c>
      <c r="T632" s="18">
        <f t="shared" si="130"/>
        <v>404.13999999999942</v>
      </c>
      <c r="U632" s="18">
        <f t="shared" si="138"/>
        <v>166.13034167458588</v>
      </c>
      <c r="V632" s="33">
        <f ca="1">AVERAGE(E632:OFFSET(E632,-V$5+1,0))</f>
        <v>9486.2471428571444</v>
      </c>
      <c r="W632" s="33">
        <f t="shared" ca="1" si="131"/>
        <v>9735.4426553690228</v>
      </c>
      <c r="X632" s="33">
        <f t="shared" ca="1" si="132"/>
        <v>9237.0516303452659</v>
      </c>
      <c r="Y632" s="32">
        <f t="shared" ca="1" si="139"/>
        <v>-1</v>
      </c>
    </row>
    <row r="633" spans="1:25">
      <c r="A633" s="5">
        <v>39293</v>
      </c>
      <c r="B633" s="4">
        <v>9037.35</v>
      </c>
      <c r="C633" s="4">
        <v>9136.4500000000007</v>
      </c>
      <c r="D633" s="4">
        <v>8996.81</v>
      </c>
      <c r="E633" s="4">
        <v>9072.57</v>
      </c>
      <c r="F633" s="4">
        <v>7294800</v>
      </c>
      <c r="G633" s="8">
        <f t="shared" si="127"/>
        <v>-124.93000000000029</v>
      </c>
      <c r="H633" s="8">
        <f t="shared" si="126"/>
        <v>35.219999999999345</v>
      </c>
      <c r="I633" s="20">
        <f t="shared" ca="1" si="133"/>
        <v>0</v>
      </c>
      <c r="J633" s="8">
        <f t="shared" ca="1" si="134"/>
        <v>2</v>
      </c>
      <c r="K633" s="8">
        <f t="shared" ca="1" si="135"/>
        <v>-304.35000000000218</v>
      </c>
      <c r="L633" s="8">
        <f t="shared" ca="1" si="136"/>
        <v>5865.27</v>
      </c>
      <c r="M633" s="9">
        <f ca="1">AVERAGE(E633:OFFSET(E633,-M$5+1,0))</f>
        <v>9496.1320000000014</v>
      </c>
      <c r="N633" s="9">
        <f ca="1">AVERAGE(E633:OFFSET(E633,-N$5+1,0))</f>
        <v>9382.607</v>
      </c>
      <c r="O633" s="9">
        <f t="shared" ca="1" si="137"/>
        <v>0</v>
      </c>
      <c r="P633" s="14">
        <f t="shared" si="128"/>
        <v>-0.98394803109895945</v>
      </c>
      <c r="Q633" s="15">
        <f ca="1">STDEV(P633:OFFSET(P633,-$Q$5+1,0))</f>
        <v>1.6871503147399927</v>
      </c>
      <c r="R633" s="15">
        <f ca="1">STDEV(P633:OFFSET(P633,-$R$5+1,0))</f>
        <v>1.1110924522226495</v>
      </c>
      <c r="S633" s="18">
        <f t="shared" si="129"/>
        <v>139.64000000000124</v>
      </c>
      <c r="T633" s="18">
        <f t="shared" si="130"/>
        <v>165.47000000000116</v>
      </c>
      <c r="U633" s="18">
        <f t="shared" si="138"/>
        <v>166.04229611797459</v>
      </c>
      <c r="V633" s="33">
        <f ca="1">AVERAGE(E633:OFFSET(E633,-V$5+1,0))</f>
        <v>9463.9499999999989</v>
      </c>
      <c r="W633" s="33">
        <f t="shared" ca="1" si="131"/>
        <v>9713.0134441769605</v>
      </c>
      <c r="X633" s="33">
        <f t="shared" ca="1" si="132"/>
        <v>9214.8865558230373</v>
      </c>
      <c r="Y633" s="32">
        <f t="shared" ca="1" si="139"/>
        <v>0</v>
      </c>
    </row>
    <row r="634" spans="1:25">
      <c r="A634" s="5">
        <v>39294</v>
      </c>
      <c r="B634" s="4">
        <v>9211.7999999999993</v>
      </c>
      <c r="C634" s="4">
        <v>9307.81</v>
      </c>
      <c r="D634" s="4">
        <v>9173.48</v>
      </c>
      <c r="E634" s="4">
        <v>9287.25</v>
      </c>
      <c r="F634" s="4">
        <v>7159400</v>
      </c>
      <c r="G634" s="8">
        <f t="shared" si="127"/>
        <v>139.22999999999956</v>
      </c>
      <c r="H634" s="8">
        <f t="shared" si="126"/>
        <v>75.450000000000728</v>
      </c>
      <c r="I634" s="20">
        <f t="shared" ca="1" si="133"/>
        <v>0</v>
      </c>
      <c r="J634" s="8">
        <f t="shared" ca="1" si="134"/>
        <v>2</v>
      </c>
      <c r="K634" s="8">
        <f t="shared" ca="1" si="135"/>
        <v>429.36000000000058</v>
      </c>
      <c r="L634" s="8">
        <f t="shared" ca="1" si="136"/>
        <v>6294.630000000001</v>
      </c>
      <c r="M634" s="9">
        <f ca="1">AVERAGE(E634:OFFSET(E634,-M$5+1,0))</f>
        <v>9473.884</v>
      </c>
      <c r="N634" s="9">
        <f ca="1">AVERAGE(E634:OFFSET(E634,-N$5+1,0))</f>
        <v>9397.1594999999998</v>
      </c>
      <c r="O634" s="9">
        <f t="shared" ca="1" si="137"/>
        <v>0</v>
      </c>
      <c r="P634" s="14">
        <f t="shared" si="128"/>
        <v>2.3386916081718678</v>
      </c>
      <c r="Q634" s="15">
        <f ca="1">STDEV(P634:OFFSET(P634,-$Q$5+1,0))</f>
        <v>1.8548653215579076</v>
      </c>
      <c r="R634" s="15">
        <f ca="1">STDEV(P634:OFFSET(P634,-$R$5+1,0))</f>
        <v>1.1477744813231125</v>
      </c>
      <c r="S634" s="18">
        <f t="shared" si="129"/>
        <v>134.32999999999993</v>
      </c>
      <c r="T634" s="18">
        <f t="shared" si="130"/>
        <v>235.23999999999978</v>
      </c>
      <c r="U634" s="18">
        <f t="shared" si="138"/>
        <v>175.26865663557794</v>
      </c>
      <c r="V634" s="33">
        <f ca="1">AVERAGE(E634:OFFSET(E634,-V$5+1,0))</f>
        <v>9463.6857142857134</v>
      </c>
      <c r="W634" s="33">
        <f t="shared" ca="1" si="131"/>
        <v>9726.5886992390806</v>
      </c>
      <c r="X634" s="33">
        <f t="shared" ca="1" si="132"/>
        <v>9200.7827293323462</v>
      </c>
      <c r="Y634" s="32">
        <f t="shared" ca="1" si="139"/>
        <v>0</v>
      </c>
    </row>
    <row r="635" spans="1:25">
      <c r="A635" s="5">
        <v>39295</v>
      </c>
      <c r="B635" s="4">
        <v>9188.6</v>
      </c>
      <c r="C635" s="4">
        <v>9265.7000000000007</v>
      </c>
      <c r="D635" s="4">
        <v>8891.8799999999992</v>
      </c>
      <c r="E635" s="4">
        <v>8891.8799999999992</v>
      </c>
      <c r="F635" s="4">
        <v>8423400</v>
      </c>
      <c r="G635" s="8">
        <f t="shared" si="127"/>
        <v>-98.649999999999636</v>
      </c>
      <c r="H635" s="8">
        <f t="shared" si="126"/>
        <v>-296.72000000000116</v>
      </c>
      <c r="I635" s="20">
        <f t="shared" ca="1" si="133"/>
        <v>-1</v>
      </c>
      <c r="J635" s="8">
        <f t="shared" ca="1" si="134"/>
        <v>2</v>
      </c>
      <c r="K635" s="8">
        <f t="shared" ca="1" si="135"/>
        <v>-790.7400000000016</v>
      </c>
      <c r="L635" s="8">
        <f t="shared" ca="1" si="136"/>
        <v>5503.8899999999994</v>
      </c>
      <c r="M635" s="9">
        <f ca="1">AVERAGE(E635:OFFSET(E635,-M$5+1,0))</f>
        <v>9414.5370000000003</v>
      </c>
      <c r="N635" s="9">
        <f ca="1">AVERAGE(E635:OFFSET(E635,-N$5+1,0))</f>
        <v>9388.304500000002</v>
      </c>
      <c r="O635" s="9">
        <f t="shared" ca="1" si="137"/>
        <v>0</v>
      </c>
      <c r="P635" s="14">
        <f t="shared" si="128"/>
        <v>-4.3503991046945831</v>
      </c>
      <c r="Q635" s="15">
        <f ca="1">STDEV(P635:OFFSET(P635,-$Q$5+1,0))</f>
        <v>2.2659500059126536</v>
      </c>
      <c r="R635" s="15">
        <f ca="1">STDEV(P635:OFFSET(P635,-$R$5+1,0))</f>
        <v>1.3616422535476644</v>
      </c>
      <c r="S635" s="18">
        <f t="shared" si="129"/>
        <v>373.82000000000153</v>
      </c>
      <c r="T635" s="18">
        <f t="shared" si="130"/>
        <v>395.3700000000008</v>
      </c>
      <c r="U635" s="18">
        <f t="shared" si="138"/>
        <v>204.61550241750098</v>
      </c>
      <c r="V635" s="33">
        <f ca="1">AVERAGE(E635:OFFSET(E635,-V$5+1,0))</f>
        <v>9430.6478571428579</v>
      </c>
      <c r="W635" s="33">
        <f t="shared" ca="1" si="131"/>
        <v>9737.5711107691095</v>
      </c>
      <c r="X635" s="33">
        <f t="shared" ca="1" si="132"/>
        <v>9123.7246035166063</v>
      </c>
      <c r="Y635" s="32">
        <f t="shared" ca="1" si="139"/>
        <v>-1</v>
      </c>
    </row>
    <row r="636" spans="1:25">
      <c r="A636" s="5">
        <v>39296</v>
      </c>
      <c r="B636" s="4">
        <v>9076.11</v>
      </c>
      <c r="C636" s="4">
        <v>9080.07</v>
      </c>
      <c r="D636" s="4">
        <v>8727.64</v>
      </c>
      <c r="E636" s="4">
        <v>8950.57</v>
      </c>
      <c r="F636" s="4">
        <v>7133200</v>
      </c>
      <c r="G636" s="8">
        <f t="shared" si="127"/>
        <v>184.23000000000138</v>
      </c>
      <c r="H636" s="8">
        <f t="shared" si="126"/>
        <v>-125.54000000000087</v>
      </c>
      <c r="I636" s="20">
        <f t="shared" ca="1" si="133"/>
        <v>0</v>
      </c>
      <c r="J636" s="8">
        <f t="shared" ca="1" si="134"/>
        <v>1</v>
      </c>
      <c r="K636" s="8">
        <f t="shared" ca="1" si="135"/>
        <v>242.92000000000189</v>
      </c>
      <c r="L636" s="8">
        <f t="shared" ca="1" si="136"/>
        <v>5746.8100000000013</v>
      </c>
      <c r="M636" s="9">
        <f ca="1">AVERAGE(E636:OFFSET(E636,-M$5+1,0))</f>
        <v>9362.2630000000008</v>
      </c>
      <c r="N636" s="9">
        <f ca="1">AVERAGE(E636:OFFSET(E636,-N$5+1,0))</f>
        <v>9378.3940000000021</v>
      </c>
      <c r="O636" s="9">
        <f t="shared" ca="1" si="137"/>
        <v>-1</v>
      </c>
      <c r="P636" s="14">
        <f t="shared" si="128"/>
        <v>0.65787166754266391</v>
      </c>
      <c r="Q636" s="15">
        <f ca="1">STDEV(P636:OFFSET(P636,-$Q$5+1,0))</f>
        <v>2.2992764922492475</v>
      </c>
      <c r="R636" s="15">
        <f ca="1">STDEV(P636:OFFSET(P636,-$R$5+1,0))</f>
        <v>1.3637394145335171</v>
      </c>
      <c r="S636" s="18">
        <f t="shared" si="129"/>
        <v>352.43000000000029</v>
      </c>
      <c r="T636" s="18">
        <f t="shared" si="130"/>
        <v>352.43000000000029</v>
      </c>
      <c r="U636" s="18">
        <f t="shared" si="138"/>
        <v>224.32410209516755</v>
      </c>
      <c r="V636" s="33">
        <f ca="1">AVERAGE(E636:OFFSET(E636,-V$5+1,0))</f>
        <v>9393.4528571428582</v>
      </c>
      <c r="W636" s="33">
        <f t="shared" ca="1" si="131"/>
        <v>9729.9390102856087</v>
      </c>
      <c r="X636" s="33">
        <f t="shared" ca="1" si="132"/>
        <v>9056.9667040001077</v>
      </c>
      <c r="Y636" s="32">
        <f t="shared" ca="1" si="139"/>
        <v>0</v>
      </c>
    </row>
    <row r="637" spans="1:25">
      <c r="A637" s="5">
        <v>39297</v>
      </c>
      <c r="B637" s="4">
        <v>9104.34</v>
      </c>
      <c r="C637" s="4">
        <v>9134.6</v>
      </c>
      <c r="D637" s="4">
        <v>9025.7000000000007</v>
      </c>
      <c r="E637" s="4">
        <v>9057.82</v>
      </c>
      <c r="F637" s="4">
        <v>5842800</v>
      </c>
      <c r="G637" s="8">
        <f t="shared" si="127"/>
        <v>153.77000000000044</v>
      </c>
      <c r="H637" s="8">
        <f t="shared" si="126"/>
        <v>-46.520000000000437</v>
      </c>
      <c r="I637" s="20">
        <f t="shared" ca="1" si="133"/>
        <v>0</v>
      </c>
      <c r="J637" s="8">
        <f t="shared" ca="1" si="134"/>
        <v>1</v>
      </c>
      <c r="K637" s="8">
        <f t="shared" ca="1" si="135"/>
        <v>107.25</v>
      </c>
      <c r="L637" s="8">
        <f t="shared" ca="1" si="136"/>
        <v>5854.0600000000013</v>
      </c>
      <c r="M637" s="9">
        <f ca="1">AVERAGE(E637:OFFSET(E637,-M$5+1,0))</f>
        <v>9309.4550000000017</v>
      </c>
      <c r="N637" s="9">
        <f ca="1">AVERAGE(E637:OFFSET(E637,-N$5+1,0))</f>
        <v>9371.8695000000025</v>
      </c>
      <c r="O637" s="9">
        <f t="shared" ca="1" si="137"/>
        <v>0</v>
      </c>
      <c r="P637" s="14">
        <f t="shared" si="128"/>
        <v>1.1911255590501308</v>
      </c>
      <c r="Q637" s="15">
        <f ca="1">STDEV(P637:OFFSET(P637,-$Q$5+1,0))</f>
        <v>2.3000928227766004</v>
      </c>
      <c r="R637" s="15">
        <f ca="1">STDEV(P637:OFFSET(P637,-$R$5+1,0))</f>
        <v>1.372881141673701</v>
      </c>
      <c r="S637" s="18">
        <f t="shared" si="129"/>
        <v>108.89999999999964</v>
      </c>
      <c r="T637" s="18">
        <f t="shared" si="130"/>
        <v>184.03000000000065</v>
      </c>
      <c r="U637" s="18">
        <f t="shared" si="138"/>
        <v>218.95155514914529</v>
      </c>
      <c r="V637" s="33">
        <f ca="1">AVERAGE(E637:OFFSET(E637,-V$5+1,0))</f>
        <v>9367.7742857142875</v>
      </c>
      <c r="W637" s="33">
        <f t="shared" ca="1" si="131"/>
        <v>9696.2016184380063</v>
      </c>
      <c r="X637" s="33">
        <f t="shared" ca="1" si="132"/>
        <v>9039.3469529905688</v>
      </c>
      <c r="Y637" s="32">
        <f t="shared" ca="1" si="139"/>
        <v>0</v>
      </c>
    </row>
    <row r="638" spans="1:25">
      <c r="A638" s="5">
        <v>39300</v>
      </c>
      <c r="B638" s="4">
        <v>8865.58</v>
      </c>
      <c r="C638" s="4">
        <v>8960.75</v>
      </c>
      <c r="D638" s="4">
        <v>8856.91</v>
      </c>
      <c r="E638" s="4">
        <v>8941.73</v>
      </c>
      <c r="F638" s="4">
        <v>4639600</v>
      </c>
      <c r="G638" s="8">
        <f t="shared" si="127"/>
        <v>-192.23999999999978</v>
      </c>
      <c r="H638" s="8">
        <f t="shared" si="126"/>
        <v>76.149999999999636</v>
      </c>
      <c r="I638" s="20">
        <f t="shared" ca="1" si="133"/>
        <v>-1</v>
      </c>
      <c r="J638" s="8">
        <f t="shared" ca="1" si="134"/>
        <v>1</v>
      </c>
      <c r="K638" s="8">
        <f t="shared" ca="1" si="135"/>
        <v>-116.09000000000015</v>
      </c>
      <c r="L638" s="8">
        <f t="shared" ca="1" si="136"/>
        <v>5737.9700000000012</v>
      </c>
      <c r="M638" s="9">
        <f ca="1">AVERAGE(E638:OFFSET(E638,-M$5+1,0))</f>
        <v>9241.4710000000014</v>
      </c>
      <c r="N638" s="9">
        <f ca="1">AVERAGE(E638:OFFSET(E638,-N$5+1,0))</f>
        <v>9350.4640000000036</v>
      </c>
      <c r="O638" s="9">
        <f t="shared" ca="1" si="137"/>
        <v>0</v>
      </c>
      <c r="P638" s="14">
        <f t="shared" si="128"/>
        <v>-1.2899390231580254</v>
      </c>
      <c r="Q638" s="15">
        <f ca="1">STDEV(P638:OFFSET(P638,-$Q$5+1,0))</f>
        <v>2.2847565762782063</v>
      </c>
      <c r="R638" s="15">
        <f ca="1">STDEV(P638:OFFSET(P638,-$R$5+1,0))</f>
        <v>1.3924319779753518</v>
      </c>
      <c r="S638" s="18">
        <f t="shared" si="129"/>
        <v>103.84000000000015</v>
      </c>
      <c r="T638" s="18">
        <f t="shared" si="130"/>
        <v>200.90999999999985</v>
      </c>
      <c r="U638" s="18">
        <f t="shared" si="138"/>
        <v>216.54601446259258</v>
      </c>
      <c r="V638" s="33">
        <f ca="1">AVERAGE(E638:OFFSET(E638,-V$5+1,0))</f>
        <v>9327.2028571428582</v>
      </c>
      <c r="W638" s="33">
        <f t="shared" ca="1" si="131"/>
        <v>9652.0218788367474</v>
      </c>
      <c r="X638" s="33">
        <f t="shared" ca="1" si="132"/>
        <v>9002.383835448969</v>
      </c>
      <c r="Y638" s="32">
        <f t="shared" ca="1" si="139"/>
        <v>-1</v>
      </c>
    </row>
    <row r="639" spans="1:25">
      <c r="A639" s="5">
        <v>39301</v>
      </c>
      <c r="B639" s="4">
        <v>9068.0400000000009</v>
      </c>
      <c r="C639" s="4">
        <v>9068.83</v>
      </c>
      <c r="D639" s="4">
        <v>8862.31</v>
      </c>
      <c r="E639" s="4">
        <v>8862.31</v>
      </c>
      <c r="F639" s="4">
        <v>4858800</v>
      </c>
      <c r="G639" s="8">
        <f t="shared" si="127"/>
        <v>126.31000000000131</v>
      </c>
      <c r="H639" s="8">
        <f t="shared" si="126"/>
        <v>-205.73000000000138</v>
      </c>
      <c r="I639" s="20">
        <f t="shared" ca="1" si="133"/>
        <v>0</v>
      </c>
      <c r="J639" s="8">
        <f t="shared" ca="1" si="134"/>
        <v>0</v>
      </c>
      <c r="K639" s="8">
        <f t="shared" ca="1" si="135"/>
        <v>126.31000000000131</v>
      </c>
      <c r="L639" s="8">
        <f t="shared" ca="1" si="136"/>
        <v>5864.2800000000025</v>
      </c>
      <c r="M639" s="9">
        <f ca="1">AVERAGE(E639:OFFSET(E639,-M$5+1,0))</f>
        <v>9153.2959999999985</v>
      </c>
      <c r="N639" s="9">
        <f ca="1">AVERAGE(E639:OFFSET(E639,-N$5+1,0))</f>
        <v>9324.3430000000008</v>
      </c>
      <c r="O639" s="9">
        <f t="shared" ca="1" si="137"/>
        <v>0</v>
      </c>
      <c r="P639" s="14">
        <f t="shared" si="128"/>
        <v>-0.89216297861279525</v>
      </c>
      <c r="Q639" s="15">
        <f ca="1">STDEV(P639:OFFSET(P639,-$Q$5+1,0))</f>
        <v>2.1743391426528196</v>
      </c>
      <c r="R639" s="15">
        <f ca="1">STDEV(P639:OFFSET(P639,-$R$5+1,0))</f>
        <v>1.396531740566771</v>
      </c>
      <c r="S639" s="18">
        <f t="shared" si="129"/>
        <v>206.52000000000044</v>
      </c>
      <c r="T639" s="18">
        <f t="shared" si="130"/>
        <v>206.52000000000044</v>
      </c>
      <c r="U639" s="18">
        <f t="shared" si="138"/>
        <v>215.20921253424697</v>
      </c>
      <c r="V639" s="33">
        <f ca="1">AVERAGE(E639:OFFSET(E639,-V$5+1,0))</f>
        <v>9282.7000000000007</v>
      </c>
      <c r="W639" s="33">
        <f t="shared" ca="1" si="131"/>
        <v>9605.5138188013716</v>
      </c>
      <c r="X639" s="33">
        <f t="shared" ca="1" si="132"/>
        <v>8959.8861811986299</v>
      </c>
      <c r="Y639" s="32">
        <f t="shared" ca="1" si="139"/>
        <v>0</v>
      </c>
    </row>
    <row r="640" spans="1:25">
      <c r="A640" s="5">
        <v>39302</v>
      </c>
      <c r="B640" s="4">
        <v>8961.1200000000008</v>
      </c>
      <c r="C640" s="4">
        <v>9099.4599999999991</v>
      </c>
      <c r="D640" s="4">
        <v>8938.5400000000009</v>
      </c>
      <c r="E640" s="4">
        <v>9099.4599999999991</v>
      </c>
      <c r="F640" s="4">
        <v>4875000</v>
      </c>
      <c r="G640" s="8">
        <f t="shared" si="127"/>
        <v>98.81000000000131</v>
      </c>
      <c r="H640" s="8">
        <f t="shared" si="126"/>
        <v>138.33999999999833</v>
      </c>
      <c r="I640" s="20">
        <f t="shared" ca="1" si="133"/>
        <v>0</v>
      </c>
      <c r="J640" s="8">
        <f t="shared" ca="1" si="134"/>
        <v>0</v>
      </c>
      <c r="K640" s="8">
        <f t="shared" ca="1" si="135"/>
        <v>0</v>
      </c>
      <c r="L640" s="8">
        <f t="shared" ca="1" si="136"/>
        <v>5864.2800000000025</v>
      </c>
      <c r="M640" s="9">
        <f ca="1">AVERAGE(E640:OFFSET(E640,-M$5+1,0))</f>
        <v>9089.2290000000012</v>
      </c>
      <c r="N640" s="9">
        <f ca="1">AVERAGE(E640:OFFSET(E640,-N$5+1,0))</f>
        <v>9314.7685000000001</v>
      </c>
      <c r="O640" s="9">
        <f t="shared" ca="1" si="137"/>
        <v>0</v>
      </c>
      <c r="P640" s="14">
        <f t="shared" si="128"/>
        <v>2.6407618120282468</v>
      </c>
      <c r="Q640" s="15">
        <f ca="1">STDEV(P640:OFFSET(P640,-$Q$5+1,0))</f>
        <v>2.4469707858092264</v>
      </c>
      <c r="R640" s="15">
        <f ca="1">STDEV(P640:OFFSET(P640,-$R$5+1,0))</f>
        <v>1.449947987689195</v>
      </c>
      <c r="S640" s="18">
        <f t="shared" si="129"/>
        <v>160.91999999999825</v>
      </c>
      <c r="T640" s="18">
        <f t="shared" si="130"/>
        <v>237.14999999999964</v>
      </c>
      <c r="U640" s="18">
        <f t="shared" si="138"/>
        <v>218.134650863014</v>
      </c>
      <c r="V640" s="33">
        <f ca="1">AVERAGE(E640:OFFSET(E640,-V$5+1,0))</f>
        <v>9255.9964285714286</v>
      </c>
      <c r="W640" s="33">
        <f t="shared" ca="1" si="131"/>
        <v>9583.1984048659488</v>
      </c>
      <c r="X640" s="33">
        <f t="shared" ca="1" si="132"/>
        <v>8928.7944522769085</v>
      </c>
      <c r="Y640" s="32">
        <f t="shared" ca="1" si="139"/>
        <v>0</v>
      </c>
    </row>
    <row r="641" spans="1:25">
      <c r="A641" s="5">
        <v>39303</v>
      </c>
      <c r="B641" s="4">
        <v>9213.4699999999993</v>
      </c>
      <c r="C641" s="4">
        <v>9219.02</v>
      </c>
      <c r="D641" s="4">
        <v>9140.4699999999993</v>
      </c>
      <c r="E641" s="4">
        <v>9182.6</v>
      </c>
      <c r="F641" s="4">
        <v>5712600</v>
      </c>
      <c r="G641" s="8">
        <f t="shared" si="127"/>
        <v>114.01000000000022</v>
      </c>
      <c r="H641" s="8">
        <f t="shared" si="126"/>
        <v>-30.869999999998981</v>
      </c>
      <c r="I641" s="20">
        <f t="shared" ca="1" si="133"/>
        <v>0</v>
      </c>
      <c r="J641" s="8">
        <f t="shared" ca="1" si="134"/>
        <v>0</v>
      </c>
      <c r="K641" s="8">
        <f t="shared" ca="1" si="135"/>
        <v>0</v>
      </c>
      <c r="L641" s="8">
        <f t="shared" ca="1" si="136"/>
        <v>5864.2800000000025</v>
      </c>
      <c r="M641" s="9">
        <f ca="1">AVERAGE(E641:OFFSET(E641,-M$5+1,0))</f>
        <v>9050.8469999999998</v>
      </c>
      <c r="N641" s="9">
        <f ca="1">AVERAGE(E641:OFFSET(E641,-N$5+1,0))</f>
        <v>9306.1780000000017</v>
      </c>
      <c r="O641" s="9">
        <f t="shared" ca="1" si="137"/>
        <v>0</v>
      </c>
      <c r="P641" s="14">
        <f t="shared" si="128"/>
        <v>0.90953178300743132</v>
      </c>
      <c r="Q641" s="15">
        <f ca="1">STDEV(P641:OFFSET(P641,-$Q$5+1,0))</f>
        <v>2.4592333721187414</v>
      </c>
      <c r="R641" s="15">
        <f ca="1">STDEV(P641:OFFSET(P641,-$R$5+1,0))</f>
        <v>1.4538863738585472</v>
      </c>
      <c r="S641" s="18">
        <f t="shared" si="129"/>
        <v>78.550000000001091</v>
      </c>
      <c r="T641" s="18">
        <f t="shared" si="130"/>
        <v>119.56000000000131</v>
      </c>
      <c r="U641" s="18">
        <f t="shared" si="138"/>
        <v>204.99136408127899</v>
      </c>
      <c r="V641" s="33">
        <f ca="1">AVERAGE(E641:OFFSET(E641,-V$5+1,0))</f>
        <v>9227.1892857142866</v>
      </c>
      <c r="W641" s="33">
        <f t="shared" ca="1" si="131"/>
        <v>9534.6763318362046</v>
      </c>
      <c r="X641" s="33">
        <f t="shared" ca="1" si="132"/>
        <v>8919.7022395923686</v>
      </c>
      <c r="Y641" s="32">
        <f t="shared" ca="1" si="139"/>
        <v>0</v>
      </c>
    </row>
    <row r="642" spans="1:25">
      <c r="A642" s="5">
        <v>39304</v>
      </c>
      <c r="B642" s="4">
        <v>8870.27</v>
      </c>
      <c r="C642" s="4">
        <v>8969.31</v>
      </c>
      <c r="D642" s="4">
        <v>8870.27</v>
      </c>
      <c r="E642" s="4">
        <v>8931.31</v>
      </c>
      <c r="F642" s="4">
        <v>5535000</v>
      </c>
      <c r="G642" s="8">
        <f t="shared" si="127"/>
        <v>-312.32999999999993</v>
      </c>
      <c r="H642" s="8">
        <f t="shared" si="126"/>
        <v>61.039999999999054</v>
      </c>
      <c r="I642" s="20">
        <f t="shared" ca="1" si="133"/>
        <v>0</v>
      </c>
      <c r="J642" s="8">
        <f t="shared" ca="1" si="134"/>
        <v>0</v>
      </c>
      <c r="K642" s="8">
        <f t="shared" ca="1" si="135"/>
        <v>0</v>
      </c>
      <c r="L642" s="8">
        <f t="shared" ca="1" si="136"/>
        <v>5864.2800000000025</v>
      </c>
      <c r="M642" s="9">
        <f ca="1">AVERAGE(E642:OFFSET(E642,-M$5+1,0))</f>
        <v>9027.75</v>
      </c>
      <c r="N642" s="9">
        <f ca="1">AVERAGE(E642:OFFSET(E642,-N$5+1,0))</f>
        <v>9279.1785000000018</v>
      </c>
      <c r="O642" s="9">
        <f t="shared" ca="1" si="137"/>
        <v>0</v>
      </c>
      <c r="P642" s="14">
        <f t="shared" si="128"/>
        <v>-2.7747308274731939</v>
      </c>
      <c r="Q642" s="15">
        <f ca="1">STDEV(P642:OFFSET(P642,-$Q$5+1,0))</f>
        <v>2.2241901807204343</v>
      </c>
      <c r="R642" s="15">
        <f ca="1">STDEV(P642:OFFSET(P642,-$R$5+1,0))</f>
        <v>1.5279708888364993</v>
      </c>
      <c r="S642" s="18">
        <f t="shared" si="129"/>
        <v>99.039999999999054</v>
      </c>
      <c r="T642" s="18">
        <f t="shared" si="130"/>
        <v>312.32999999999993</v>
      </c>
      <c r="U642" s="18">
        <f t="shared" si="138"/>
        <v>219.30318220377512</v>
      </c>
      <c r="V642" s="33">
        <f ca="1">AVERAGE(E642:OFFSET(E642,-V$5+1,0))</f>
        <v>9177.8850000000002</v>
      </c>
      <c r="W642" s="33">
        <f t="shared" ca="1" si="131"/>
        <v>9506.8397733056627</v>
      </c>
      <c r="X642" s="33">
        <f t="shared" ca="1" si="132"/>
        <v>8848.9302266943378</v>
      </c>
      <c r="Y642" s="32">
        <f t="shared" ca="1" si="139"/>
        <v>0</v>
      </c>
    </row>
    <row r="643" spans="1:25">
      <c r="A643" s="5">
        <v>39307</v>
      </c>
      <c r="B643" s="4">
        <v>9030.82</v>
      </c>
      <c r="C643" s="4">
        <v>9030.93</v>
      </c>
      <c r="D643" s="4">
        <v>8913.4</v>
      </c>
      <c r="E643" s="4">
        <v>8938.9599999999991</v>
      </c>
      <c r="F643" s="4">
        <v>5061000</v>
      </c>
      <c r="G643" s="8">
        <f t="shared" si="127"/>
        <v>99.510000000000218</v>
      </c>
      <c r="H643" s="8">
        <f t="shared" si="126"/>
        <v>-91.860000000000582</v>
      </c>
      <c r="I643" s="20">
        <f t="shared" ca="1" si="133"/>
        <v>0</v>
      </c>
      <c r="J643" s="8">
        <f t="shared" ca="1" si="134"/>
        <v>0</v>
      </c>
      <c r="K643" s="8">
        <f t="shared" ca="1" si="135"/>
        <v>0</v>
      </c>
      <c r="L643" s="8">
        <f t="shared" ca="1" si="136"/>
        <v>5864.2800000000025</v>
      </c>
      <c r="M643" s="9">
        <f ca="1">AVERAGE(E643:OFFSET(E643,-M$5+1,0))</f>
        <v>9014.3889999999992</v>
      </c>
      <c r="N643" s="9">
        <f ca="1">AVERAGE(E643:OFFSET(E643,-N$5+1,0))</f>
        <v>9255.2605000000003</v>
      </c>
      <c r="O643" s="9">
        <f t="shared" ca="1" si="137"/>
        <v>0</v>
      </c>
      <c r="P643" s="14">
        <f t="shared" si="128"/>
        <v>8.5617066415957788E-2</v>
      </c>
      <c r="Q643" s="15">
        <f ca="1">STDEV(P643:OFFSET(P643,-$Q$5+1,0))</f>
        <v>2.2109359365221297</v>
      </c>
      <c r="R643" s="15">
        <f ca="1">STDEV(P643:OFFSET(P643,-$R$5+1,0))</f>
        <v>1.5180581026106477</v>
      </c>
      <c r="S643" s="18">
        <f t="shared" si="129"/>
        <v>117.53000000000065</v>
      </c>
      <c r="T643" s="18">
        <f t="shared" si="130"/>
        <v>117.53000000000065</v>
      </c>
      <c r="U643" s="18">
        <f t="shared" si="138"/>
        <v>205.73342457660522</v>
      </c>
      <c r="V643" s="33">
        <f ca="1">AVERAGE(E643:OFFSET(E643,-V$5+1,0))</f>
        <v>9120.3778571428556</v>
      </c>
      <c r="W643" s="33">
        <f t="shared" ca="1" si="131"/>
        <v>9428.9779940077642</v>
      </c>
      <c r="X643" s="33">
        <f t="shared" ca="1" si="132"/>
        <v>8811.7777202779471</v>
      </c>
      <c r="Y643" s="32">
        <f t="shared" ca="1" si="139"/>
        <v>0</v>
      </c>
    </row>
    <row r="644" spans="1:25">
      <c r="A644" s="5">
        <v>39308</v>
      </c>
      <c r="B644" s="4">
        <v>8952.5400000000009</v>
      </c>
      <c r="C644" s="4">
        <v>9023.26</v>
      </c>
      <c r="D644" s="4">
        <v>8840.26</v>
      </c>
      <c r="E644" s="4">
        <v>8910.99</v>
      </c>
      <c r="F644" s="4">
        <v>4770600</v>
      </c>
      <c r="G644" s="8">
        <f t="shared" si="127"/>
        <v>13.580000000001746</v>
      </c>
      <c r="H644" s="8">
        <f t="shared" ref="H644:H707" si="140">E644-B644</f>
        <v>-41.550000000001091</v>
      </c>
      <c r="I644" s="20">
        <f t="shared" ca="1" si="133"/>
        <v>0</v>
      </c>
      <c r="J644" s="8">
        <f t="shared" ca="1" si="134"/>
        <v>0</v>
      </c>
      <c r="K644" s="8">
        <f t="shared" ca="1" si="135"/>
        <v>0</v>
      </c>
      <c r="L644" s="8">
        <f t="shared" ca="1" si="136"/>
        <v>5864.2800000000025</v>
      </c>
      <c r="M644" s="9">
        <f ca="1">AVERAGE(E644:OFFSET(E644,-M$5+1,0))</f>
        <v>8976.762999999999</v>
      </c>
      <c r="N644" s="9">
        <f ca="1">AVERAGE(E644:OFFSET(E644,-N$5+1,0))</f>
        <v>9225.3235000000004</v>
      </c>
      <c r="O644" s="9">
        <f t="shared" ca="1" si="137"/>
        <v>0</v>
      </c>
      <c r="P644" s="14">
        <f t="shared" si="128"/>
        <v>-0.31339049007923103</v>
      </c>
      <c r="Q644" s="15">
        <f ca="1">STDEV(P644:OFFSET(P644,-$Q$5+1,0))</f>
        <v>2.0312168670392712</v>
      </c>
      <c r="R644" s="15">
        <f ca="1">STDEV(P644:OFFSET(P644,-$R$5+1,0))</f>
        <v>1.5047337848071414</v>
      </c>
      <c r="S644" s="18">
        <f t="shared" si="129"/>
        <v>183</v>
      </c>
      <c r="T644" s="18">
        <f t="shared" si="130"/>
        <v>183</v>
      </c>
      <c r="U644" s="18">
        <f t="shared" si="138"/>
        <v>202.70230129972452</v>
      </c>
      <c r="V644" s="33">
        <f ca="1">AVERAGE(E644:OFFSET(E644,-V$5+1,0))</f>
        <v>9061.1535714285728</v>
      </c>
      <c r="W644" s="33">
        <f t="shared" ca="1" si="131"/>
        <v>9365.2070233781596</v>
      </c>
      <c r="X644" s="33">
        <f t="shared" ca="1" si="132"/>
        <v>8757.100119478986</v>
      </c>
      <c r="Y644" s="32">
        <f t="shared" ca="1" si="139"/>
        <v>0</v>
      </c>
    </row>
    <row r="645" spans="1:25">
      <c r="A645" s="5">
        <v>39309</v>
      </c>
      <c r="B645" s="4">
        <v>8782.0499999999993</v>
      </c>
      <c r="C645" s="4">
        <v>8808.59</v>
      </c>
      <c r="D645" s="4">
        <v>8561.02</v>
      </c>
      <c r="E645" s="4">
        <v>8593.0400000000009</v>
      </c>
      <c r="F645" s="4">
        <v>5640000</v>
      </c>
      <c r="G645" s="8">
        <f t="shared" ref="G645:G708" si="141">B645-E644</f>
        <v>-128.94000000000051</v>
      </c>
      <c r="H645" s="8">
        <f t="shared" si="140"/>
        <v>-189.0099999999984</v>
      </c>
      <c r="I645" s="20">
        <f t="shared" ca="1" si="133"/>
        <v>-1</v>
      </c>
      <c r="J645" s="8">
        <f t="shared" ca="1" si="134"/>
        <v>0</v>
      </c>
      <c r="K645" s="8">
        <f t="shared" ca="1" si="135"/>
        <v>0</v>
      </c>
      <c r="L645" s="8">
        <f t="shared" ca="1" si="136"/>
        <v>5864.2800000000025</v>
      </c>
      <c r="M645" s="9">
        <f ca="1">AVERAGE(E645:OFFSET(E645,-M$5+1,0))</f>
        <v>8946.8790000000008</v>
      </c>
      <c r="N645" s="9">
        <f ca="1">AVERAGE(E645:OFFSET(E645,-N$5+1,0))</f>
        <v>9180.7080000000005</v>
      </c>
      <c r="O645" s="9">
        <f t="shared" ca="1" si="137"/>
        <v>0</v>
      </c>
      <c r="P645" s="14">
        <f t="shared" ref="P645:P708" si="142">100*LN(E645/E644)</f>
        <v>-3.6332773149490079</v>
      </c>
      <c r="Q645" s="15">
        <f ca="1">STDEV(P645:OFFSET(P645,-$Q$5+1,0))</f>
        <v>1.8841162137296081</v>
      </c>
      <c r="R645" s="15">
        <f ca="1">STDEV(P645:OFFSET(P645,-$R$5+1,0))</f>
        <v>1.5800500548362513</v>
      </c>
      <c r="S645" s="18">
        <f t="shared" si="129"/>
        <v>247.56999999999971</v>
      </c>
      <c r="T645" s="18">
        <f t="shared" si="130"/>
        <v>349.96999999999935</v>
      </c>
      <c r="U645" s="18">
        <f t="shared" si="138"/>
        <v>222.33799445976118</v>
      </c>
      <c r="V645" s="33">
        <f ca="1">AVERAGE(E645:OFFSET(E645,-V$5+1,0))</f>
        <v>8991.6264285714278</v>
      </c>
      <c r="W645" s="33">
        <f t="shared" ca="1" si="131"/>
        <v>9325.1334202610687</v>
      </c>
      <c r="X645" s="33">
        <f t="shared" ca="1" si="132"/>
        <v>8658.1194368817869</v>
      </c>
      <c r="Y645" s="32">
        <f t="shared" ca="1" si="139"/>
        <v>-1</v>
      </c>
    </row>
    <row r="646" spans="1:25">
      <c r="A646" s="5">
        <v>39310</v>
      </c>
      <c r="B646" s="4">
        <v>8397.24</v>
      </c>
      <c r="C646" s="4">
        <v>8438.08</v>
      </c>
      <c r="D646" s="4">
        <v>8166.08</v>
      </c>
      <c r="E646" s="4">
        <v>8201.3700000000008</v>
      </c>
      <c r="F646" s="4">
        <v>5927000</v>
      </c>
      <c r="G646" s="8">
        <f t="shared" si="141"/>
        <v>-195.80000000000109</v>
      </c>
      <c r="H646" s="8">
        <f t="shared" si="140"/>
        <v>-195.86999999999898</v>
      </c>
      <c r="I646" s="20">
        <f t="shared" ca="1" si="133"/>
        <v>0</v>
      </c>
      <c r="J646" s="8">
        <f t="shared" ca="1" si="134"/>
        <v>-1</v>
      </c>
      <c r="K646" s="8">
        <f t="shared" ca="1" si="135"/>
        <v>195.86999999999898</v>
      </c>
      <c r="L646" s="8">
        <f t="shared" ca="1" si="136"/>
        <v>6060.1500000000015</v>
      </c>
      <c r="M646" s="9">
        <f ca="1">AVERAGE(E646:OFFSET(E646,-M$5+1,0))</f>
        <v>8871.9589999999989</v>
      </c>
      <c r="N646" s="9">
        <f ca="1">AVERAGE(E646:OFFSET(E646,-N$5+1,0))</f>
        <v>9117.1110000000008</v>
      </c>
      <c r="O646" s="9">
        <f t="shared" ca="1" si="137"/>
        <v>0</v>
      </c>
      <c r="P646" s="14">
        <f t="shared" si="142"/>
        <v>-4.6651359786185305</v>
      </c>
      <c r="Q646" s="15">
        <f ca="1">STDEV(P646:OFFSET(P646,-$Q$5+1,0))</f>
        <v>2.2805180606371347</v>
      </c>
      <c r="R646" s="15">
        <f ca="1">STDEV(P646:OFFSET(P646,-$R$5+1,0))</f>
        <v>1.7288547329035455</v>
      </c>
      <c r="S646" s="18">
        <f t="shared" si="129"/>
        <v>272</v>
      </c>
      <c r="T646" s="18">
        <f t="shared" si="130"/>
        <v>426.96000000000095</v>
      </c>
      <c r="U646" s="18">
        <f t="shared" si="138"/>
        <v>249.62092853179314</v>
      </c>
      <c r="V646" s="33">
        <f ca="1">AVERAGE(E646:OFFSET(E646,-V$5+1,0))</f>
        <v>8922.99</v>
      </c>
      <c r="W646" s="33">
        <f t="shared" ca="1" si="131"/>
        <v>9297.4213927976889</v>
      </c>
      <c r="X646" s="33">
        <f t="shared" ca="1" si="132"/>
        <v>8548.5586072023107</v>
      </c>
      <c r="Y646" s="32">
        <f t="shared" ca="1" si="139"/>
        <v>0</v>
      </c>
    </row>
    <row r="647" spans="1:25">
      <c r="A647" s="5">
        <v>39311</v>
      </c>
      <c r="B647" s="4">
        <v>8209.91</v>
      </c>
      <c r="C647" s="4">
        <v>8307.3700000000008</v>
      </c>
      <c r="D647" s="4">
        <v>7987.61</v>
      </c>
      <c r="E647" s="4">
        <v>8090.29</v>
      </c>
      <c r="F647" s="4">
        <v>5981200</v>
      </c>
      <c r="G647" s="8">
        <f t="shared" si="141"/>
        <v>8.5399999999990541</v>
      </c>
      <c r="H647" s="8">
        <f t="shared" si="140"/>
        <v>-119.61999999999989</v>
      </c>
      <c r="I647" s="20">
        <f t="shared" ca="1" si="133"/>
        <v>0</v>
      </c>
      <c r="J647" s="8">
        <f t="shared" ca="1" si="134"/>
        <v>-1</v>
      </c>
      <c r="K647" s="8">
        <f t="shared" ca="1" si="135"/>
        <v>111.08000000000084</v>
      </c>
      <c r="L647" s="8">
        <f t="shared" ca="1" si="136"/>
        <v>6171.2300000000023</v>
      </c>
      <c r="M647" s="9">
        <f ca="1">AVERAGE(E647:OFFSET(E647,-M$5+1,0))</f>
        <v>8775.2059999999983</v>
      </c>
      <c r="N647" s="9">
        <f ca="1">AVERAGE(E647:OFFSET(E647,-N$5+1,0))</f>
        <v>9042.3305</v>
      </c>
      <c r="O647" s="9">
        <f t="shared" ca="1" si="137"/>
        <v>0</v>
      </c>
      <c r="P647" s="14">
        <f t="shared" si="142"/>
        <v>-1.3636636333498475</v>
      </c>
      <c r="Q647" s="15">
        <f ca="1">STDEV(P647:OFFSET(P647,-$Q$5+1,0))</f>
        <v>2.1635459065672848</v>
      </c>
      <c r="R647" s="15">
        <f ca="1">STDEV(P647:OFFSET(P647,-$R$5+1,0))</f>
        <v>1.7385931935383792</v>
      </c>
      <c r="S647" s="18">
        <f t="shared" si="129"/>
        <v>319.76000000000113</v>
      </c>
      <c r="T647" s="18">
        <f t="shared" si="130"/>
        <v>319.76000000000113</v>
      </c>
      <c r="U647" s="18">
        <f t="shared" si="138"/>
        <v>258.97280472755421</v>
      </c>
      <c r="V647" s="33">
        <f ca="1">AVERAGE(E647:OFFSET(E647,-V$5+1,0))</f>
        <v>8852.8271428571406</v>
      </c>
      <c r="W647" s="33">
        <f t="shared" ca="1" si="131"/>
        <v>9241.286349948472</v>
      </c>
      <c r="X647" s="33">
        <f t="shared" ca="1" si="132"/>
        <v>8464.3679357658093</v>
      </c>
      <c r="Y647" s="32">
        <f t="shared" ca="1" si="139"/>
        <v>0</v>
      </c>
    </row>
    <row r="648" spans="1:25">
      <c r="A648" s="5">
        <v>39314</v>
      </c>
      <c r="B648" s="4">
        <v>8496.9699999999993</v>
      </c>
      <c r="C648" s="4">
        <v>8516.75</v>
      </c>
      <c r="D648" s="4">
        <v>8397.26</v>
      </c>
      <c r="E648" s="4">
        <v>8515.6</v>
      </c>
      <c r="F648" s="4">
        <v>4327200</v>
      </c>
      <c r="G648" s="8">
        <f t="shared" si="141"/>
        <v>406.67999999999938</v>
      </c>
      <c r="H648" s="8">
        <f t="shared" si="140"/>
        <v>18.630000000001019</v>
      </c>
      <c r="I648" s="20">
        <f t="shared" ca="1" si="133"/>
        <v>0</v>
      </c>
      <c r="J648" s="8">
        <f t="shared" ca="1" si="134"/>
        <v>-1</v>
      </c>
      <c r="K648" s="8">
        <f t="shared" ca="1" si="135"/>
        <v>-425.3100000000004</v>
      </c>
      <c r="L648" s="8">
        <f t="shared" ca="1" si="136"/>
        <v>5745.9200000000019</v>
      </c>
      <c r="M648" s="9">
        <f ca="1">AVERAGE(E648:OFFSET(E648,-M$5+1,0))</f>
        <v>8732.5929999999989</v>
      </c>
      <c r="N648" s="9">
        <f ca="1">AVERAGE(E648:OFFSET(E648,-N$5+1,0))</f>
        <v>8987.0320000000011</v>
      </c>
      <c r="O648" s="9">
        <f t="shared" ca="1" si="137"/>
        <v>0</v>
      </c>
      <c r="P648" s="14">
        <f t="shared" si="142"/>
        <v>5.1235198367173416</v>
      </c>
      <c r="Q648" s="15">
        <f ca="1">STDEV(P648:OFFSET(P648,-$Q$5+1,0))</f>
        <v>2.9267242090183938</v>
      </c>
      <c r="R648" s="15">
        <f ca="1">STDEV(P648:OFFSET(P648,-$R$5+1,0))</f>
        <v>1.924561017417296</v>
      </c>
      <c r="S648" s="18">
        <f t="shared" si="129"/>
        <v>119.48999999999978</v>
      </c>
      <c r="T648" s="18">
        <f t="shared" si="130"/>
        <v>426.46000000000004</v>
      </c>
      <c r="U648" s="18">
        <f t="shared" si="138"/>
        <v>281.3044307638803</v>
      </c>
      <c r="V648" s="33">
        <f ca="1">AVERAGE(E648:OFFSET(E648,-V$5+1,0))</f>
        <v>8797.7092857142834</v>
      </c>
      <c r="W648" s="33">
        <f t="shared" ca="1" si="131"/>
        <v>9219.6659318601032</v>
      </c>
      <c r="X648" s="33">
        <f t="shared" ca="1" si="132"/>
        <v>8375.7526395684636</v>
      </c>
      <c r="Y648" s="32">
        <f t="shared" ca="1" si="139"/>
        <v>0</v>
      </c>
    </row>
    <row r="649" spans="1:25">
      <c r="A649" s="5">
        <v>39315</v>
      </c>
      <c r="B649" s="4">
        <v>8542.1299999999992</v>
      </c>
      <c r="C649" s="4">
        <v>8586.73</v>
      </c>
      <c r="D649" s="4">
        <v>8424.01</v>
      </c>
      <c r="E649" s="4">
        <v>8479.08</v>
      </c>
      <c r="F649" s="4">
        <v>4632800</v>
      </c>
      <c r="G649" s="8">
        <f t="shared" si="141"/>
        <v>26.529999999998836</v>
      </c>
      <c r="H649" s="8">
        <f t="shared" si="140"/>
        <v>-63.049999999999272</v>
      </c>
      <c r="I649" s="20">
        <f t="shared" ca="1" si="133"/>
        <v>0</v>
      </c>
      <c r="J649" s="8">
        <f t="shared" ca="1" si="134"/>
        <v>-1</v>
      </c>
      <c r="K649" s="8">
        <f t="shared" ca="1" si="135"/>
        <v>36.520000000000437</v>
      </c>
      <c r="L649" s="8">
        <f t="shared" ca="1" si="136"/>
        <v>5782.4400000000023</v>
      </c>
      <c r="M649" s="9">
        <f ca="1">AVERAGE(E649:OFFSET(E649,-M$5+1,0))</f>
        <v>8694.27</v>
      </c>
      <c r="N649" s="9">
        <f ca="1">AVERAGE(E649:OFFSET(E649,-N$5+1,0))</f>
        <v>8923.7829999999994</v>
      </c>
      <c r="O649" s="9">
        <f t="shared" ca="1" si="137"/>
        <v>0</v>
      </c>
      <c r="P649" s="14">
        <f t="shared" si="142"/>
        <v>-0.42978221671994704</v>
      </c>
      <c r="Q649" s="15">
        <f ca="1">STDEV(P649:OFFSET(P649,-$Q$5+1,0))</f>
        <v>2.923285145615095</v>
      </c>
      <c r="R649" s="15">
        <f ca="1">STDEV(P649:OFFSET(P649,-$R$5+1,0))</f>
        <v>1.9218691574095181</v>
      </c>
      <c r="S649" s="18">
        <f t="shared" si="129"/>
        <v>162.71999999999935</v>
      </c>
      <c r="T649" s="18">
        <f t="shared" si="130"/>
        <v>162.71999999999935</v>
      </c>
      <c r="U649" s="18">
        <f t="shared" si="138"/>
        <v>265.49317332869617</v>
      </c>
      <c r="V649" s="33">
        <f ca="1">AVERAGE(E649:OFFSET(E649,-V$5+1,0))</f>
        <v>8768.2235714285725</v>
      </c>
      <c r="W649" s="33">
        <f t="shared" ca="1" si="131"/>
        <v>9166.4633314216171</v>
      </c>
      <c r="X649" s="33">
        <f t="shared" ca="1" si="132"/>
        <v>8369.983811435528</v>
      </c>
      <c r="Y649" s="32">
        <f t="shared" ca="1" si="139"/>
        <v>0</v>
      </c>
    </row>
    <row r="650" spans="1:25">
      <c r="A650" s="5">
        <v>39316</v>
      </c>
      <c r="B650" s="4">
        <v>8487.24</v>
      </c>
      <c r="C650" s="4">
        <v>8512.4500000000007</v>
      </c>
      <c r="D650" s="4">
        <v>8432.32</v>
      </c>
      <c r="E650" s="4">
        <v>8493.4599999999991</v>
      </c>
      <c r="F650" s="4">
        <v>4030000</v>
      </c>
      <c r="G650" s="8">
        <f t="shared" si="141"/>
        <v>8.1599999999998545</v>
      </c>
      <c r="H650" s="8">
        <f t="shared" si="140"/>
        <v>6.2199999999993452</v>
      </c>
      <c r="I650" s="20">
        <f t="shared" ca="1" si="133"/>
        <v>0</v>
      </c>
      <c r="J650" s="8">
        <f t="shared" ca="1" si="134"/>
        <v>-1</v>
      </c>
      <c r="K650" s="8">
        <f t="shared" ca="1" si="135"/>
        <v>-14.3799999999992</v>
      </c>
      <c r="L650" s="8">
        <f t="shared" ca="1" si="136"/>
        <v>5768.0600000000031</v>
      </c>
      <c r="M650" s="9">
        <f ca="1">AVERAGE(E650:OFFSET(E650,-M$5+1,0))</f>
        <v>8633.6700000000019</v>
      </c>
      <c r="N650" s="9">
        <f ca="1">AVERAGE(E650:OFFSET(E650,-N$5+1,0))</f>
        <v>8861.4494999999988</v>
      </c>
      <c r="O650" s="9">
        <f t="shared" ca="1" si="137"/>
        <v>0</v>
      </c>
      <c r="P650" s="14">
        <f t="shared" si="142"/>
        <v>0.16945022301693052</v>
      </c>
      <c r="Q650" s="15">
        <f ca="1">STDEV(P650:OFFSET(P650,-$Q$5+1,0))</f>
        <v>2.7319062422031544</v>
      </c>
      <c r="R650" s="15">
        <f ca="1">STDEV(P650:OFFSET(P650,-$R$5+1,0))</f>
        <v>1.9222515924783257</v>
      </c>
      <c r="S650" s="18">
        <f t="shared" si="129"/>
        <v>80.130000000001019</v>
      </c>
      <c r="T650" s="18">
        <f t="shared" si="130"/>
        <v>80.130000000001019</v>
      </c>
      <c r="U650" s="18">
        <f t="shared" si="138"/>
        <v>240.77808355153684</v>
      </c>
      <c r="V650" s="33">
        <f ca="1">AVERAGE(E650:OFFSET(E650,-V$5+1,0))</f>
        <v>8735.5728571428572</v>
      </c>
      <c r="W650" s="33">
        <f t="shared" ca="1" si="131"/>
        <v>9096.7399824701624</v>
      </c>
      <c r="X650" s="33">
        <f t="shared" ca="1" si="132"/>
        <v>8374.4057318155519</v>
      </c>
      <c r="Y650" s="32">
        <f t="shared" ca="1" si="139"/>
        <v>0</v>
      </c>
    </row>
    <row r="651" spans="1:25">
      <c r="A651" s="5">
        <v>39317</v>
      </c>
      <c r="B651" s="4">
        <v>8699.4</v>
      </c>
      <c r="C651" s="4">
        <v>8735.1</v>
      </c>
      <c r="D651" s="4">
        <v>8686.06</v>
      </c>
      <c r="E651" s="4">
        <v>8732.84</v>
      </c>
      <c r="F651" s="4">
        <v>4880200</v>
      </c>
      <c r="G651" s="8">
        <f t="shared" si="141"/>
        <v>205.94000000000051</v>
      </c>
      <c r="H651" s="8">
        <f t="shared" si="140"/>
        <v>33.440000000000509</v>
      </c>
      <c r="I651" s="20">
        <f t="shared" ca="1" si="133"/>
        <v>0</v>
      </c>
      <c r="J651" s="8">
        <f t="shared" ca="1" si="134"/>
        <v>-1</v>
      </c>
      <c r="K651" s="8">
        <f t="shared" ca="1" si="135"/>
        <v>-239.38000000000102</v>
      </c>
      <c r="L651" s="8">
        <f t="shared" ca="1" si="136"/>
        <v>5528.6800000000021</v>
      </c>
      <c r="M651" s="9">
        <f ca="1">AVERAGE(E651:OFFSET(E651,-M$5+1,0))</f>
        <v>8588.6939999999995</v>
      </c>
      <c r="N651" s="9">
        <f ca="1">AVERAGE(E651:OFFSET(E651,-N$5+1,0))</f>
        <v>8819.7704999999987</v>
      </c>
      <c r="O651" s="9">
        <f t="shared" ca="1" si="137"/>
        <v>0</v>
      </c>
      <c r="P651" s="14">
        <f t="shared" si="142"/>
        <v>2.7794176371368837</v>
      </c>
      <c r="Q651" s="15">
        <f ca="1">STDEV(P651:OFFSET(P651,-$Q$5+1,0))</f>
        <v>2.9115759641897889</v>
      </c>
      <c r="R651" s="15">
        <f ca="1">STDEV(P651:OFFSET(P651,-$R$5+1,0))</f>
        <v>1.9732748620825966</v>
      </c>
      <c r="S651" s="18">
        <f t="shared" si="129"/>
        <v>49.040000000000873</v>
      </c>
      <c r="T651" s="18">
        <f t="shared" si="130"/>
        <v>241.64000000000124</v>
      </c>
      <c r="U651" s="18">
        <f t="shared" si="138"/>
        <v>240.89300574466546</v>
      </c>
      <c r="V651" s="33">
        <f ca="1">AVERAGE(E651:OFFSET(E651,-V$5+1,0))</f>
        <v>8712.3599999999988</v>
      </c>
      <c r="W651" s="33">
        <f t="shared" ca="1" si="131"/>
        <v>9073.6995086169973</v>
      </c>
      <c r="X651" s="33">
        <f t="shared" ca="1" si="132"/>
        <v>8351.0204913830003</v>
      </c>
      <c r="Y651" s="32">
        <f t="shared" ca="1" si="139"/>
        <v>0</v>
      </c>
    </row>
    <row r="652" spans="1:25">
      <c r="A652" s="5">
        <v>39318</v>
      </c>
      <c r="B652" s="4">
        <v>8727.09</v>
      </c>
      <c r="C652" s="4">
        <v>8741.64</v>
      </c>
      <c r="D652" s="4">
        <v>8668.0499999999993</v>
      </c>
      <c r="E652" s="4">
        <v>8690.09</v>
      </c>
      <c r="F652" s="4">
        <v>4262400</v>
      </c>
      <c r="G652" s="8">
        <f t="shared" si="141"/>
        <v>-5.75</v>
      </c>
      <c r="H652" s="8">
        <f t="shared" si="140"/>
        <v>-37</v>
      </c>
      <c r="I652" s="20">
        <f t="shared" ca="1" si="133"/>
        <v>0</v>
      </c>
      <c r="J652" s="8">
        <f t="shared" ca="1" si="134"/>
        <v>-1</v>
      </c>
      <c r="K652" s="8">
        <f t="shared" ca="1" si="135"/>
        <v>42.75</v>
      </c>
      <c r="L652" s="8">
        <f t="shared" ca="1" si="136"/>
        <v>5571.4300000000021</v>
      </c>
      <c r="M652" s="9">
        <f ca="1">AVERAGE(E652:OFFSET(E652,-M$5+1,0))</f>
        <v>8564.5720000000001</v>
      </c>
      <c r="N652" s="9">
        <f ca="1">AVERAGE(E652:OFFSET(E652,-N$5+1,0))</f>
        <v>8796.1609999999982</v>
      </c>
      <c r="O652" s="9">
        <f t="shared" ca="1" si="137"/>
        <v>0</v>
      </c>
      <c r="P652" s="14">
        <f t="shared" si="142"/>
        <v>-0.49073359982391263</v>
      </c>
      <c r="Q652" s="15">
        <f ca="1">STDEV(P652:OFFSET(P652,-$Q$5+1,0))</f>
        <v>2.8009825863033364</v>
      </c>
      <c r="R652" s="15">
        <f ca="1">STDEV(P652:OFFSET(P652,-$R$5+1,0))</f>
        <v>1.9745136355984574</v>
      </c>
      <c r="S652" s="18">
        <f t="shared" si="129"/>
        <v>73.590000000000146</v>
      </c>
      <c r="T652" s="18">
        <f t="shared" si="130"/>
        <v>73.590000000000146</v>
      </c>
      <c r="U652" s="18">
        <f t="shared" si="138"/>
        <v>218.58593831204342</v>
      </c>
      <c r="V652" s="33">
        <f ca="1">AVERAGE(E652:OFFSET(E652,-V$5+1,0))</f>
        <v>8694.3857142857141</v>
      </c>
      <c r="W652" s="33">
        <f t="shared" ca="1" si="131"/>
        <v>9022.2646217537786</v>
      </c>
      <c r="X652" s="33">
        <f t="shared" ca="1" si="132"/>
        <v>8366.5068068176497</v>
      </c>
      <c r="Y652" s="32">
        <f t="shared" ca="1" si="139"/>
        <v>0</v>
      </c>
    </row>
    <row r="653" spans="1:25">
      <c r="A653" s="5">
        <v>39321</v>
      </c>
      <c r="B653" s="4">
        <v>8849.9599999999991</v>
      </c>
      <c r="C653" s="4">
        <v>8849.9599999999991</v>
      </c>
      <c r="D653" s="4">
        <v>8704.59</v>
      </c>
      <c r="E653" s="4">
        <v>8718.31</v>
      </c>
      <c r="F653" s="4">
        <v>3802600</v>
      </c>
      <c r="G653" s="8">
        <f t="shared" si="141"/>
        <v>159.86999999999898</v>
      </c>
      <c r="H653" s="8">
        <f t="shared" si="140"/>
        <v>-131.64999999999964</v>
      </c>
      <c r="I653" s="20">
        <f t="shared" ca="1" si="133"/>
        <v>0</v>
      </c>
      <c r="J653" s="8">
        <f t="shared" ca="1" si="134"/>
        <v>-1</v>
      </c>
      <c r="K653" s="8">
        <f t="shared" ca="1" si="135"/>
        <v>-28.219999999999345</v>
      </c>
      <c r="L653" s="8">
        <f t="shared" ca="1" si="136"/>
        <v>5543.2100000000028</v>
      </c>
      <c r="M653" s="9">
        <f ca="1">AVERAGE(E653:OFFSET(E653,-M$5+1,0))</f>
        <v>8542.5069999999996</v>
      </c>
      <c r="N653" s="9">
        <f ca="1">AVERAGE(E653:OFFSET(E653,-N$5+1,0))</f>
        <v>8778.4479999999967</v>
      </c>
      <c r="O653" s="9">
        <f t="shared" ca="1" si="137"/>
        <v>0</v>
      </c>
      <c r="P653" s="14">
        <f t="shared" si="142"/>
        <v>0.3242115842823593</v>
      </c>
      <c r="Q653" s="15">
        <f ca="1">STDEV(P653:OFFSET(P653,-$Q$5+1,0))</f>
        <v>2.8053970704202777</v>
      </c>
      <c r="R653" s="15">
        <f ca="1">STDEV(P653:OFFSET(P653,-$R$5+1,0))</f>
        <v>1.9723705082295226</v>
      </c>
      <c r="S653" s="18">
        <f t="shared" si="129"/>
        <v>145.36999999999898</v>
      </c>
      <c r="T653" s="18">
        <f t="shared" si="130"/>
        <v>159.86999999999898</v>
      </c>
      <c r="U653" s="18">
        <f t="shared" si="138"/>
        <v>210.75714653710418</v>
      </c>
      <c r="V653" s="33">
        <f ca="1">AVERAGE(E653:OFFSET(E653,-V$5+1,0))</f>
        <v>8684.1</v>
      </c>
      <c r="W653" s="33">
        <f t="shared" ca="1" si="131"/>
        <v>9000.2357198056561</v>
      </c>
      <c r="X653" s="33">
        <f t="shared" ca="1" si="132"/>
        <v>8367.9642801943446</v>
      </c>
      <c r="Y653" s="32">
        <f t="shared" ca="1" si="139"/>
        <v>0</v>
      </c>
    </row>
    <row r="654" spans="1:25">
      <c r="A654" s="5">
        <v>39322</v>
      </c>
      <c r="B654" s="4">
        <v>8697.15</v>
      </c>
      <c r="C654" s="4">
        <v>8753.39</v>
      </c>
      <c r="D654" s="4">
        <v>8672.81</v>
      </c>
      <c r="E654" s="4">
        <v>8727.5499999999993</v>
      </c>
      <c r="F654" s="4">
        <v>3465200</v>
      </c>
      <c r="G654" s="8">
        <f t="shared" si="141"/>
        <v>-21.159999999999854</v>
      </c>
      <c r="H654" s="8">
        <f t="shared" si="140"/>
        <v>30.399999999999636</v>
      </c>
      <c r="I654" s="20">
        <f t="shared" ca="1" si="133"/>
        <v>0</v>
      </c>
      <c r="J654" s="8">
        <f t="shared" ca="1" si="134"/>
        <v>-1</v>
      </c>
      <c r="K654" s="8">
        <f t="shared" ca="1" si="135"/>
        <v>-9.2399999999997817</v>
      </c>
      <c r="L654" s="8">
        <f t="shared" ca="1" si="136"/>
        <v>5533.970000000003</v>
      </c>
      <c r="M654" s="9">
        <f ca="1">AVERAGE(E654:OFFSET(E654,-M$5+1,0))</f>
        <v>8524.1630000000005</v>
      </c>
      <c r="N654" s="9">
        <f ca="1">AVERAGE(E654:OFFSET(E654,-N$5+1,0))</f>
        <v>8750.4629999999979</v>
      </c>
      <c r="O654" s="9">
        <f t="shared" ca="1" si="137"/>
        <v>0</v>
      </c>
      <c r="P654" s="14">
        <f t="shared" si="142"/>
        <v>0.10592771997474593</v>
      </c>
      <c r="Q654" s="15">
        <f ca="1">STDEV(P654:OFFSET(P654,-$Q$5+1,0))</f>
        <v>2.8074762540203504</v>
      </c>
      <c r="R654" s="15">
        <f ca="1">STDEV(P654:OFFSET(P654,-$R$5+1,0))</f>
        <v>1.9693681340602318</v>
      </c>
      <c r="S654" s="18">
        <f t="shared" si="129"/>
        <v>80.579999999999927</v>
      </c>
      <c r="T654" s="18">
        <f t="shared" si="130"/>
        <v>80.579999999999927</v>
      </c>
      <c r="U654" s="18">
        <f t="shared" si="138"/>
        <v>193.40019366549029</v>
      </c>
      <c r="V654" s="33">
        <f ca="1">AVERAGE(E654:OFFSET(E654,-V$5+1,0))</f>
        <v>8657.5349999999999</v>
      </c>
      <c r="W654" s="33">
        <f t="shared" ca="1" si="131"/>
        <v>8947.6352904982359</v>
      </c>
      <c r="X654" s="33">
        <f t="shared" ca="1" si="132"/>
        <v>8367.4347095017638</v>
      </c>
      <c r="Y654" s="32">
        <f t="shared" ca="1" si="139"/>
        <v>0</v>
      </c>
    </row>
    <row r="655" spans="1:25">
      <c r="A655" s="5">
        <v>39323</v>
      </c>
      <c r="B655" s="4">
        <v>8514.4699999999993</v>
      </c>
      <c r="C655" s="4">
        <v>8643.32</v>
      </c>
      <c r="D655" s="4">
        <v>8514.4699999999993</v>
      </c>
      <c r="E655" s="4">
        <v>8643.32</v>
      </c>
      <c r="F655" s="4">
        <v>4016600</v>
      </c>
      <c r="G655" s="8">
        <f t="shared" si="141"/>
        <v>-213.07999999999993</v>
      </c>
      <c r="H655" s="8">
        <f t="shared" si="140"/>
        <v>128.85000000000036</v>
      </c>
      <c r="I655" s="20">
        <f t="shared" ca="1" si="133"/>
        <v>0</v>
      </c>
      <c r="J655" s="8">
        <f t="shared" ca="1" si="134"/>
        <v>-1</v>
      </c>
      <c r="K655" s="8">
        <f t="shared" ca="1" si="135"/>
        <v>84.229999999999563</v>
      </c>
      <c r="L655" s="8">
        <f t="shared" ca="1" si="136"/>
        <v>5618.2000000000025</v>
      </c>
      <c r="M655" s="9">
        <f ca="1">AVERAGE(E655:OFFSET(E655,-M$5+1,0))</f>
        <v>8529.1910000000007</v>
      </c>
      <c r="N655" s="9">
        <f ca="1">AVERAGE(E655:OFFSET(E655,-N$5+1,0))</f>
        <v>8738.0349999999999</v>
      </c>
      <c r="O655" s="9">
        <f t="shared" ca="1" si="137"/>
        <v>0</v>
      </c>
      <c r="P655" s="14">
        <f t="shared" si="142"/>
        <v>-0.96979207315752225</v>
      </c>
      <c r="Q655" s="15">
        <f ca="1">STDEV(P655:OFFSET(P655,-$Q$5+1,0))</f>
        <v>2.5620245550874028</v>
      </c>
      <c r="R655" s="15">
        <f ca="1">STDEV(P655:OFFSET(P655,-$R$5+1,0))</f>
        <v>1.9689989393119414</v>
      </c>
      <c r="S655" s="18">
        <f t="shared" si="129"/>
        <v>128.85000000000036</v>
      </c>
      <c r="T655" s="18">
        <f t="shared" si="130"/>
        <v>213.07999999999993</v>
      </c>
      <c r="U655" s="18">
        <f t="shared" si="138"/>
        <v>196.02416784342492</v>
      </c>
      <c r="V655" s="33">
        <f ca="1">AVERAGE(E655:OFFSET(E655,-V$5+1,0))</f>
        <v>8619.0149999999994</v>
      </c>
      <c r="W655" s="33">
        <f t="shared" ca="1" si="131"/>
        <v>8913.0512517651368</v>
      </c>
      <c r="X655" s="33">
        <f t="shared" ca="1" si="132"/>
        <v>8324.978748234862</v>
      </c>
      <c r="Y655" s="32">
        <f t="shared" ca="1" si="139"/>
        <v>0</v>
      </c>
    </row>
    <row r="656" spans="1:25">
      <c r="A656" s="5">
        <v>39324</v>
      </c>
      <c r="B656" s="4">
        <v>8782.35</v>
      </c>
      <c r="C656" s="4">
        <v>8825.92</v>
      </c>
      <c r="D656" s="4">
        <v>8750.6200000000008</v>
      </c>
      <c r="E656" s="4">
        <v>8771.2099999999991</v>
      </c>
      <c r="F656" s="4">
        <v>4963200</v>
      </c>
      <c r="G656" s="8">
        <f t="shared" si="141"/>
        <v>139.03000000000065</v>
      </c>
      <c r="H656" s="8">
        <f t="shared" si="140"/>
        <v>-11.140000000001237</v>
      </c>
      <c r="I656" s="20">
        <f t="shared" ca="1" si="133"/>
        <v>0</v>
      </c>
      <c r="J656" s="8">
        <f t="shared" ca="1" si="134"/>
        <v>-1</v>
      </c>
      <c r="K656" s="8">
        <f t="shared" ca="1" si="135"/>
        <v>-127.88999999999942</v>
      </c>
      <c r="L656" s="8">
        <f t="shared" ca="1" si="136"/>
        <v>5490.3100000000031</v>
      </c>
      <c r="M656" s="9">
        <f ca="1">AVERAGE(E656:OFFSET(E656,-M$5+1,0))</f>
        <v>8586.1749999999993</v>
      </c>
      <c r="N656" s="9">
        <f ca="1">AVERAGE(E656:OFFSET(E656,-N$5+1,0))</f>
        <v>8729.0669999999991</v>
      </c>
      <c r="O656" s="9">
        <f t="shared" ca="1" si="137"/>
        <v>0</v>
      </c>
      <c r="P656" s="14">
        <f t="shared" si="142"/>
        <v>1.4687998953993924</v>
      </c>
      <c r="Q656" s="15">
        <f ca="1">STDEV(P656:OFFSET(P656,-$Q$5+1,0))</f>
        <v>1.9717831560808952</v>
      </c>
      <c r="R656" s="15">
        <f ca="1">STDEV(P656:OFFSET(P656,-$R$5+1,0))</f>
        <v>1.9788942233260232</v>
      </c>
      <c r="S656" s="18">
        <f t="shared" si="129"/>
        <v>75.299999999999272</v>
      </c>
      <c r="T656" s="18">
        <f t="shared" si="130"/>
        <v>182.60000000000036</v>
      </c>
      <c r="U656" s="18">
        <f t="shared" si="138"/>
        <v>194.234278797635</v>
      </c>
      <c r="V656" s="33">
        <f ca="1">AVERAGE(E656:OFFSET(E656,-V$5+1,0))</f>
        <v>8607.5792857142842</v>
      </c>
      <c r="W656" s="33">
        <f t="shared" ca="1" si="131"/>
        <v>8898.9307039107371</v>
      </c>
      <c r="X656" s="33">
        <f t="shared" ca="1" si="132"/>
        <v>8316.2278675178313</v>
      </c>
      <c r="Y656" s="32">
        <f t="shared" ca="1" si="139"/>
        <v>0</v>
      </c>
    </row>
    <row r="657" spans="1:25">
      <c r="A657" s="5">
        <v>39325</v>
      </c>
      <c r="B657" s="4">
        <v>8807.7000000000007</v>
      </c>
      <c r="C657" s="4">
        <v>8982.16</v>
      </c>
      <c r="D657" s="4">
        <v>8785.7000000000007</v>
      </c>
      <c r="E657" s="4">
        <v>8982.16</v>
      </c>
      <c r="F657" s="4">
        <v>5018800</v>
      </c>
      <c r="G657" s="8">
        <f t="shared" si="141"/>
        <v>36.490000000001601</v>
      </c>
      <c r="H657" s="8">
        <f t="shared" si="140"/>
        <v>174.45999999999913</v>
      </c>
      <c r="I657" s="20">
        <f t="shared" ca="1" si="133"/>
        <v>1</v>
      </c>
      <c r="J657" s="8">
        <f t="shared" ca="1" si="134"/>
        <v>-1</v>
      </c>
      <c r="K657" s="8">
        <f t="shared" ca="1" si="135"/>
        <v>-210.95000000000073</v>
      </c>
      <c r="L657" s="8">
        <f t="shared" ca="1" si="136"/>
        <v>5279.3600000000024</v>
      </c>
      <c r="M657" s="9">
        <f ca="1">AVERAGE(E657:OFFSET(E657,-M$5+1,0))</f>
        <v>8675.3619999999992</v>
      </c>
      <c r="N657" s="9">
        <f ca="1">AVERAGE(E657:OFFSET(E657,-N$5+1,0))</f>
        <v>8725.2839999999978</v>
      </c>
      <c r="O657" s="9">
        <f t="shared" ca="1" si="137"/>
        <v>0</v>
      </c>
      <c r="P657" s="14">
        <f t="shared" si="142"/>
        <v>2.3765620690940943</v>
      </c>
      <c r="Q657" s="15">
        <f ca="1">STDEV(P657:OFFSET(P657,-$Q$5+1,0))</f>
        <v>1.8960782397179536</v>
      </c>
      <c r="R657" s="15">
        <f ca="1">STDEV(P657:OFFSET(P657,-$R$5+1,0))</f>
        <v>2.0159770075862582</v>
      </c>
      <c r="S657" s="18">
        <f t="shared" si="129"/>
        <v>196.45999999999913</v>
      </c>
      <c r="T657" s="18">
        <f t="shared" si="130"/>
        <v>210.95000000000073</v>
      </c>
      <c r="U657" s="18">
        <f t="shared" si="138"/>
        <v>196.46304162461712</v>
      </c>
      <c r="V657" s="33">
        <f ca="1">AVERAGE(E657:OFFSET(E657,-V$5+1,0))</f>
        <v>8610.6649999999991</v>
      </c>
      <c r="W657" s="33">
        <f t="shared" ca="1" si="131"/>
        <v>8905.3595624369245</v>
      </c>
      <c r="X657" s="33">
        <f t="shared" ca="1" si="132"/>
        <v>8315.9704375630736</v>
      </c>
      <c r="Y657" s="32">
        <f t="shared" ca="1" si="139"/>
        <v>1</v>
      </c>
    </row>
    <row r="658" spans="1:25">
      <c r="A658" s="5">
        <v>39328</v>
      </c>
      <c r="B658" s="4">
        <v>9018.89</v>
      </c>
      <c r="C658" s="4">
        <v>9019.41</v>
      </c>
      <c r="D658" s="4">
        <v>8947.06</v>
      </c>
      <c r="E658" s="4">
        <v>8979.9599999999991</v>
      </c>
      <c r="F658" s="4">
        <v>4732000</v>
      </c>
      <c r="G658" s="8">
        <f t="shared" si="141"/>
        <v>36.729999999999563</v>
      </c>
      <c r="H658" s="8">
        <f t="shared" si="140"/>
        <v>-38.930000000000291</v>
      </c>
      <c r="I658" s="20">
        <f t="shared" ca="1" si="133"/>
        <v>0</v>
      </c>
      <c r="J658" s="8">
        <f t="shared" ca="1" si="134"/>
        <v>0</v>
      </c>
      <c r="K658" s="8">
        <f t="shared" ca="1" si="135"/>
        <v>-36.729999999999563</v>
      </c>
      <c r="L658" s="8">
        <f t="shared" ca="1" si="136"/>
        <v>5242.6300000000028</v>
      </c>
      <c r="M658" s="9">
        <f ca="1">AVERAGE(E658:OFFSET(E658,-M$5+1,0))</f>
        <v>8721.7980000000007</v>
      </c>
      <c r="N658" s="9">
        <f ca="1">AVERAGE(E658:OFFSET(E658,-N$5+1,0))</f>
        <v>8727.195499999998</v>
      </c>
      <c r="O658" s="9">
        <f t="shared" ca="1" si="137"/>
        <v>0</v>
      </c>
      <c r="P658" s="14">
        <f t="shared" si="142"/>
        <v>-2.4495995027328372E-2</v>
      </c>
      <c r="Q658" s="15">
        <f ca="1">STDEV(P658:OFFSET(P658,-$Q$5+1,0))</f>
        <v>1.2571179845827518</v>
      </c>
      <c r="R658" s="15">
        <f ca="1">STDEV(P658:OFFSET(P658,-$R$5+1,0))</f>
        <v>1.9894118542357919</v>
      </c>
      <c r="S658" s="18">
        <f t="shared" si="129"/>
        <v>72.350000000000364</v>
      </c>
      <c r="T658" s="18">
        <f t="shared" si="130"/>
        <v>72.350000000000364</v>
      </c>
      <c r="U658" s="18">
        <f t="shared" si="138"/>
        <v>179.91463607466821</v>
      </c>
      <c r="V658" s="33">
        <f ca="1">AVERAGE(E658:OFFSET(E658,-V$5+1,0))</f>
        <v>8615.591428571428</v>
      </c>
      <c r="W658" s="33">
        <f t="shared" ca="1" si="131"/>
        <v>8885.4633826834306</v>
      </c>
      <c r="X658" s="33">
        <f t="shared" ca="1" si="132"/>
        <v>8345.7194744594253</v>
      </c>
      <c r="Y658" s="32">
        <f t="shared" ca="1" si="139"/>
        <v>0</v>
      </c>
    </row>
    <row r="659" spans="1:25">
      <c r="A659" s="5">
        <v>39329</v>
      </c>
      <c r="B659" s="4">
        <v>9019.61</v>
      </c>
      <c r="C659" s="4">
        <v>9027.77</v>
      </c>
      <c r="D659" s="4">
        <v>8883.8700000000008</v>
      </c>
      <c r="E659" s="4">
        <v>8922.98</v>
      </c>
      <c r="F659" s="4">
        <v>4340200</v>
      </c>
      <c r="G659" s="8">
        <f t="shared" si="141"/>
        <v>39.650000000001455</v>
      </c>
      <c r="H659" s="8">
        <f t="shared" si="140"/>
        <v>-96.630000000001019</v>
      </c>
      <c r="I659" s="20">
        <f t="shared" ca="1" si="133"/>
        <v>0</v>
      </c>
      <c r="J659" s="8">
        <f t="shared" ca="1" si="134"/>
        <v>0</v>
      </c>
      <c r="K659" s="8">
        <f t="shared" ca="1" si="135"/>
        <v>0</v>
      </c>
      <c r="L659" s="8">
        <f t="shared" ca="1" si="136"/>
        <v>5242.6300000000028</v>
      </c>
      <c r="M659" s="9">
        <f ca="1">AVERAGE(E659:OFFSET(E659,-M$5+1,0))</f>
        <v>8766.1879999999983</v>
      </c>
      <c r="N659" s="9">
        <f ca="1">AVERAGE(E659:OFFSET(E659,-N$5+1,0))</f>
        <v>8730.2289999999994</v>
      </c>
      <c r="O659" s="9">
        <f t="shared" ca="1" si="137"/>
        <v>1</v>
      </c>
      <c r="P659" s="14">
        <f t="shared" si="142"/>
        <v>-0.6365456444333496</v>
      </c>
      <c r="Q659" s="15">
        <f ca="1">STDEV(P659:OFFSET(P659,-$Q$5+1,0))</f>
        <v>1.2762304702389822</v>
      </c>
      <c r="R659" s="15">
        <f ca="1">STDEV(P659:OFFSET(P659,-$R$5+1,0))</f>
        <v>1.9906690898720791</v>
      </c>
      <c r="S659" s="18">
        <f t="shared" si="129"/>
        <v>143.89999999999964</v>
      </c>
      <c r="T659" s="18">
        <f t="shared" si="130"/>
        <v>143.89999999999964</v>
      </c>
      <c r="U659" s="18">
        <f t="shared" si="138"/>
        <v>175.11268459804572</v>
      </c>
      <c r="V659" s="33">
        <f ca="1">AVERAGE(E659:OFFSET(E659,-V$5+1,0))</f>
        <v>8639.1585714285702</v>
      </c>
      <c r="W659" s="33">
        <f t="shared" ca="1" si="131"/>
        <v>8901.827598325639</v>
      </c>
      <c r="X659" s="33">
        <f t="shared" ca="1" si="132"/>
        <v>8376.4895445315015</v>
      </c>
      <c r="Y659" s="32">
        <f t="shared" ca="1" si="139"/>
        <v>0</v>
      </c>
    </row>
    <row r="660" spans="1:25">
      <c r="A660" s="5">
        <v>39330</v>
      </c>
      <c r="B660" s="4">
        <v>9017.51</v>
      </c>
      <c r="C660" s="4">
        <v>9026.2999999999993</v>
      </c>
      <c r="D660" s="4">
        <v>8902.14</v>
      </c>
      <c r="E660" s="4">
        <v>8913.85</v>
      </c>
      <c r="F660" s="4">
        <v>4022400</v>
      </c>
      <c r="G660" s="8">
        <f t="shared" si="141"/>
        <v>94.530000000000655</v>
      </c>
      <c r="H660" s="8">
        <f t="shared" si="140"/>
        <v>-103.65999999999985</v>
      </c>
      <c r="I660" s="20">
        <f t="shared" ca="1" si="133"/>
        <v>0</v>
      </c>
      <c r="J660" s="8">
        <f t="shared" ca="1" si="134"/>
        <v>0</v>
      </c>
      <c r="K660" s="8">
        <f t="shared" ca="1" si="135"/>
        <v>0</v>
      </c>
      <c r="L660" s="8">
        <f t="shared" ca="1" si="136"/>
        <v>5242.6300000000028</v>
      </c>
      <c r="M660" s="9">
        <f ca="1">AVERAGE(E660:OFFSET(E660,-M$5+1,0))</f>
        <v>8808.2270000000008</v>
      </c>
      <c r="N660" s="9">
        <f ca="1">AVERAGE(E660:OFFSET(E660,-N$5+1,0))</f>
        <v>8720.9485000000004</v>
      </c>
      <c r="O660" s="9">
        <f t="shared" ca="1" si="137"/>
        <v>0</v>
      </c>
      <c r="P660" s="14">
        <f t="shared" si="142"/>
        <v>-0.10237245965075488</v>
      </c>
      <c r="Q660" s="15">
        <f ca="1">STDEV(P660:OFFSET(P660,-$Q$5+1,0))</f>
        <v>1.2871444432284709</v>
      </c>
      <c r="R660" s="15">
        <f ca="1">STDEV(P660:OFFSET(P660,-$R$5+1,0))</f>
        <v>1.9855685145608182</v>
      </c>
      <c r="S660" s="18">
        <f t="shared" si="129"/>
        <v>124.15999999999985</v>
      </c>
      <c r="T660" s="18">
        <f t="shared" si="130"/>
        <v>124.15999999999985</v>
      </c>
      <c r="U660" s="18">
        <f t="shared" si="138"/>
        <v>168.3189933183063</v>
      </c>
      <c r="V660" s="33">
        <f ca="1">AVERAGE(E660:OFFSET(E660,-V$5+1,0))</f>
        <v>8690.0499999999993</v>
      </c>
      <c r="W660" s="33">
        <f t="shared" ca="1" si="131"/>
        <v>8942.5284899774579</v>
      </c>
      <c r="X660" s="33">
        <f t="shared" ca="1" si="132"/>
        <v>8437.5715100225407</v>
      </c>
      <c r="Y660" s="32">
        <f t="shared" ca="1" si="139"/>
        <v>0</v>
      </c>
    </row>
    <row r="661" spans="1:25">
      <c r="A661" s="5">
        <v>39331</v>
      </c>
      <c r="B661" s="4">
        <v>8896.67</v>
      </c>
      <c r="C661" s="4">
        <v>9017.08</v>
      </c>
      <c r="D661" s="4">
        <v>8841.64</v>
      </c>
      <c r="E661" s="4">
        <v>9017.08</v>
      </c>
      <c r="F661" s="4">
        <v>3979000</v>
      </c>
      <c r="G661" s="8">
        <f t="shared" si="141"/>
        <v>-17.180000000000291</v>
      </c>
      <c r="H661" s="8">
        <f t="shared" si="140"/>
        <v>120.40999999999985</v>
      </c>
      <c r="I661" s="20">
        <f t="shared" ca="1" si="133"/>
        <v>1</v>
      </c>
      <c r="J661" s="8">
        <f t="shared" ca="1" si="134"/>
        <v>0</v>
      </c>
      <c r="K661" s="8">
        <f t="shared" ca="1" si="135"/>
        <v>0</v>
      </c>
      <c r="L661" s="8">
        <f t="shared" ca="1" si="136"/>
        <v>5242.6300000000028</v>
      </c>
      <c r="M661" s="9">
        <f ca="1">AVERAGE(E661:OFFSET(E661,-M$5+1,0))</f>
        <v>8836.6510000000017</v>
      </c>
      <c r="N661" s="9">
        <f ca="1">AVERAGE(E661:OFFSET(E661,-N$5+1,0))</f>
        <v>8712.6724999999988</v>
      </c>
      <c r="O661" s="9">
        <f t="shared" ca="1" si="137"/>
        <v>0</v>
      </c>
      <c r="P661" s="14">
        <f t="shared" si="142"/>
        <v>1.1514309688470654</v>
      </c>
      <c r="Q661" s="15">
        <f ca="1">STDEV(P661:OFFSET(P661,-$Q$5+1,0))</f>
        <v>1.0445210545032768</v>
      </c>
      <c r="R661" s="15">
        <f ca="1">STDEV(P661:OFFSET(P661,-$R$5+1,0))</f>
        <v>1.9917214679629691</v>
      </c>
      <c r="S661" s="18">
        <f t="shared" si="129"/>
        <v>175.44000000000051</v>
      </c>
      <c r="T661" s="18">
        <f t="shared" si="130"/>
        <v>175.44000000000051</v>
      </c>
      <c r="U661" s="18">
        <f t="shared" si="138"/>
        <v>169.26846087586551</v>
      </c>
      <c r="V661" s="33">
        <f ca="1">AVERAGE(E661:OFFSET(E661,-V$5+1,0))</f>
        <v>8756.2492857142843</v>
      </c>
      <c r="W661" s="33">
        <f t="shared" ca="1" si="131"/>
        <v>9010.1519770280829</v>
      </c>
      <c r="X661" s="33">
        <f t="shared" ca="1" si="132"/>
        <v>8502.3465944004856</v>
      </c>
      <c r="Y661" s="32">
        <f t="shared" ca="1" si="139"/>
        <v>1</v>
      </c>
    </row>
    <row r="662" spans="1:25">
      <c r="A662" s="5">
        <v>39332</v>
      </c>
      <c r="B662" s="4">
        <v>9056.14</v>
      </c>
      <c r="C662" s="4">
        <v>9078.4699999999993</v>
      </c>
      <c r="D662" s="4">
        <v>9000.9500000000007</v>
      </c>
      <c r="E662" s="4">
        <v>9018.08</v>
      </c>
      <c r="F662" s="4">
        <v>4220600</v>
      </c>
      <c r="G662" s="8">
        <f t="shared" si="141"/>
        <v>39.059999999999491</v>
      </c>
      <c r="H662" s="8">
        <f t="shared" si="140"/>
        <v>-38.059999999999491</v>
      </c>
      <c r="I662" s="20">
        <f t="shared" ca="1" si="133"/>
        <v>0</v>
      </c>
      <c r="J662" s="8">
        <f t="shared" ca="1" si="134"/>
        <v>1</v>
      </c>
      <c r="K662" s="8">
        <f t="shared" ca="1" si="135"/>
        <v>-38.059999999999491</v>
      </c>
      <c r="L662" s="8">
        <f t="shared" ca="1" si="136"/>
        <v>5204.5700000000033</v>
      </c>
      <c r="M662" s="9">
        <f ca="1">AVERAGE(E662:OFFSET(E662,-M$5+1,0))</f>
        <v>8869.4500000000007</v>
      </c>
      <c r="N662" s="9">
        <f ca="1">AVERAGE(E662:OFFSET(E662,-N$5+1,0))</f>
        <v>8717.0109999999986</v>
      </c>
      <c r="O662" s="9">
        <f t="shared" ca="1" si="137"/>
        <v>0</v>
      </c>
      <c r="P662" s="14">
        <f t="shared" si="142"/>
        <v>1.1089449730684223E-2</v>
      </c>
      <c r="Q662" s="15">
        <f ca="1">STDEV(P662:OFFSET(P662,-$Q$5+1,0))</f>
        <v>1.0127998531546376</v>
      </c>
      <c r="R662" s="15">
        <f ca="1">STDEV(P662:OFFSET(P662,-$R$5+1,0))</f>
        <v>1.980063003435893</v>
      </c>
      <c r="S662" s="18">
        <f t="shared" si="129"/>
        <v>77.519999999998618</v>
      </c>
      <c r="T662" s="18">
        <f t="shared" si="130"/>
        <v>77.519999999998618</v>
      </c>
      <c r="U662" s="18">
        <f t="shared" si="138"/>
        <v>157.03533275908327</v>
      </c>
      <c r="V662" s="33">
        <f ca="1">AVERAGE(E662:OFFSET(E662,-V$5+1,0))</f>
        <v>8792.1407142857151</v>
      </c>
      <c r="W662" s="33">
        <f t="shared" ca="1" si="131"/>
        <v>9027.6937134243399</v>
      </c>
      <c r="X662" s="33">
        <f t="shared" ca="1" si="132"/>
        <v>8556.5877151470904</v>
      </c>
      <c r="Y662" s="32">
        <f t="shared" ca="1" si="139"/>
        <v>0</v>
      </c>
    </row>
    <row r="663" spans="1:25">
      <c r="A663" s="5">
        <v>39335</v>
      </c>
      <c r="B663" s="4">
        <v>8868</v>
      </c>
      <c r="C663" s="4">
        <v>8953.4500000000007</v>
      </c>
      <c r="D663" s="4">
        <v>8845.9</v>
      </c>
      <c r="E663" s="4">
        <v>8937.58</v>
      </c>
      <c r="F663" s="4">
        <v>3702800</v>
      </c>
      <c r="G663" s="8">
        <f t="shared" si="141"/>
        <v>-150.07999999999993</v>
      </c>
      <c r="H663" s="8">
        <f t="shared" si="140"/>
        <v>69.579999999999927</v>
      </c>
      <c r="I663" s="20">
        <f t="shared" ca="1" si="133"/>
        <v>0</v>
      </c>
      <c r="J663" s="8">
        <f t="shared" ca="1" si="134"/>
        <v>1</v>
      </c>
      <c r="K663" s="8">
        <f t="shared" ca="1" si="135"/>
        <v>-80.5</v>
      </c>
      <c r="L663" s="8">
        <f t="shared" ca="1" si="136"/>
        <v>5124.0700000000033</v>
      </c>
      <c r="M663" s="9">
        <f ca="1">AVERAGE(E663:OFFSET(E663,-M$5+1,0))</f>
        <v>8891.3769999999986</v>
      </c>
      <c r="N663" s="9">
        <f ca="1">AVERAGE(E663:OFFSET(E663,-N$5+1,0))</f>
        <v>8716.9419999999991</v>
      </c>
      <c r="O663" s="9">
        <f t="shared" ca="1" si="137"/>
        <v>0</v>
      </c>
      <c r="P663" s="14">
        <f t="shared" si="142"/>
        <v>-0.89665920771231089</v>
      </c>
      <c r="Q663" s="15">
        <f ca="1">STDEV(P663:OFFSET(P663,-$Q$5+1,0))</f>
        <v>1.0896647867670772</v>
      </c>
      <c r="R663" s="15">
        <f ca="1">STDEV(P663:OFFSET(P663,-$R$5+1,0))</f>
        <v>1.9826186840051312</v>
      </c>
      <c r="S663" s="18">
        <f t="shared" si="129"/>
        <v>107.55000000000109</v>
      </c>
      <c r="T663" s="18">
        <f t="shared" si="130"/>
        <v>172.18000000000029</v>
      </c>
      <c r="U663" s="18">
        <f t="shared" si="138"/>
        <v>159.05462172453886</v>
      </c>
      <c r="V663" s="33">
        <f ca="1">AVERAGE(E663:OFFSET(E663,-V$5+1,0))</f>
        <v>8824.8907142857151</v>
      </c>
      <c r="W663" s="33">
        <f t="shared" ca="1" si="131"/>
        <v>9063.4726468725239</v>
      </c>
      <c r="X663" s="33">
        <f t="shared" ca="1" si="132"/>
        <v>8586.3087816989064</v>
      </c>
      <c r="Y663" s="32">
        <f t="shared" ca="1" si="139"/>
        <v>0</v>
      </c>
    </row>
    <row r="664" spans="1:25">
      <c r="A664" s="5">
        <v>39336</v>
      </c>
      <c r="B664" s="4">
        <v>8981.34</v>
      </c>
      <c r="C664" s="4">
        <v>9017.2999999999993</v>
      </c>
      <c r="D664" s="4">
        <v>8953.3700000000008</v>
      </c>
      <c r="E664" s="4">
        <v>9003.1200000000008</v>
      </c>
      <c r="F664" s="4">
        <v>4252000</v>
      </c>
      <c r="G664" s="8">
        <f t="shared" si="141"/>
        <v>43.760000000000218</v>
      </c>
      <c r="H664" s="8">
        <f t="shared" si="140"/>
        <v>21.780000000000655</v>
      </c>
      <c r="I664" s="20">
        <f t="shared" ca="1" si="133"/>
        <v>0</v>
      </c>
      <c r="J664" s="8">
        <f t="shared" ca="1" si="134"/>
        <v>1</v>
      </c>
      <c r="K664" s="8">
        <f t="shared" ca="1" si="135"/>
        <v>65.540000000000873</v>
      </c>
      <c r="L664" s="8">
        <f t="shared" ca="1" si="136"/>
        <v>5189.6100000000042</v>
      </c>
      <c r="M664" s="9">
        <f ca="1">AVERAGE(E664:OFFSET(E664,-M$5+1,0))</f>
        <v>8918.9339999999975</v>
      </c>
      <c r="N664" s="9">
        <f ca="1">AVERAGE(E664:OFFSET(E664,-N$5+1,0))</f>
        <v>8721.5484999999971</v>
      </c>
      <c r="O664" s="9">
        <f t="shared" ca="1" si="137"/>
        <v>0</v>
      </c>
      <c r="P664" s="14">
        <f t="shared" si="142"/>
        <v>0.73063248988642715</v>
      </c>
      <c r="Q664" s="15">
        <f ca="1">STDEV(P664:OFFSET(P664,-$Q$5+1,0))</f>
        <v>1.0984613103390335</v>
      </c>
      <c r="R664" s="15">
        <f ca="1">STDEV(P664:OFFSET(P664,-$R$5+1,0))</f>
        <v>1.9794767139040323</v>
      </c>
      <c r="S664" s="18">
        <f t="shared" si="129"/>
        <v>63.929999999998472</v>
      </c>
      <c r="T664" s="18">
        <f t="shared" si="130"/>
        <v>79.719999999999345</v>
      </c>
      <c r="U664" s="18">
        <f t="shared" si="138"/>
        <v>148.47667216126695</v>
      </c>
      <c r="V664" s="33">
        <f ca="1">AVERAGE(E664:OFFSET(E664,-V$5+1,0))</f>
        <v>8861.2950000000001</v>
      </c>
      <c r="W664" s="33">
        <f t="shared" ca="1" si="131"/>
        <v>9084.0100082419012</v>
      </c>
      <c r="X664" s="33">
        <f t="shared" ca="1" si="132"/>
        <v>8638.5799917580989</v>
      </c>
      <c r="Y664" s="32">
        <f t="shared" ca="1" si="139"/>
        <v>0</v>
      </c>
    </row>
    <row r="665" spans="1:25">
      <c r="A665" s="5">
        <v>39337</v>
      </c>
      <c r="B665" s="4">
        <v>9078.09</v>
      </c>
      <c r="C665" s="4">
        <v>9084.9699999999993</v>
      </c>
      <c r="D665" s="4">
        <v>9011.26</v>
      </c>
      <c r="E665" s="4">
        <v>9018.1200000000008</v>
      </c>
      <c r="F665" s="4">
        <v>4346400</v>
      </c>
      <c r="G665" s="8">
        <f t="shared" si="141"/>
        <v>74.969999999999345</v>
      </c>
      <c r="H665" s="8">
        <f t="shared" si="140"/>
        <v>-59.969999999999345</v>
      </c>
      <c r="I665" s="20">
        <f t="shared" ca="1" si="133"/>
        <v>0</v>
      </c>
      <c r="J665" s="8">
        <f t="shared" ca="1" si="134"/>
        <v>1</v>
      </c>
      <c r="K665" s="8">
        <f t="shared" ca="1" si="135"/>
        <v>15</v>
      </c>
      <c r="L665" s="8">
        <f t="shared" ca="1" si="136"/>
        <v>5204.6100000000042</v>
      </c>
      <c r="M665" s="9">
        <f ca="1">AVERAGE(E665:OFFSET(E665,-M$5+1,0))</f>
        <v>8956.4139999999989</v>
      </c>
      <c r="N665" s="9">
        <f ca="1">AVERAGE(E665:OFFSET(E665,-N$5+1,0))</f>
        <v>8742.802499999998</v>
      </c>
      <c r="O665" s="9">
        <f t="shared" ca="1" si="137"/>
        <v>0</v>
      </c>
      <c r="P665" s="14">
        <f t="shared" si="142"/>
        <v>0.16647027023716468</v>
      </c>
      <c r="Q665" s="15">
        <f ca="1">STDEV(P665:OFFSET(P665,-$Q$5+1,0))</f>
        <v>1.0061595552551568</v>
      </c>
      <c r="R665" s="15">
        <f ca="1">STDEV(P665:OFFSET(P665,-$R$5+1,0))</f>
        <v>1.9799505710208367</v>
      </c>
      <c r="S665" s="18">
        <f t="shared" si="129"/>
        <v>73.709999999999127</v>
      </c>
      <c r="T665" s="18">
        <f t="shared" si="130"/>
        <v>81.849999999998545</v>
      </c>
      <c r="U665" s="18">
        <f t="shared" si="138"/>
        <v>139.59311587309782</v>
      </c>
      <c r="V665" s="33">
        <f ca="1">AVERAGE(E665:OFFSET(E665,-V$5+1,0))</f>
        <v>8881.6721428571436</v>
      </c>
      <c r="W665" s="33">
        <f t="shared" ca="1" si="131"/>
        <v>9091.06181666679</v>
      </c>
      <c r="X665" s="33">
        <f t="shared" ca="1" si="132"/>
        <v>8672.2824690474972</v>
      </c>
      <c r="Y665" s="32">
        <f t="shared" ca="1" si="139"/>
        <v>0</v>
      </c>
    </row>
    <row r="666" spans="1:25">
      <c r="A666" s="5">
        <v>39338</v>
      </c>
      <c r="B666" s="4">
        <v>9062.31</v>
      </c>
      <c r="C666" s="4">
        <v>9062.31</v>
      </c>
      <c r="D666" s="4">
        <v>8924.6200000000008</v>
      </c>
      <c r="E666" s="4">
        <v>8927.42</v>
      </c>
      <c r="F666" s="4">
        <v>4022800</v>
      </c>
      <c r="G666" s="8">
        <f t="shared" si="141"/>
        <v>44.18999999999869</v>
      </c>
      <c r="H666" s="8">
        <f t="shared" si="140"/>
        <v>-134.88999999999942</v>
      </c>
      <c r="I666" s="20">
        <f t="shared" ca="1" si="133"/>
        <v>0</v>
      </c>
      <c r="J666" s="8">
        <f t="shared" ca="1" si="134"/>
        <v>1</v>
      </c>
      <c r="K666" s="8">
        <f t="shared" ca="1" si="135"/>
        <v>-90.700000000000728</v>
      </c>
      <c r="L666" s="8">
        <f t="shared" ca="1" si="136"/>
        <v>5113.9100000000035</v>
      </c>
      <c r="M666" s="9">
        <f ca="1">AVERAGE(E666:OFFSET(E666,-M$5+1,0))</f>
        <v>8972.0349999999999</v>
      </c>
      <c r="N666" s="9">
        <f ca="1">AVERAGE(E666:OFFSET(E666,-N$5+1,0))</f>
        <v>8779.1049999999996</v>
      </c>
      <c r="O666" s="9">
        <f t="shared" ca="1" si="137"/>
        <v>0</v>
      </c>
      <c r="P666" s="14">
        <f t="shared" si="142"/>
        <v>-1.0108447259265732</v>
      </c>
      <c r="Q666" s="15">
        <f ca="1">STDEV(P666:OFFSET(P666,-$Q$5+1,0))</f>
        <v>1.0255599120423391</v>
      </c>
      <c r="R666" s="15">
        <f ca="1">STDEV(P666:OFFSET(P666,-$R$5+1,0))</f>
        <v>1.9848844752455053</v>
      </c>
      <c r="S666" s="18">
        <f t="shared" si="129"/>
        <v>137.68999999999869</v>
      </c>
      <c r="T666" s="18">
        <f t="shared" si="130"/>
        <v>137.68999999999869</v>
      </c>
      <c r="U666" s="18">
        <f t="shared" si="138"/>
        <v>139.33936709001793</v>
      </c>
      <c r="V666" s="33">
        <f ca="1">AVERAGE(E666:OFFSET(E666,-V$5+1,0))</f>
        <v>8898.6242857142861</v>
      </c>
      <c r="W666" s="33">
        <f t="shared" ca="1" si="131"/>
        <v>9107.6333363493122</v>
      </c>
      <c r="X666" s="33">
        <f t="shared" ca="1" si="132"/>
        <v>8689.6152350792599</v>
      </c>
      <c r="Y666" s="32">
        <f t="shared" ca="1" si="139"/>
        <v>0</v>
      </c>
    </row>
    <row r="667" spans="1:25">
      <c r="A667" s="5">
        <v>39339</v>
      </c>
      <c r="B667" s="4">
        <v>8995.5300000000007</v>
      </c>
      <c r="C667" s="4">
        <v>9046.51</v>
      </c>
      <c r="D667" s="4">
        <v>8952.8799999999992</v>
      </c>
      <c r="E667" s="4">
        <v>9031.6299999999992</v>
      </c>
      <c r="F667" s="4">
        <v>3897200</v>
      </c>
      <c r="G667" s="8">
        <f t="shared" si="141"/>
        <v>68.110000000000582</v>
      </c>
      <c r="H667" s="8">
        <f t="shared" si="140"/>
        <v>36.099999999998545</v>
      </c>
      <c r="I667" s="20">
        <f t="shared" ca="1" si="133"/>
        <v>0</v>
      </c>
      <c r="J667" s="8">
        <f t="shared" ca="1" si="134"/>
        <v>1</v>
      </c>
      <c r="K667" s="8">
        <f t="shared" ca="1" si="135"/>
        <v>104.20999999999913</v>
      </c>
      <c r="L667" s="8">
        <f t="shared" ca="1" si="136"/>
        <v>5218.1200000000026</v>
      </c>
      <c r="M667" s="9">
        <f ca="1">AVERAGE(E667:OFFSET(E667,-M$5+1,0))</f>
        <v>8976.982</v>
      </c>
      <c r="N667" s="9">
        <f ca="1">AVERAGE(E667:OFFSET(E667,-N$5+1,0))</f>
        <v>8826.1719999999987</v>
      </c>
      <c r="O667" s="9">
        <f t="shared" ca="1" si="137"/>
        <v>0</v>
      </c>
      <c r="P667" s="14">
        <f t="shared" si="142"/>
        <v>1.1605421181110944</v>
      </c>
      <c r="Q667" s="15">
        <f ca="1">STDEV(P667:OFFSET(P667,-$Q$5+1,0))</f>
        <v>0.77790448690275449</v>
      </c>
      <c r="R667" s="15">
        <f ca="1">STDEV(P667:OFFSET(P667,-$R$5+1,0))</f>
        <v>1.9845273378237112</v>
      </c>
      <c r="S667" s="18">
        <f t="shared" si="129"/>
        <v>93.630000000001019</v>
      </c>
      <c r="T667" s="18">
        <f t="shared" si="130"/>
        <v>119.09000000000015</v>
      </c>
      <c r="U667" s="18">
        <f t="shared" si="138"/>
        <v>136.63945147801556</v>
      </c>
      <c r="V667" s="33">
        <f ca="1">AVERAGE(E667:OFFSET(E667,-V$5+1,0))</f>
        <v>8921.0042857142853</v>
      </c>
      <c r="W667" s="33">
        <f t="shared" ca="1" si="131"/>
        <v>9125.9634629313077</v>
      </c>
      <c r="X667" s="33">
        <f t="shared" ca="1" si="132"/>
        <v>8716.0451084972628</v>
      </c>
      <c r="Y667" s="32">
        <f t="shared" ca="1" si="139"/>
        <v>0</v>
      </c>
    </row>
    <row r="668" spans="1:25">
      <c r="A668" s="5">
        <v>39342</v>
      </c>
      <c r="B668" s="4">
        <v>9039.2800000000007</v>
      </c>
      <c r="C668" s="4">
        <v>9044.3700000000008</v>
      </c>
      <c r="D668" s="4">
        <v>8874.7099999999991</v>
      </c>
      <c r="E668" s="4">
        <v>8899.91</v>
      </c>
      <c r="F668" s="4">
        <v>3917000</v>
      </c>
      <c r="G668" s="8">
        <f t="shared" si="141"/>
        <v>7.6500000000014552</v>
      </c>
      <c r="H668" s="8">
        <f t="shared" si="140"/>
        <v>-139.3700000000008</v>
      </c>
      <c r="I668" s="20">
        <f t="shared" ca="1" si="133"/>
        <v>0</v>
      </c>
      <c r="J668" s="8">
        <f t="shared" ca="1" si="134"/>
        <v>1</v>
      </c>
      <c r="K668" s="8">
        <f t="shared" ca="1" si="135"/>
        <v>-131.71999999999935</v>
      </c>
      <c r="L668" s="8">
        <f t="shared" ca="1" si="136"/>
        <v>5086.4000000000033</v>
      </c>
      <c r="M668" s="9">
        <f ca="1">AVERAGE(E668:OFFSET(E668,-M$5+1,0))</f>
        <v>8968.9770000000026</v>
      </c>
      <c r="N668" s="9">
        <f ca="1">AVERAGE(E668:OFFSET(E668,-N$5+1,0))</f>
        <v>8845.3875000000007</v>
      </c>
      <c r="O668" s="9">
        <f t="shared" ca="1" si="137"/>
        <v>0</v>
      </c>
      <c r="P668" s="14">
        <f t="shared" si="142"/>
        <v>-1.4691696224684401</v>
      </c>
      <c r="Q668" s="15">
        <f ca="1">STDEV(P668:OFFSET(P668,-$Q$5+1,0))</f>
        <v>0.91615538838411148</v>
      </c>
      <c r="R668" s="15">
        <f ca="1">STDEV(P668:OFFSET(P668,-$R$5+1,0))</f>
        <v>1.9934719369824216</v>
      </c>
      <c r="S668" s="18">
        <f t="shared" si="129"/>
        <v>169.66000000000167</v>
      </c>
      <c r="T668" s="18">
        <f t="shared" si="130"/>
        <v>169.66000000000167</v>
      </c>
      <c r="U668" s="18">
        <f t="shared" si="138"/>
        <v>141.04219128094704</v>
      </c>
      <c r="V668" s="33">
        <f ca="1">AVERAGE(E668:OFFSET(E668,-V$5+1,0))</f>
        <v>8933.3157142857126</v>
      </c>
      <c r="W668" s="33">
        <f t="shared" ca="1" si="131"/>
        <v>9144.8790012071331</v>
      </c>
      <c r="X668" s="33">
        <f t="shared" ca="1" si="132"/>
        <v>8721.7524273642921</v>
      </c>
      <c r="Y668" s="32">
        <f t="shared" ca="1" si="139"/>
        <v>0</v>
      </c>
    </row>
    <row r="669" spans="1:25">
      <c r="A669" s="5">
        <v>39344</v>
      </c>
      <c r="B669" s="4">
        <v>9090.9</v>
      </c>
      <c r="C669" s="4">
        <v>9090.9</v>
      </c>
      <c r="D669" s="4">
        <v>8900.7999999999993</v>
      </c>
      <c r="E669" s="4">
        <v>8926.3799999999992</v>
      </c>
      <c r="F669" s="4">
        <v>5922000</v>
      </c>
      <c r="G669" s="8">
        <f t="shared" si="141"/>
        <v>190.98999999999978</v>
      </c>
      <c r="H669" s="8">
        <f t="shared" si="140"/>
        <v>-164.52000000000044</v>
      </c>
      <c r="I669" s="20">
        <f t="shared" ca="1" si="133"/>
        <v>0</v>
      </c>
      <c r="J669" s="8">
        <f t="shared" ca="1" si="134"/>
        <v>1</v>
      </c>
      <c r="K669" s="8">
        <f t="shared" ca="1" si="135"/>
        <v>26.469999999999345</v>
      </c>
      <c r="L669" s="8">
        <f t="shared" ca="1" si="136"/>
        <v>5112.8700000000026</v>
      </c>
      <c r="M669" s="9">
        <f ca="1">AVERAGE(E669:OFFSET(E669,-M$5+1,0))</f>
        <v>8969.3170000000009</v>
      </c>
      <c r="N669" s="9">
        <f ca="1">AVERAGE(E669:OFFSET(E669,-N$5+1,0))</f>
        <v>8867.7525000000005</v>
      </c>
      <c r="O669" s="9">
        <f t="shared" ca="1" si="137"/>
        <v>0</v>
      </c>
      <c r="P669" s="14">
        <f t="shared" si="142"/>
        <v>0.29697732343029226</v>
      </c>
      <c r="Q669" s="15">
        <f ca="1">STDEV(P669:OFFSET(P669,-$Q$5+1,0))</f>
        <v>0.90167160419276682</v>
      </c>
      <c r="R669" s="15">
        <f ca="1">STDEV(P669:OFFSET(P669,-$R$5+1,0))</f>
        <v>1.9811311129695328</v>
      </c>
      <c r="S669" s="18">
        <f t="shared" si="129"/>
        <v>190.10000000000036</v>
      </c>
      <c r="T669" s="18">
        <f t="shared" si="130"/>
        <v>190.98999999999978</v>
      </c>
      <c r="U669" s="18">
        <f t="shared" si="138"/>
        <v>147.70189911015407</v>
      </c>
      <c r="V669" s="33">
        <f ca="1">AVERAGE(E669:OFFSET(E669,-V$5+1,0))</f>
        <v>8953.5342857142859</v>
      </c>
      <c r="W669" s="33">
        <f t="shared" ca="1" si="131"/>
        <v>9175.087134379517</v>
      </c>
      <c r="X669" s="33">
        <f t="shared" ca="1" si="132"/>
        <v>8731.9814370490549</v>
      </c>
      <c r="Y669" s="32">
        <f t="shared" ca="1" si="139"/>
        <v>0</v>
      </c>
    </row>
    <row r="670" spans="1:25">
      <c r="A670" s="5">
        <v>39345</v>
      </c>
      <c r="B670" s="4">
        <v>8987.52</v>
      </c>
      <c r="C670" s="4">
        <v>9109.52</v>
      </c>
      <c r="D670" s="4">
        <v>8950.6200000000008</v>
      </c>
      <c r="E670" s="4">
        <v>8983.0300000000007</v>
      </c>
      <c r="F670" s="4">
        <v>4652800</v>
      </c>
      <c r="G670" s="8">
        <f t="shared" si="141"/>
        <v>61.140000000001237</v>
      </c>
      <c r="H670" s="8">
        <f t="shared" si="140"/>
        <v>-4.4899999999997817</v>
      </c>
      <c r="I670" s="20">
        <f t="shared" ca="1" si="133"/>
        <v>0</v>
      </c>
      <c r="J670" s="8">
        <f t="shared" ca="1" si="134"/>
        <v>1</v>
      </c>
      <c r="K670" s="8">
        <f t="shared" ca="1" si="135"/>
        <v>56.650000000001455</v>
      </c>
      <c r="L670" s="8">
        <f t="shared" ca="1" si="136"/>
        <v>5169.5200000000041</v>
      </c>
      <c r="M670" s="9">
        <f ca="1">AVERAGE(E670:OFFSET(E670,-M$5+1,0))</f>
        <v>8976.2350000000006</v>
      </c>
      <c r="N670" s="9">
        <f ca="1">AVERAGE(E670:OFFSET(E670,-N$5+1,0))</f>
        <v>8892.2310000000016</v>
      </c>
      <c r="O670" s="9">
        <f t="shared" ca="1" si="137"/>
        <v>0</v>
      </c>
      <c r="P670" s="14">
        <f t="shared" si="142"/>
        <v>0.63263043213219905</v>
      </c>
      <c r="Q670" s="15">
        <f ca="1">STDEV(P670:OFFSET(P670,-$Q$5+1,0))</f>
        <v>0.92178710071778203</v>
      </c>
      <c r="R670" s="15">
        <f ca="1">STDEV(P670:OFFSET(P670,-$R$5+1,0))</f>
        <v>1.9855408731364208</v>
      </c>
      <c r="S670" s="18">
        <f t="shared" si="129"/>
        <v>158.89999999999964</v>
      </c>
      <c r="T670" s="18">
        <f t="shared" si="130"/>
        <v>183.14000000000124</v>
      </c>
      <c r="U670" s="18">
        <f t="shared" si="138"/>
        <v>152.42697922880038</v>
      </c>
      <c r="V670" s="33">
        <f ca="1">AVERAGE(E670:OFFSET(E670,-V$5+1,0))</f>
        <v>8968.6642857142851</v>
      </c>
      <c r="W670" s="33">
        <f t="shared" ca="1" si="131"/>
        <v>9197.3047545574864</v>
      </c>
      <c r="X670" s="33">
        <f t="shared" ca="1" si="132"/>
        <v>8740.0238168710839</v>
      </c>
      <c r="Y670" s="32">
        <f t="shared" ca="1" si="139"/>
        <v>0</v>
      </c>
    </row>
    <row r="671" spans="1:25">
      <c r="A671" s="5">
        <v>39346</v>
      </c>
      <c r="B671" s="4">
        <v>9018.68</v>
      </c>
      <c r="C671" s="4">
        <v>9105.2800000000007</v>
      </c>
      <c r="D671" s="4">
        <v>8994.01</v>
      </c>
      <c r="E671" s="4">
        <v>9105.2800000000007</v>
      </c>
      <c r="F671" s="4">
        <v>5025000</v>
      </c>
      <c r="G671" s="8">
        <f t="shared" si="141"/>
        <v>35.649999999999636</v>
      </c>
      <c r="H671" s="8">
        <f t="shared" si="140"/>
        <v>86.600000000000364</v>
      </c>
      <c r="I671" s="20">
        <f t="shared" ca="1" si="133"/>
        <v>0</v>
      </c>
      <c r="J671" s="8">
        <f t="shared" ca="1" si="134"/>
        <v>1</v>
      </c>
      <c r="K671" s="8">
        <f t="shared" ca="1" si="135"/>
        <v>122.25</v>
      </c>
      <c r="L671" s="8">
        <f t="shared" ca="1" si="136"/>
        <v>5291.7700000000041</v>
      </c>
      <c r="M671" s="9">
        <f ca="1">AVERAGE(E671:OFFSET(E671,-M$5+1,0))</f>
        <v>8985.0550000000003</v>
      </c>
      <c r="N671" s="9">
        <f ca="1">AVERAGE(E671:OFFSET(E671,-N$5+1,0))</f>
        <v>8910.853000000001</v>
      </c>
      <c r="O671" s="9">
        <f t="shared" ca="1" si="137"/>
        <v>0</v>
      </c>
      <c r="P671" s="14">
        <f t="shared" si="142"/>
        <v>1.3517223157572336</v>
      </c>
      <c r="Q671" s="15">
        <f ca="1">STDEV(P671:OFFSET(P671,-$Q$5+1,0))</f>
        <v>0.94947952901096433</v>
      </c>
      <c r="R671" s="15">
        <f ca="1">STDEV(P671:OFFSET(P671,-$R$5+1,0))</f>
        <v>1.983056624502288</v>
      </c>
      <c r="S671" s="18">
        <f t="shared" si="129"/>
        <v>111.27000000000044</v>
      </c>
      <c r="T671" s="18">
        <f t="shared" si="130"/>
        <v>122.25</v>
      </c>
      <c r="U671" s="18">
        <f t="shared" si="138"/>
        <v>148.40338199829367</v>
      </c>
      <c r="V671" s="33">
        <f ca="1">AVERAGE(E671:OFFSET(E671,-V$5+1,0))</f>
        <v>8977.4585714285731</v>
      </c>
      <c r="W671" s="33">
        <f t="shared" ca="1" si="131"/>
        <v>9200.0636444260144</v>
      </c>
      <c r="X671" s="33">
        <f t="shared" ca="1" si="132"/>
        <v>8754.8534984311318</v>
      </c>
      <c r="Y671" s="32">
        <f t="shared" ca="1" si="139"/>
        <v>0</v>
      </c>
    </row>
    <row r="672" spans="1:25">
      <c r="A672" s="5">
        <v>39351</v>
      </c>
      <c r="B672" s="4">
        <v>9180.93</v>
      </c>
      <c r="C672" s="4">
        <v>9269.6200000000008</v>
      </c>
      <c r="D672" s="4">
        <v>9178.77</v>
      </c>
      <c r="E672" s="4">
        <v>9257.4699999999993</v>
      </c>
      <c r="F672" s="4">
        <v>5422200</v>
      </c>
      <c r="G672" s="8">
        <f t="shared" si="141"/>
        <v>75.649999999999636</v>
      </c>
      <c r="H672" s="8">
        <f t="shared" si="140"/>
        <v>76.539999999999054</v>
      </c>
      <c r="I672" s="20">
        <f t="shared" ca="1" si="133"/>
        <v>1</v>
      </c>
      <c r="J672" s="8">
        <f t="shared" ca="1" si="134"/>
        <v>1</v>
      </c>
      <c r="K672" s="8">
        <f t="shared" ca="1" si="135"/>
        <v>152.18999999999869</v>
      </c>
      <c r="L672" s="8">
        <f t="shared" ca="1" si="136"/>
        <v>5443.9600000000028</v>
      </c>
      <c r="M672" s="9">
        <f ca="1">AVERAGE(E672:OFFSET(E672,-M$5+1,0))</f>
        <v>9008.9940000000006</v>
      </c>
      <c r="N672" s="9">
        <f ca="1">AVERAGE(E672:OFFSET(E672,-N$5+1,0))</f>
        <v>8939.2219999999998</v>
      </c>
      <c r="O672" s="9">
        <f t="shared" ca="1" si="137"/>
        <v>0</v>
      </c>
      <c r="P672" s="14">
        <f t="shared" si="142"/>
        <v>1.6576328144052361</v>
      </c>
      <c r="Q672" s="15">
        <f ca="1">STDEV(P672:OFFSET(P672,-$Q$5+1,0))</f>
        <v>1.0682056295804554</v>
      </c>
      <c r="R672" s="15">
        <f ca="1">STDEV(P672:OFFSET(P672,-$R$5+1,0))</f>
        <v>1.8815430710543584</v>
      </c>
      <c r="S672" s="18">
        <f t="shared" si="129"/>
        <v>90.850000000000364</v>
      </c>
      <c r="T672" s="18">
        <f t="shared" si="130"/>
        <v>164.34000000000015</v>
      </c>
      <c r="U672" s="18">
        <f t="shared" si="138"/>
        <v>150.52826439852123</v>
      </c>
      <c r="V672" s="33">
        <f ca="1">AVERAGE(E672:OFFSET(E672,-V$5+1,0))</f>
        <v>8997.2807142857164</v>
      </c>
      <c r="W672" s="33">
        <f t="shared" ca="1" si="131"/>
        <v>9223.0731108834989</v>
      </c>
      <c r="X672" s="33">
        <f t="shared" ca="1" si="132"/>
        <v>8771.4883176879339</v>
      </c>
      <c r="Y672" s="32">
        <f t="shared" ca="1" si="139"/>
        <v>1</v>
      </c>
    </row>
    <row r="673" spans="1:25">
      <c r="A673" s="5">
        <v>39352</v>
      </c>
      <c r="B673" s="4">
        <v>9337.0400000000009</v>
      </c>
      <c r="C673" s="4">
        <v>9413.65</v>
      </c>
      <c r="D673" s="4">
        <v>9291.7199999999993</v>
      </c>
      <c r="E673" s="4">
        <v>9413.65</v>
      </c>
      <c r="F673" s="4">
        <v>6081200</v>
      </c>
      <c r="G673" s="8">
        <f t="shared" si="141"/>
        <v>79.570000000001528</v>
      </c>
      <c r="H673" s="8">
        <f t="shared" si="140"/>
        <v>76.609999999998763</v>
      </c>
      <c r="I673" s="20">
        <f t="shared" ca="1" si="133"/>
        <v>0</v>
      </c>
      <c r="J673" s="8">
        <f t="shared" ca="1" si="134"/>
        <v>2</v>
      </c>
      <c r="K673" s="8">
        <f t="shared" ca="1" si="135"/>
        <v>232.78999999999905</v>
      </c>
      <c r="L673" s="8">
        <f t="shared" ca="1" si="136"/>
        <v>5676.7500000000018</v>
      </c>
      <c r="M673" s="9">
        <f ca="1">AVERAGE(E673:OFFSET(E673,-M$5+1,0))</f>
        <v>9056.6009999999987</v>
      </c>
      <c r="N673" s="9">
        <f ca="1">AVERAGE(E673:OFFSET(E673,-N$5+1,0))</f>
        <v>8973.9889999999978</v>
      </c>
      <c r="O673" s="9">
        <f t="shared" ca="1" si="137"/>
        <v>0</v>
      </c>
      <c r="P673" s="14">
        <f t="shared" si="142"/>
        <v>1.6729970433077908</v>
      </c>
      <c r="Q673" s="15">
        <f ca="1">STDEV(P673:OFFSET(P673,-$Q$5+1,0))</f>
        <v>1.0675887362553285</v>
      </c>
      <c r="R673" s="15">
        <f ca="1">STDEV(P673:OFFSET(P673,-$R$5+1,0))</f>
        <v>1.8918512356948138</v>
      </c>
      <c r="S673" s="18">
        <f t="shared" si="129"/>
        <v>121.93000000000029</v>
      </c>
      <c r="T673" s="18">
        <f t="shared" si="130"/>
        <v>156.18000000000029</v>
      </c>
      <c r="U673" s="18">
        <f t="shared" si="138"/>
        <v>151.2818291453851</v>
      </c>
      <c r="V673" s="33">
        <f ca="1">AVERAGE(E673:OFFSET(E673,-V$5+1,0))</f>
        <v>9032.3285714285721</v>
      </c>
      <c r="W673" s="33">
        <f t="shared" ca="1" si="131"/>
        <v>9259.2513151466501</v>
      </c>
      <c r="X673" s="33">
        <f t="shared" ca="1" si="132"/>
        <v>8805.4058277104941</v>
      </c>
      <c r="Y673" s="32">
        <f t="shared" ca="1" si="139"/>
        <v>0</v>
      </c>
    </row>
    <row r="674" spans="1:25">
      <c r="A674" s="5">
        <v>39353</v>
      </c>
      <c r="B674" s="4">
        <v>9447.33</v>
      </c>
      <c r="C674" s="4">
        <v>9474.0499999999993</v>
      </c>
      <c r="D674" s="4">
        <v>9411.9500000000007</v>
      </c>
      <c r="E674" s="4">
        <v>9411.9500000000007</v>
      </c>
      <c r="F674" s="4">
        <v>5558800</v>
      </c>
      <c r="G674" s="8">
        <f t="shared" si="141"/>
        <v>33.680000000000291</v>
      </c>
      <c r="H674" s="8">
        <f t="shared" si="140"/>
        <v>-35.3799999999992</v>
      </c>
      <c r="I674" s="20">
        <f t="shared" ca="1" si="133"/>
        <v>0</v>
      </c>
      <c r="J674" s="8">
        <f t="shared" ca="1" si="134"/>
        <v>2</v>
      </c>
      <c r="K674" s="8">
        <f t="shared" ca="1" si="135"/>
        <v>-3.3999999999978172</v>
      </c>
      <c r="L674" s="8">
        <f t="shared" ca="1" si="136"/>
        <v>5673.350000000004</v>
      </c>
      <c r="M674" s="9">
        <f ca="1">AVERAGE(E674:OFFSET(E674,-M$5+1,0))</f>
        <v>9097.4839999999986</v>
      </c>
      <c r="N674" s="9">
        <f ca="1">AVERAGE(E674:OFFSET(E674,-N$5+1,0))</f>
        <v>9008.2089999999989</v>
      </c>
      <c r="O674" s="9">
        <f t="shared" ca="1" si="137"/>
        <v>0</v>
      </c>
      <c r="P674" s="14">
        <f t="shared" si="142"/>
        <v>-1.8060513392615107E-2</v>
      </c>
      <c r="Q674" s="15">
        <f ca="1">STDEV(P674:OFFSET(P674,-$Q$5+1,0))</f>
        <v>1.0773033012961371</v>
      </c>
      <c r="R674" s="15">
        <f ca="1">STDEV(P674:OFFSET(P674,-$R$5+1,0))</f>
        <v>1.8564635214434853</v>
      </c>
      <c r="S674" s="18">
        <f t="shared" si="129"/>
        <v>62.099999999998545</v>
      </c>
      <c r="T674" s="18">
        <f t="shared" si="130"/>
        <v>62.099999999998545</v>
      </c>
      <c r="U674" s="18">
        <f t="shared" si="138"/>
        <v>139.39091859266691</v>
      </c>
      <c r="V674" s="33">
        <f ca="1">AVERAGE(E674:OFFSET(E674,-V$5+1,0))</f>
        <v>9067.9071428571424</v>
      </c>
      <c r="W674" s="33">
        <f t="shared" ca="1" si="131"/>
        <v>9276.9935207461422</v>
      </c>
      <c r="X674" s="33">
        <f t="shared" ca="1" si="132"/>
        <v>8858.8207649681426</v>
      </c>
      <c r="Y674" s="32">
        <f t="shared" ca="1" si="139"/>
        <v>0</v>
      </c>
    </row>
    <row r="675" spans="1:25">
      <c r="A675" s="5">
        <v>39356</v>
      </c>
      <c r="B675" s="4">
        <v>9523.98</v>
      </c>
      <c r="C675" s="4">
        <v>9555.07</v>
      </c>
      <c r="D675" s="4">
        <v>9474.4</v>
      </c>
      <c r="E675" s="4">
        <v>9488.5</v>
      </c>
      <c r="F675" s="4">
        <v>6169000</v>
      </c>
      <c r="G675" s="8">
        <f t="shared" si="141"/>
        <v>112.02999999999884</v>
      </c>
      <c r="H675" s="8">
        <f t="shared" si="140"/>
        <v>-35.479999999999563</v>
      </c>
      <c r="I675" s="20">
        <f t="shared" ca="1" si="133"/>
        <v>0</v>
      </c>
      <c r="J675" s="8">
        <f t="shared" ca="1" si="134"/>
        <v>2</v>
      </c>
      <c r="K675" s="8">
        <f t="shared" ca="1" si="135"/>
        <v>153.09999999999854</v>
      </c>
      <c r="L675" s="8">
        <f t="shared" ca="1" si="136"/>
        <v>5826.4500000000025</v>
      </c>
      <c r="M675" s="9">
        <f ca="1">AVERAGE(E675:OFFSET(E675,-M$5+1,0))</f>
        <v>9144.521999999999</v>
      </c>
      <c r="N675" s="9">
        <f ca="1">AVERAGE(E675:OFFSET(E675,-N$5+1,0))</f>
        <v>9050.4680000000008</v>
      </c>
      <c r="O675" s="9">
        <f t="shared" ca="1" si="137"/>
        <v>0</v>
      </c>
      <c r="P675" s="14">
        <f t="shared" si="142"/>
        <v>0.81003805280818431</v>
      </c>
      <c r="Q675" s="15">
        <f ca="1">STDEV(P675:OFFSET(P675,-$Q$5+1,0))</f>
        <v>1.0780985972368102</v>
      </c>
      <c r="R675" s="15">
        <f ca="1">STDEV(P675:OFFSET(P675,-$R$5+1,0))</f>
        <v>1.7181692029061175</v>
      </c>
      <c r="S675" s="18">
        <f t="shared" si="129"/>
        <v>80.670000000000073</v>
      </c>
      <c r="T675" s="18">
        <f t="shared" si="130"/>
        <v>143.11999999999898</v>
      </c>
      <c r="U675" s="18">
        <f t="shared" si="138"/>
        <v>139.88812944697784</v>
      </c>
      <c r="V675" s="33">
        <f ca="1">AVERAGE(E675:OFFSET(E675,-V$5+1,0))</f>
        <v>9101.58</v>
      </c>
      <c r="W675" s="33">
        <f t="shared" ca="1" si="131"/>
        <v>9311.412194170467</v>
      </c>
      <c r="X675" s="33">
        <f t="shared" ca="1" si="132"/>
        <v>8891.7478058295328</v>
      </c>
      <c r="Y675" s="32">
        <f t="shared" ca="1" si="139"/>
        <v>0</v>
      </c>
    </row>
    <row r="676" spans="1:25">
      <c r="A676" s="5">
        <v>39357</v>
      </c>
      <c r="B676" s="4">
        <v>9597.9599999999991</v>
      </c>
      <c r="C676" s="4">
        <v>9642.9500000000007</v>
      </c>
      <c r="D676" s="4">
        <v>9582.7000000000007</v>
      </c>
      <c r="E676" s="4">
        <v>9623.25</v>
      </c>
      <c r="F676" s="4">
        <v>6702600</v>
      </c>
      <c r="G676" s="8">
        <f t="shared" si="141"/>
        <v>109.45999999999913</v>
      </c>
      <c r="H676" s="8">
        <f t="shared" si="140"/>
        <v>25.290000000000873</v>
      </c>
      <c r="I676" s="20">
        <f t="shared" ca="1" si="133"/>
        <v>0</v>
      </c>
      <c r="J676" s="8">
        <f t="shared" ca="1" si="134"/>
        <v>2</v>
      </c>
      <c r="K676" s="8">
        <f t="shared" ca="1" si="135"/>
        <v>269.5</v>
      </c>
      <c r="L676" s="8">
        <f t="shared" ca="1" si="136"/>
        <v>6095.9500000000025</v>
      </c>
      <c r="M676" s="9">
        <f ca="1">AVERAGE(E676:OFFSET(E676,-M$5+1,0))</f>
        <v>9214.1049999999996</v>
      </c>
      <c r="N676" s="9">
        <f ca="1">AVERAGE(E676:OFFSET(E676,-N$5+1,0))</f>
        <v>9093.0700000000015</v>
      </c>
      <c r="O676" s="9">
        <f t="shared" ca="1" si="137"/>
        <v>0</v>
      </c>
      <c r="P676" s="14">
        <f t="shared" si="142"/>
        <v>1.4101506449203869</v>
      </c>
      <c r="Q676" s="15">
        <f ca="1">STDEV(P676:OFFSET(P676,-$Q$5+1,0))</f>
        <v>0.96490482145360446</v>
      </c>
      <c r="R676" s="15">
        <f ca="1">STDEV(P676:OFFSET(P676,-$R$5+1,0))</f>
        <v>1.7278222542648649</v>
      </c>
      <c r="S676" s="18">
        <f t="shared" si="129"/>
        <v>60.25</v>
      </c>
      <c r="T676" s="18">
        <f t="shared" si="130"/>
        <v>154.45000000000073</v>
      </c>
      <c r="U676" s="18">
        <f t="shared" si="138"/>
        <v>141.82971218738089</v>
      </c>
      <c r="V676" s="33">
        <f ca="1">AVERAGE(E676:OFFSET(E676,-V$5+1,0))</f>
        <v>9144.8064285714281</v>
      </c>
      <c r="W676" s="33">
        <f t="shared" ca="1" si="131"/>
        <v>9357.5509968525002</v>
      </c>
      <c r="X676" s="33">
        <f t="shared" ca="1" si="132"/>
        <v>8932.061860290356</v>
      </c>
      <c r="Y676" s="32">
        <f t="shared" ca="1" si="139"/>
        <v>0</v>
      </c>
    </row>
    <row r="677" spans="1:25">
      <c r="A677" s="5">
        <v>39358</v>
      </c>
      <c r="B677" s="4">
        <v>9650.0300000000007</v>
      </c>
      <c r="C677" s="4">
        <v>9783.75</v>
      </c>
      <c r="D677" s="4">
        <v>9618.14</v>
      </c>
      <c r="E677" s="4">
        <v>9700.07</v>
      </c>
      <c r="F677" s="4">
        <v>6654200</v>
      </c>
      <c r="G677" s="8">
        <f t="shared" si="141"/>
        <v>26.780000000000655</v>
      </c>
      <c r="H677" s="8">
        <f t="shared" si="140"/>
        <v>50.039999999999054</v>
      </c>
      <c r="I677" s="20">
        <f t="shared" ca="1" si="133"/>
        <v>0</v>
      </c>
      <c r="J677" s="8">
        <f t="shared" ca="1" si="134"/>
        <v>2</v>
      </c>
      <c r="K677" s="8">
        <f t="shared" ca="1" si="135"/>
        <v>153.63999999999942</v>
      </c>
      <c r="L677" s="8">
        <f t="shared" ca="1" si="136"/>
        <v>6249.590000000002</v>
      </c>
      <c r="M677" s="9">
        <f ca="1">AVERAGE(E677:OFFSET(E677,-M$5+1,0))</f>
        <v>9280.9489999999987</v>
      </c>
      <c r="N677" s="9">
        <f ca="1">AVERAGE(E677:OFFSET(E677,-N$5+1,0))</f>
        <v>9128.9655000000021</v>
      </c>
      <c r="O677" s="9">
        <f t="shared" ca="1" si="137"/>
        <v>0</v>
      </c>
      <c r="P677" s="14">
        <f t="shared" si="142"/>
        <v>0.795105651704342</v>
      </c>
      <c r="Q677" s="15">
        <f ca="1">STDEV(P677:OFFSET(P677,-$Q$5+1,0))</f>
        <v>0.95451594709258913</v>
      </c>
      <c r="R677" s="15">
        <f ca="1">STDEV(P677:OFFSET(P677,-$R$5+1,0))</f>
        <v>1.7230146481304514</v>
      </c>
      <c r="S677" s="18">
        <f t="shared" si="129"/>
        <v>165.61000000000058</v>
      </c>
      <c r="T677" s="18">
        <f t="shared" si="130"/>
        <v>165.61000000000058</v>
      </c>
      <c r="U677" s="18">
        <f t="shared" si="138"/>
        <v>145.00041722906352</v>
      </c>
      <c r="V677" s="33">
        <f ca="1">AVERAGE(E677:OFFSET(E677,-V$5+1,0))</f>
        <v>9199.27</v>
      </c>
      <c r="W677" s="33">
        <f t="shared" ca="1" si="131"/>
        <v>9416.7706258435956</v>
      </c>
      <c r="X677" s="33">
        <f t="shared" ca="1" si="132"/>
        <v>8981.7693741564053</v>
      </c>
      <c r="Y677" s="32">
        <f t="shared" ca="1" si="139"/>
        <v>0</v>
      </c>
    </row>
    <row r="678" spans="1:25">
      <c r="A678" s="5">
        <v>39359</v>
      </c>
      <c r="B678" s="4">
        <v>9663.5300000000007</v>
      </c>
      <c r="C678" s="4">
        <v>9676.35</v>
      </c>
      <c r="D678" s="4">
        <v>9574.01</v>
      </c>
      <c r="E678" s="4">
        <v>9627.39</v>
      </c>
      <c r="F678" s="4">
        <v>5009200</v>
      </c>
      <c r="G678" s="8">
        <f t="shared" si="141"/>
        <v>-36.539999999999054</v>
      </c>
      <c r="H678" s="8">
        <f t="shared" si="140"/>
        <v>-36.140000000001237</v>
      </c>
      <c r="I678" s="20">
        <f t="shared" ca="1" si="133"/>
        <v>0</v>
      </c>
      <c r="J678" s="8">
        <f t="shared" ca="1" si="134"/>
        <v>2</v>
      </c>
      <c r="K678" s="8">
        <f t="shared" ca="1" si="135"/>
        <v>-145.36000000000058</v>
      </c>
      <c r="L678" s="8">
        <f t="shared" ca="1" si="136"/>
        <v>6104.2300000000014</v>
      </c>
      <c r="M678" s="9">
        <f ca="1">AVERAGE(E678:OFFSET(E678,-M$5+1,0))</f>
        <v>9353.6970000000019</v>
      </c>
      <c r="N678" s="9">
        <f ca="1">AVERAGE(E678:OFFSET(E678,-N$5+1,0))</f>
        <v>9161.3370000000032</v>
      </c>
      <c r="O678" s="9">
        <f t="shared" ca="1" si="137"/>
        <v>0</v>
      </c>
      <c r="P678" s="14">
        <f t="shared" si="142"/>
        <v>-0.7520940940228843</v>
      </c>
      <c r="Q678" s="15">
        <f ca="1">STDEV(P678:OFFSET(P678,-$Q$5+1,0))</f>
        <v>0.78398450506106698</v>
      </c>
      <c r="R678" s="15">
        <f ca="1">STDEV(P678:OFFSET(P678,-$R$5+1,0))</f>
        <v>1.7133910461662536</v>
      </c>
      <c r="S678" s="18">
        <f t="shared" si="129"/>
        <v>102.34000000000015</v>
      </c>
      <c r="T678" s="18">
        <f t="shared" si="130"/>
        <v>126.05999999999949</v>
      </c>
      <c r="U678" s="18">
        <f t="shared" si="138"/>
        <v>142.47502826518831</v>
      </c>
      <c r="V678" s="33">
        <f ca="1">AVERAGE(E678:OFFSET(E678,-V$5+1,0))</f>
        <v>9243.8607142857127</v>
      </c>
      <c r="W678" s="33">
        <f t="shared" ca="1" si="131"/>
        <v>9457.5732566834959</v>
      </c>
      <c r="X678" s="33">
        <f t="shared" ca="1" si="132"/>
        <v>9030.1481718879295</v>
      </c>
      <c r="Y678" s="32">
        <f t="shared" ca="1" si="139"/>
        <v>0</v>
      </c>
    </row>
    <row r="679" spans="1:25">
      <c r="A679" s="5">
        <v>39360</v>
      </c>
      <c r="B679" s="4">
        <v>9645.6299999999992</v>
      </c>
      <c r="C679" s="4">
        <v>9670.1299999999992</v>
      </c>
      <c r="D679" s="4">
        <v>9565</v>
      </c>
      <c r="E679" s="4">
        <v>9617.26</v>
      </c>
      <c r="F679" s="4">
        <v>4570200</v>
      </c>
      <c r="G679" s="8">
        <f t="shared" si="141"/>
        <v>18.239999999999782</v>
      </c>
      <c r="H679" s="8">
        <f t="shared" si="140"/>
        <v>-28.369999999998981</v>
      </c>
      <c r="I679" s="20">
        <f t="shared" ca="1" si="133"/>
        <v>0</v>
      </c>
      <c r="J679" s="8">
        <f t="shared" ca="1" si="134"/>
        <v>2</v>
      </c>
      <c r="K679" s="8">
        <f t="shared" ca="1" si="135"/>
        <v>-20.259999999998399</v>
      </c>
      <c r="L679" s="8">
        <f t="shared" ca="1" si="136"/>
        <v>6083.970000000003</v>
      </c>
      <c r="M679" s="9">
        <f ca="1">AVERAGE(E679:OFFSET(E679,-M$5+1,0))</f>
        <v>9422.7849999999999</v>
      </c>
      <c r="N679" s="9">
        <f ca="1">AVERAGE(E679:OFFSET(E679,-N$5+1,0))</f>
        <v>9196.0510000000013</v>
      </c>
      <c r="O679" s="9">
        <f t="shared" ca="1" si="137"/>
        <v>0</v>
      </c>
      <c r="P679" s="14">
        <f t="shared" si="142"/>
        <v>-0.10527602149784671</v>
      </c>
      <c r="Q679" s="15">
        <f ca="1">STDEV(P679:OFFSET(P679,-$Q$5+1,0))</f>
        <v>0.82127955702775612</v>
      </c>
      <c r="R679" s="15">
        <f ca="1">STDEV(P679:OFFSET(P679,-$R$5+1,0))</f>
        <v>1.7052077588754315</v>
      </c>
      <c r="S679" s="18">
        <f t="shared" si="129"/>
        <v>105.1299999999992</v>
      </c>
      <c r="T679" s="18">
        <f t="shared" si="130"/>
        <v>105.1299999999992</v>
      </c>
      <c r="U679" s="18">
        <f t="shared" si="138"/>
        <v>137.49569116316309</v>
      </c>
      <c r="V679" s="33">
        <f ca="1">AVERAGE(E679:OFFSET(E679,-V$5+1,0))</f>
        <v>9286.6564285714267</v>
      </c>
      <c r="W679" s="33">
        <f t="shared" ca="1" si="131"/>
        <v>9492.8999653161718</v>
      </c>
      <c r="X679" s="33">
        <f t="shared" ca="1" si="132"/>
        <v>9080.4128918266815</v>
      </c>
      <c r="Y679" s="32">
        <f t="shared" ca="1" si="139"/>
        <v>0</v>
      </c>
    </row>
    <row r="680" spans="1:25">
      <c r="A680" s="5">
        <v>39363</v>
      </c>
      <c r="B680" s="4">
        <v>9736.93</v>
      </c>
      <c r="C680" s="4">
        <v>9744.9699999999993</v>
      </c>
      <c r="D680" s="4">
        <v>9683.14</v>
      </c>
      <c r="E680" s="4">
        <v>9717.17</v>
      </c>
      <c r="F680" s="4">
        <v>5043600</v>
      </c>
      <c r="G680" s="8">
        <f t="shared" si="141"/>
        <v>119.67000000000007</v>
      </c>
      <c r="H680" s="8">
        <f t="shared" si="140"/>
        <v>-19.760000000000218</v>
      </c>
      <c r="I680" s="20">
        <f t="shared" ca="1" si="133"/>
        <v>0</v>
      </c>
      <c r="J680" s="8">
        <f t="shared" ca="1" si="134"/>
        <v>2</v>
      </c>
      <c r="K680" s="8">
        <f t="shared" ca="1" si="135"/>
        <v>199.81999999999971</v>
      </c>
      <c r="L680" s="8">
        <f t="shared" ca="1" si="136"/>
        <v>6283.7900000000027</v>
      </c>
      <c r="M680" s="9">
        <f ca="1">AVERAGE(E680:OFFSET(E680,-M$5+1,0))</f>
        <v>9496.1990000000005</v>
      </c>
      <c r="N680" s="9">
        <f ca="1">AVERAGE(E680:OFFSET(E680,-N$5+1,0))</f>
        <v>9236.2170000000024</v>
      </c>
      <c r="O680" s="9">
        <f t="shared" ca="1" si="137"/>
        <v>0</v>
      </c>
      <c r="P680" s="14">
        <f t="shared" si="142"/>
        <v>1.0335022992987866</v>
      </c>
      <c r="Q680" s="15">
        <f ca="1">STDEV(P680:OFFSET(P680,-$Q$5+1,0))</f>
        <v>0.82493429216408942</v>
      </c>
      <c r="R680" s="15">
        <f ca="1">STDEV(P680:OFFSET(P680,-$R$5+1,0))</f>
        <v>1.664782356543953</v>
      </c>
      <c r="S680" s="18">
        <f t="shared" si="129"/>
        <v>61.829999999999927</v>
      </c>
      <c r="T680" s="18">
        <f t="shared" si="130"/>
        <v>127.70999999999913</v>
      </c>
      <c r="U680" s="18">
        <f t="shared" si="138"/>
        <v>136.19093234140789</v>
      </c>
      <c r="V680" s="33">
        <f ca="1">AVERAGE(E680:OFFSET(E680,-V$5+1,0))</f>
        <v>9343.0671428571422</v>
      </c>
      <c r="W680" s="33">
        <f t="shared" ca="1" si="131"/>
        <v>9547.3535413692534</v>
      </c>
      <c r="X680" s="33">
        <f t="shared" ca="1" si="132"/>
        <v>9138.7807443450311</v>
      </c>
      <c r="Y680" s="32">
        <f t="shared" ca="1" si="139"/>
        <v>0</v>
      </c>
    </row>
    <row r="681" spans="1:25">
      <c r="A681" s="5">
        <v>39364</v>
      </c>
      <c r="B681" s="4">
        <v>9743.61</v>
      </c>
      <c r="C681" s="4">
        <v>9743.61</v>
      </c>
      <c r="D681" s="4">
        <v>9591.94</v>
      </c>
      <c r="E681" s="4">
        <v>9639.83</v>
      </c>
      <c r="F681" s="4">
        <v>5534400</v>
      </c>
      <c r="G681" s="8">
        <f t="shared" si="141"/>
        <v>26.440000000000509</v>
      </c>
      <c r="H681" s="8">
        <f t="shared" si="140"/>
        <v>-103.78000000000065</v>
      </c>
      <c r="I681" s="20">
        <f t="shared" ca="1" si="133"/>
        <v>0</v>
      </c>
      <c r="J681" s="8">
        <f t="shared" ca="1" si="134"/>
        <v>2</v>
      </c>
      <c r="K681" s="8">
        <f t="shared" ca="1" si="135"/>
        <v>-154.68000000000029</v>
      </c>
      <c r="L681" s="8">
        <f t="shared" ca="1" si="136"/>
        <v>6129.1100000000024</v>
      </c>
      <c r="M681" s="9">
        <f ca="1">AVERAGE(E681:OFFSET(E681,-M$5+1,0))</f>
        <v>9549.6539999999986</v>
      </c>
      <c r="N681" s="9">
        <f ca="1">AVERAGE(E681:OFFSET(E681,-N$5+1,0))</f>
        <v>9267.3545000000013</v>
      </c>
      <c r="O681" s="9">
        <f t="shared" ca="1" si="137"/>
        <v>0</v>
      </c>
      <c r="P681" s="14">
        <f t="shared" si="142"/>
        <v>-0.79909502037376767</v>
      </c>
      <c r="Q681" s="15">
        <f ca="1">STDEV(P681:OFFSET(P681,-$Q$5+1,0))</f>
        <v>0.93408840673682514</v>
      </c>
      <c r="R681" s="15">
        <f ca="1">STDEV(P681:OFFSET(P681,-$R$5+1,0))</f>
        <v>1.6670866546668843</v>
      </c>
      <c r="S681" s="18">
        <f t="shared" si="129"/>
        <v>151.67000000000007</v>
      </c>
      <c r="T681" s="18">
        <f t="shared" si="130"/>
        <v>151.67000000000007</v>
      </c>
      <c r="U681" s="18">
        <f t="shared" si="138"/>
        <v>138.25480802922019</v>
      </c>
      <c r="V681" s="33">
        <f ca="1">AVERAGE(E681:OFFSET(E681,-V$5+1,0))</f>
        <v>9386.5099999999984</v>
      </c>
      <c r="W681" s="33">
        <f t="shared" ca="1" si="131"/>
        <v>9593.8922120438292</v>
      </c>
      <c r="X681" s="33">
        <f t="shared" ca="1" si="132"/>
        <v>9179.1277879561676</v>
      </c>
      <c r="Y681" s="32">
        <f t="shared" ca="1" si="139"/>
        <v>0</v>
      </c>
    </row>
    <row r="682" spans="1:25">
      <c r="A682" s="5">
        <v>39366</v>
      </c>
      <c r="B682" s="4">
        <v>9707.93</v>
      </c>
      <c r="C682" s="4">
        <v>9729.4699999999993</v>
      </c>
      <c r="D682" s="4">
        <v>9661.23</v>
      </c>
      <c r="E682" s="4">
        <v>9697.67</v>
      </c>
      <c r="F682" s="4">
        <v>5261600</v>
      </c>
      <c r="G682" s="8">
        <f t="shared" si="141"/>
        <v>68.100000000000364</v>
      </c>
      <c r="H682" s="8">
        <f t="shared" si="140"/>
        <v>-10.260000000000218</v>
      </c>
      <c r="I682" s="20">
        <f t="shared" ca="1" si="133"/>
        <v>0</v>
      </c>
      <c r="J682" s="8">
        <f t="shared" ca="1" si="134"/>
        <v>2</v>
      </c>
      <c r="K682" s="8">
        <f t="shared" ca="1" si="135"/>
        <v>115.68000000000029</v>
      </c>
      <c r="L682" s="8">
        <f t="shared" ca="1" si="136"/>
        <v>6244.7900000000027</v>
      </c>
      <c r="M682" s="9">
        <f ca="1">AVERAGE(E682:OFFSET(E682,-M$5+1,0))</f>
        <v>9593.6739999999991</v>
      </c>
      <c r="N682" s="9">
        <f ca="1">AVERAGE(E682:OFFSET(E682,-N$5+1,0))</f>
        <v>9301.3340000000007</v>
      </c>
      <c r="O682" s="9">
        <f t="shared" ca="1" si="137"/>
        <v>0</v>
      </c>
      <c r="P682" s="14">
        <f t="shared" si="142"/>
        <v>0.59821768574570799</v>
      </c>
      <c r="Q682" s="15">
        <f ca="1">STDEV(P682:OFFSET(P682,-$Q$5+1,0))</f>
        <v>0.85370719871101142</v>
      </c>
      <c r="R682" s="15">
        <f ca="1">STDEV(P682:OFFSET(P682,-$R$5+1,0))</f>
        <v>1.6008230453766241</v>
      </c>
      <c r="S682" s="18">
        <f t="shared" si="129"/>
        <v>68.239999999999782</v>
      </c>
      <c r="T682" s="18">
        <f t="shared" si="130"/>
        <v>89.639999999999418</v>
      </c>
      <c r="U682" s="18">
        <f t="shared" si="138"/>
        <v>131.7728336253241</v>
      </c>
      <c r="V682" s="33">
        <f ca="1">AVERAGE(E682:OFFSET(E682,-V$5+1,0))</f>
        <v>9443.4928571428591</v>
      </c>
      <c r="W682" s="33">
        <f t="shared" ca="1" si="131"/>
        <v>9641.152107580845</v>
      </c>
      <c r="X682" s="33">
        <f t="shared" ca="1" si="132"/>
        <v>9245.8336067048731</v>
      </c>
      <c r="Y682" s="32">
        <f t="shared" ca="1" si="139"/>
        <v>0</v>
      </c>
    </row>
    <row r="683" spans="1:25">
      <c r="A683" s="5">
        <v>39367</v>
      </c>
      <c r="B683" s="4">
        <v>9677.33</v>
      </c>
      <c r="C683" s="4">
        <v>9731.16</v>
      </c>
      <c r="D683" s="4">
        <v>9490.01</v>
      </c>
      <c r="E683" s="4">
        <v>9496.4699999999993</v>
      </c>
      <c r="F683" s="4">
        <v>5735600</v>
      </c>
      <c r="G683" s="8">
        <f t="shared" si="141"/>
        <v>-20.340000000000146</v>
      </c>
      <c r="H683" s="8">
        <f t="shared" si="140"/>
        <v>-180.86000000000058</v>
      </c>
      <c r="I683" s="20">
        <f t="shared" ca="1" si="133"/>
        <v>0</v>
      </c>
      <c r="J683" s="8">
        <f t="shared" ca="1" si="134"/>
        <v>2</v>
      </c>
      <c r="K683" s="8">
        <f t="shared" ca="1" si="135"/>
        <v>-402.40000000000146</v>
      </c>
      <c r="L683" s="8">
        <f t="shared" ca="1" si="136"/>
        <v>5842.3900000000012</v>
      </c>
      <c r="M683" s="9">
        <f ca="1">AVERAGE(E683:OFFSET(E683,-M$5+1,0))</f>
        <v>9601.9560000000019</v>
      </c>
      <c r="N683" s="9">
        <f ca="1">AVERAGE(E683:OFFSET(E683,-N$5+1,0))</f>
        <v>9329.2785000000003</v>
      </c>
      <c r="O683" s="9">
        <f t="shared" ca="1" si="137"/>
        <v>0</v>
      </c>
      <c r="P683" s="14">
        <f t="shared" si="142"/>
        <v>-2.0965499863080175</v>
      </c>
      <c r="Q683" s="15">
        <f ca="1">STDEV(P683:OFFSET(P683,-$Q$5+1,0))</f>
        <v>1.0665246506136201</v>
      </c>
      <c r="R683" s="15">
        <f ca="1">STDEV(P683:OFFSET(P683,-$R$5+1,0))</f>
        <v>1.641685310707474</v>
      </c>
      <c r="S683" s="18">
        <f t="shared" si="129"/>
        <v>241.14999999999964</v>
      </c>
      <c r="T683" s="18">
        <f t="shared" si="130"/>
        <v>241.14999999999964</v>
      </c>
      <c r="U683" s="18">
        <f t="shared" si="138"/>
        <v>146.35645580861419</v>
      </c>
      <c r="V683" s="33">
        <f ca="1">AVERAGE(E683:OFFSET(E683,-V$5+1,0))</f>
        <v>9484.2135714285705</v>
      </c>
      <c r="W683" s="33">
        <f t="shared" ca="1" si="131"/>
        <v>9703.7482551414923</v>
      </c>
      <c r="X683" s="33">
        <f t="shared" ca="1" si="132"/>
        <v>9264.6788877156487</v>
      </c>
      <c r="Y683" s="32">
        <f t="shared" ca="1" si="139"/>
        <v>0</v>
      </c>
    </row>
    <row r="684" spans="1:25">
      <c r="A684" s="5">
        <v>39370</v>
      </c>
      <c r="B684" s="4">
        <v>9565.36</v>
      </c>
      <c r="C684" s="4">
        <v>9577.0400000000009</v>
      </c>
      <c r="D684" s="4">
        <v>9431.66</v>
      </c>
      <c r="E684" s="4">
        <v>9518.4500000000007</v>
      </c>
      <c r="F684" s="4">
        <v>4416000</v>
      </c>
      <c r="G684" s="8">
        <f t="shared" si="141"/>
        <v>68.890000000001237</v>
      </c>
      <c r="H684" s="8">
        <f t="shared" si="140"/>
        <v>-46.909999999999854</v>
      </c>
      <c r="I684" s="20">
        <f t="shared" ca="1" si="133"/>
        <v>0</v>
      </c>
      <c r="J684" s="8">
        <f t="shared" ca="1" si="134"/>
        <v>2</v>
      </c>
      <c r="K684" s="8">
        <f t="shared" ca="1" si="135"/>
        <v>43.960000000002765</v>
      </c>
      <c r="L684" s="8">
        <f t="shared" ca="1" si="136"/>
        <v>5886.350000000004</v>
      </c>
      <c r="M684" s="9">
        <f ca="1">AVERAGE(E684:OFFSET(E684,-M$5+1,0))</f>
        <v>9612.6059999999998</v>
      </c>
      <c r="N684" s="9">
        <f ca="1">AVERAGE(E684:OFFSET(E684,-N$5+1,0))</f>
        <v>9355.0450000000001</v>
      </c>
      <c r="O684" s="9">
        <f t="shared" ca="1" si="137"/>
        <v>0</v>
      </c>
      <c r="P684" s="14">
        <f t="shared" si="142"/>
        <v>0.23118698148386832</v>
      </c>
      <c r="Q684" s="15">
        <f ca="1">STDEV(P684:OFFSET(P684,-$Q$5+1,0))</f>
        <v>1.066693602520298</v>
      </c>
      <c r="R684" s="15">
        <f ca="1">STDEV(P684:OFFSET(P684,-$R$5+1,0))</f>
        <v>1.6399904493787694</v>
      </c>
      <c r="S684" s="18">
        <f t="shared" si="129"/>
        <v>145.38000000000102</v>
      </c>
      <c r="T684" s="18">
        <f t="shared" si="130"/>
        <v>145.38000000000102</v>
      </c>
      <c r="U684" s="18">
        <f t="shared" si="138"/>
        <v>146.22626170079911</v>
      </c>
      <c r="V684" s="33">
        <f ca="1">AVERAGE(E684:OFFSET(E684,-V$5+1,0))</f>
        <v>9522.4578571428574</v>
      </c>
      <c r="W684" s="33">
        <f t="shared" ca="1" si="131"/>
        <v>9741.7972496940565</v>
      </c>
      <c r="X684" s="33">
        <f t="shared" ca="1" si="132"/>
        <v>9303.1184645916583</v>
      </c>
      <c r="Y684" s="32">
        <f t="shared" ca="1" si="139"/>
        <v>0</v>
      </c>
    </row>
    <row r="685" spans="1:25">
      <c r="A685" s="5">
        <v>39371</v>
      </c>
      <c r="B685" s="4">
        <v>9468.8799999999992</v>
      </c>
      <c r="C685" s="4">
        <v>9618.0300000000007</v>
      </c>
      <c r="D685" s="4">
        <v>9461.27</v>
      </c>
      <c r="E685" s="4">
        <v>9592.4699999999993</v>
      </c>
      <c r="F685" s="4">
        <v>5134200</v>
      </c>
      <c r="G685" s="8">
        <f t="shared" si="141"/>
        <v>-49.570000000001528</v>
      </c>
      <c r="H685" s="8">
        <f t="shared" si="140"/>
        <v>123.59000000000015</v>
      </c>
      <c r="I685" s="20">
        <f t="shared" ca="1" si="133"/>
        <v>0</v>
      </c>
      <c r="J685" s="8">
        <f t="shared" ca="1" si="134"/>
        <v>2</v>
      </c>
      <c r="K685" s="8">
        <f t="shared" ca="1" si="135"/>
        <v>148.03999999999724</v>
      </c>
      <c r="L685" s="8">
        <f t="shared" ca="1" si="136"/>
        <v>6034.3900000000012</v>
      </c>
      <c r="M685" s="9">
        <f ca="1">AVERAGE(E685:OFFSET(E685,-M$5+1,0))</f>
        <v>9623.0030000000006</v>
      </c>
      <c r="N685" s="9">
        <f ca="1">AVERAGE(E685:OFFSET(E685,-N$5+1,0))</f>
        <v>9383.7625000000007</v>
      </c>
      <c r="O685" s="9">
        <f t="shared" ca="1" si="137"/>
        <v>0</v>
      </c>
      <c r="P685" s="14">
        <f t="shared" si="142"/>
        <v>0.77463952693625815</v>
      </c>
      <c r="Q685" s="15">
        <f ca="1">STDEV(P685:OFFSET(P685,-$Q$5+1,0))</f>
        <v>1.0641774395470922</v>
      </c>
      <c r="R685" s="15">
        <f ca="1">STDEV(P685:OFFSET(P685,-$R$5+1,0))</f>
        <v>1.5220883098001474</v>
      </c>
      <c r="S685" s="18">
        <f t="shared" si="129"/>
        <v>156.76000000000022</v>
      </c>
      <c r="T685" s="18">
        <f t="shared" si="130"/>
        <v>156.76000000000022</v>
      </c>
      <c r="U685" s="18">
        <f t="shared" si="138"/>
        <v>147.63076014069259</v>
      </c>
      <c r="V685" s="33">
        <f ca="1">AVERAGE(E685:OFFSET(E685,-V$5+1,0))</f>
        <v>9557.2571428571409</v>
      </c>
      <c r="W685" s="33">
        <f t="shared" ca="1" si="131"/>
        <v>9778.7032830681801</v>
      </c>
      <c r="X685" s="33">
        <f t="shared" ca="1" si="132"/>
        <v>9335.8110026461018</v>
      </c>
      <c r="Y685" s="32">
        <f t="shared" ca="1" si="139"/>
        <v>0</v>
      </c>
    </row>
    <row r="686" spans="1:25">
      <c r="A686" s="5">
        <v>39372</v>
      </c>
      <c r="B686" s="4">
        <v>9582.19</v>
      </c>
      <c r="C686" s="4">
        <v>9616.26</v>
      </c>
      <c r="D686" s="4">
        <v>9492.89</v>
      </c>
      <c r="E686" s="4">
        <v>9562.16</v>
      </c>
      <c r="F686" s="4">
        <v>4530400</v>
      </c>
      <c r="G686" s="8">
        <f t="shared" si="141"/>
        <v>-10.279999999998836</v>
      </c>
      <c r="H686" s="8">
        <f t="shared" si="140"/>
        <v>-20.030000000000655</v>
      </c>
      <c r="I686" s="20">
        <f t="shared" ca="1" si="133"/>
        <v>0</v>
      </c>
      <c r="J686" s="8">
        <f t="shared" ca="1" si="134"/>
        <v>2</v>
      </c>
      <c r="K686" s="8">
        <f t="shared" ca="1" si="135"/>
        <v>-60.619999999998981</v>
      </c>
      <c r="L686" s="8">
        <f t="shared" ca="1" si="136"/>
        <v>5973.7700000000023</v>
      </c>
      <c r="M686" s="9">
        <f ca="1">AVERAGE(E686:OFFSET(E686,-M$5+1,0))</f>
        <v>9616.8940000000002</v>
      </c>
      <c r="N686" s="9">
        <f ca="1">AVERAGE(E686:OFFSET(E686,-N$5+1,0))</f>
        <v>9415.4995000000017</v>
      </c>
      <c r="O686" s="9">
        <f t="shared" ca="1" si="137"/>
        <v>0</v>
      </c>
      <c r="P686" s="14">
        <f t="shared" si="142"/>
        <v>-0.31647727257798824</v>
      </c>
      <c r="Q686" s="15">
        <f ca="1">STDEV(P686:OFFSET(P686,-$Q$5+1,0))</f>
        <v>0.96506204717125499</v>
      </c>
      <c r="R686" s="15">
        <f ca="1">STDEV(P686:OFFSET(P686,-$R$5+1,0))</f>
        <v>1.2991607671214611</v>
      </c>
      <c r="S686" s="18">
        <f t="shared" si="129"/>
        <v>123.3700000000008</v>
      </c>
      <c r="T686" s="18">
        <f t="shared" si="130"/>
        <v>123.3700000000008</v>
      </c>
      <c r="U686" s="18">
        <f t="shared" si="138"/>
        <v>144.39599212193369</v>
      </c>
      <c r="V686" s="33">
        <f ca="1">AVERAGE(E686:OFFSET(E686,-V$5+1,0))</f>
        <v>9579.0207142857125</v>
      </c>
      <c r="W686" s="33">
        <f t="shared" ca="1" si="131"/>
        <v>9795.6147024686124</v>
      </c>
      <c r="X686" s="33">
        <f t="shared" ca="1" si="132"/>
        <v>9362.4267261028126</v>
      </c>
      <c r="Y686" s="32">
        <f t="shared" ca="1" si="139"/>
        <v>0</v>
      </c>
    </row>
    <row r="687" spans="1:25">
      <c r="A687" s="5">
        <v>39373</v>
      </c>
      <c r="B687" s="4">
        <v>9605.49</v>
      </c>
      <c r="C687" s="4">
        <v>9667.07</v>
      </c>
      <c r="D687" s="4">
        <v>9574.9599999999991</v>
      </c>
      <c r="E687" s="4">
        <v>9637.07</v>
      </c>
      <c r="F687" s="4">
        <v>5548400</v>
      </c>
      <c r="G687" s="8">
        <f t="shared" si="141"/>
        <v>43.329999999999927</v>
      </c>
      <c r="H687" s="8">
        <f t="shared" si="140"/>
        <v>31.579999999999927</v>
      </c>
      <c r="I687" s="20">
        <f t="shared" ca="1" si="133"/>
        <v>0</v>
      </c>
      <c r="J687" s="8">
        <f t="shared" ca="1" si="134"/>
        <v>2</v>
      </c>
      <c r="K687" s="8">
        <f t="shared" ca="1" si="135"/>
        <v>149.81999999999971</v>
      </c>
      <c r="L687" s="8">
        <f t="shared" ca="1" si="136"/>
        <v>6123.590000000002</v>
      </c>
      <c r="M687" s="9">
        <f ca="1">AVERAGE(E687:OFFSET(E687,-M$5+1,0))</f>
        <v>9610.594000000001</v>
      </c>
      <c r="N687" s="9">
        <f ca="1">AVERAGE(E687:OFFSET(E687,-N$5+1,0))</f>
        <v>9445.7715000000007</v>
      </c>
      <c r="O687" s="9">
        <f t="shared" ca="1" si="137"/>
        <v>0</v>
      </c>
      <c r="P687" s="14">
        <f t="shared" si="142"/>
        <v>0.78034775490521635</v>
      </c>
      <c r="Q687" s="15">
        <f ca="1">STDEV(P687:OFFSET(P687,-$Q$5+1,0))</f>
        <v>0.96361304769190481</v>
      </c>
      <c r="R687" s="15">
        <f ca="1">STDEV(P687:OFFSET(P687,-$R$5+1,0))</f>
        <v>1.2690973145882294</v>
      </c>
      <c r="S687" s="18">
        <f t="shared" si="129"/>
        <v>92.110000000000582</v>
      </c>
      <c r="T687" s="18">
        <f t="shared" si="130"/>
        <v>104.90999999999985</v>
      </c>
      <c r="U687" s="18">
        <f t="shared" si="138"/>
        <v>139.13119317234251</v>
      </c>
      <c r="V687" s="33">
        <f ca="1">AVERAGE(E687:OFFSET(E687,-V$5+1,0))</f>
        <v>9594.9792857142875</v>
      </c>
      <c r="W687" s="33">
        <f t="shared" ca="1" si="131"/>
        <v>9803.676075472802</v>
      </c>
      <c r="X687" s="33">
        <f t="shared" ca="1" si="132"/>
        <v>9386.2824959557729</v>
      </c>
      <c r="Y687" s="32">
        <f t="shared" ca="1" si="139"/>
        <v>0</v>
      </c>
    </row>
    <row r="688" spans="1:25">
      <c r="A688" s="5">
        <v>39374</v>
      </c>
      <c r="B688" s="4">
        <v>9666.58</v>
      </c>
      <c r="C688" s="4">
        <v>9673.9599999999991</v>
      </c>
      <c r="D688" s="4">
        <v>9609.58</v>
      </c>
      <c r="E688" s="4">
        <v>9611.7199999999993</v>
      </c>
      <c r="F688" s="4">
        <v>4674200</v>
      </c>
      <c r="G688" s="8">
        <f t="shared" si="141"/>
        <v>29.510000000000218</v>
      </c>
      <c r="H688" s="8">
        <f t="shared" si="140"/>
        <v>-54.860000000000582</v>
      </c>
      <c r="I688" s="20">
        <f t="shared" ca="1" si="133"/>
        <v>0</v>
      </c>
      <c r="J688" s="8">
        <f t="shared" ca="1" si="134"/>
        <v>2</v>
      </c>
      <c r="K688" s="8">
        <f t="shared" ca="1" si="135"/>
        <v>-50.700000000000728</v>
      </c>
      <c r="L688" s="8">
        <f t="shared" ca="1" si="136"/>
        <v>6072.8900000000012</v>
      </c>
      <c r="M688" s="9">
        <f ca="1">AVERAGE(E688:OFFSET(E688,-M$5+1,0))</f>
        <v>9609.0270000000019</v>
      </c>
      <c r="N688" s="9">
        <f ca="1">AVERAGE(E688:OFFSET(E688,-N$5+1,0))</f>
        <v>9481.3620000000028</v>
      </c>
      <c r="O688" s="9">
        <f t="shared" ca="1" si="137"/>
        <v>0</v>
      </c>
      <c r="P688" s="14">
        <f t="shared" si="142"/>
        <v>-0.26339333179580576</v>
      </c>
      <c r="Q688" s="15">
        <f ca="1">STDEV(P688:OFFSET(P688,-$Q$5+1,0))</f>
        <v>0.93692676879562653</v>
      </c>
      <c r="R688" s="15">
        <f ca="1">STDEV(P688:OFFSET(P688,-$R$5+1,0))</f>
        <v>1.0205507845914632</v>
      </c>
      <c r="S688" s="18">
        <f t="shared" si="129"/>
        <v>64.3799999999992</v>
      </c>
      <c r="T688" s="18">
        <f t="shared" si="130"/>
        <v>64.3799999999992</v>
      </c>
      <c r="U688" s="18">
        <f t="shared" si="138"/>
        <v>129.16436741603007</v>
      </c>
      <c r="V688" s="33">
        <f ca="1">AVERAGE(E688:OFFSET(E688,-V$5+1,0))</f>
        <v>9609.2485714285722</v>
      </c>
      <c r="W688" s="33">
        <f t="shared" ca="1" si="131"/>
        <v>9802.9951225526165</v>
      </c>
      <c r="X688" s="33">
        <f t="shared" ca="1" si="132"/>
        <v>9415.5020203045278</v>
      </c>
      <c r="Y688" s="32">
        <f t="shared" ca="1" si="139"/>
        <v>0</v>
      </c>
    </row>
    <row r="689" spans="1:25">
      <c r="A689" s="5">
        <v>39377</v>
      </c>
      <c r="B689" s="4">
        <v>9278.89</v>
      </c>
      <c r="C689" s="4">
        <v>9381.65</v>
      </c>
      <c r="D689" s="4">
        <v>9275.7199999999993</v>
      </c>
      <c r="E689" s="4">
        <v>9360.6299999999992</v>
      </c>
      <c r="F689" s="4">
        <v>4841400</v>
      </c>
      <c r="G689" s="8">
        <f t="shared" si="141"/>
        <v>-332.82999999999993</v>
      </c>
      <c r="H689" s="8">
        <f t="shared" si="140"/>
        <v>81.739999999999782</v>
      </c>
      <c r="I689" s="20">
        <f t="shared" ca="1" si="133"/>
        <v>-1</v>
      </c>
      <c r="J689" s="8">
        <f t="shared" ca="1" si="134"/>
        <v>2</v>
      </c>
      <c r="K689" s="8">
        <f t="shared" ca="1" si="135"/>
        <v>-502.18000000000029</v>
      </c>
      <c r="L689" s="8">
        <f t="shared" ca="1" si="136"/>
        <v>5570.7100000000009</v>
      </c>
      <c r="M689" s="9">
        <f ca="1">AVERAGE(E689:OFFSET(E689,-M$5+1,0))</f>
        <v>9583.3640000000014</v>
      </c>
      <c r="N689" s="9">
        <f ca="1">AVERAGE(E689:OFFSET(E689,-N$5+1,0))</f>
        <v>9503.0745000000006</v>
      </c>
      <c r="O689" s="9">
        <f t="shared" ca="1" si="137"/>
        <v>0</v>
      </c>
      <c r="P689" s="14">
        <f t="shared" si="142"/>
        <v>-2.647059127933181</v>
      </c>
      <c r="Q689" s="15">
        <f ca="1">STDEV(P689:OFFSET(P689,-$Q$5+1,0))</f>
        <v>1.2546557215688117</v>
      </c>
      <c r="R689" s="15">
        <f ca="1">STDEV(P689:OFFSET(P689,-$R$5+1,0))</f>
        <v>1.117014230666278</v>
      </c>
      <c r="S689" s="18">
        <f t="shared" si="129"/>
        <v>105.93000000000029</v>
      </c>
      <c r="T689" s="18">
        <f t="shared" si="130"/>
        <v>336</v>
      </c>
      <c r="U689" s="18">
        <f t="shared" si="138"/>
        <v>156.74245176055939</v>
      </c>
      <c r="V689" s="33">
        <f ca="1">AVERAGE(E689:OFFSET(E689,-V$5+1,0))</f>
        <v>9600.1150000000016</v>
      </c>
      <c r="W689" s="33">
        <f t="shared" ca="1" si="131"/>
        <v>9835.22867764084</v>
      </c>
      <c r="X689" s="33">
        <f t="shared" ca="1" si="132"/>
        <v>9365.0013223591632</v>
      </c>
      <c r="Y689" s="32">
        <f t="shared" ca="1" si="139"/>
        <v>-1</v>
      </c>
    </row>
    <row r="690" spans="1:25">
      <c r="A690" s="5">
        <v>39378</v>
      </c>
      <c r="B690" s="4">
        <v>9419.5400000000009</v>
      </c>
      <c r="C690" s="4">
        <v>9512.56</v>
      </c>
      <c r="D690" s="4">
        <v>9419.5400000000009</v>
      </c>
      <c r="E690" s="4">
        <v>9502.39</v>
      </c>
      <c r="F690" s="4">
        <v>4732400</v>
      </c>
      <c r="G690" s="8">
        <f t="shared" si="141"/>
        <v>58.910000000001673</v>
      </c>
      <c r="H690" s="8">
        <f t="shared" si="140"/>
        <v>82.849999999998545</v>
      </c>
      <c r="I690" s="20">
        <f t="shared" ca="1" si="133"/>
        <v>0</v>
      </c>
      <c r="J690" s="8">
        <f t="shared" ca="1" si="134"/>
        <v>1</v>
      </c>
      <c r="K690" s="8">
        <f t="shared" ca="1" si="135"/>
        <v>200.67000000000189</v>
      </c>
      <c r="L690" s="8">
        <f t="shared" ca="1" si="136"/>
        <v>5771.3800000000028</v>
      </c>
      <c r="M690" s="9">
        <f ca="1">AVERAGE(E690:OFFSET(E690,-M$5+1,0))</f>
        <v>9561.8860000000004</v>
      </c>
      <c r="N690" s="9">
        <f ca="1">AVERAGE(E690:OFFSET(E690,-N$5+1,0))</f>
        <v>9529.0425000000014</v>
      </c>
      <c r="O690" s="9">
        <f t="shared" ca="1" si="137"/>
        <v>0</v>
      </c>
      <c r="P690" s="14">
        <f t="shared" si="142"/>
        <v>1.5030749996439532</v>
      </c>
      <c r="Q690" s="15">
        <f ca="1">STDEV(P690:OFFSET(P690,-$Q$5+1,0))</f>
        <v>1.316160883491841</v>
      </c>
      <c r="R690" s="15">
        <f ca="1">STDEV(P690:OFFSET(P690,-$R$5+1,0))</f>
        <v>1.1343994192263358</v>
      </c>
      <c r="S690" s="18">
        <f t="shared" si="129"/>
        <v>93.019999999998618</v>
      </c>
      <c r="T690" s="18">
        <f t="shared" si="130"/>
        <v>151.93000000000029</v>
      </c>
      <c r="U690" s="18">
        <f t="shared" si="138"/>
        <v>156.10079152581818</v>
      </c>
      <c r="V690" s="33">
        <f ca="1">AVERAGE(E690:OFFSET(E690,-V$5+1,0))</f>
        <v>9591.4821428571431</v>
      </c>
      <c r="W690" s="33">
        <f t="shared" ca="1" si="131"/>
        <v>9825.6333301458708</v>
      </c>
      <c r="X690" s="33">
        <f t="shared" ca="1" si="132"/>
        <v>9357.3309555684154</v>
      </c>
      <c r="Y690" s="32">
        <f t="shared" ca="1" si="139"/>
        <v>0</v>
      </c>
    </row>
    <row r="691" spans="1:25">
      <c r="A691" s="5">
        <v>39379</v>
      </c>
      <c r="B691" s="4">
        <v>9593.2000000000007</v>
      </c>
      <c r="C691" s="4">
        <v>9640.49</v>
      </c>
      <c r="D691" s="4">
        <v>9442.6200000000008</v>
      </c>
      <c r="E691" s="4">
        <v>9442.6200000000008</v>
      </c>
      <c r="F691" s="4">
        <v>4686600</v>
      </c>
      <c r="G691" s="8">
        <f t="shared" si="141"/>
        <v>90.81000000000131</v>
      </c>
      <c r="H691" s="8">
        <f t="shared" si="140"/>
        <v>-150.57999999999993</v>
      </c>
      <c r="I691" s="20">
        <f t="shared" ca="1" si="133"/>
        <v>0</v>
      </c>
      <c r="J691" s="8">
        <f t="shared" ca="1" si="134"/>
        <v>1</v>
      </c>
      <c r="K691" s="8">
        <f t="shared" ca="1" si="135"/>
        <v>-59.769999999998618</v>
      </c>
      <c r="L691" s="8">
        <f t="shared" ca="1" si="136"/>
        <v>5711.6100000000042</v>
      </c>
      <c r="M691" s="9">
        <f ca="1">AVERAGE(E691:OFFSET(E691,-M$5+1,0))</f>
        <v>9542.1649999999991</v>
      </c>
      <c r="N691" s="9">
        <f ca="1">AVERAGE(E691:OFFSET(E691,-N$5+1,0))</f>
        <v>9545.9094999999998</v>
      </c>
      <c r="O691" s="9">
        <f t="shared" ca="1" si="137"/>
        <v>-1</v>
      </c>
      <c r="P691" s="14">
        <f t="shared" si="142"/>
        <v>-0.63098618906554815</v>
      </c>
      <c r="Q691" s="15">
        <f ca="1">STDEV(P691:OFFSET(P691,-$Q$5+1,0))</f>
        <v>1.309046649456912</v>
      </c>
      <c r="R691" s="15">
        <f ca="1">STDEV(P691:OFFSET(P691,-$R$5+1,0))</f>
        <v>1.0679943530213869</v>
      </c>
      <c r="S691" s="18">
        <f t="shared" si="129"/>
        <v>197.86999999999898</v>
      </c>
      <c r="T691" s="18">
        <f t="shared" si="130"/>
        <v>197.86999999999898</v>
      </c>
      <c r="U691" s="18">
        <f t="shared" si="138"/>
        <v>161.67001932237562</v>
      </c>
      <c r="V691" s="33">
        <f ca="1">AVERAGE(E691:OFFSET(E691,-V$5+1,0))</f>
        <v>9573.0928571428576</v>
      </c>
      <c r="W691" s="33">
        <f t="shared" ca="1" si="131"/>
        <v>9815.5978861264211</v>
      </c>
      <c r="X691" s="33">
        <f t="shared" ca="1" si="132"/>
        <v>9330.5878281592941</v>
      </c>
      <c r="Y691" s="32">
        <f t="shared" ca="1" si="139"/>
        <v>0</v>
      </c>
    </row>
    <row r="692" spans="1:25">
      <c r="A692" s="5">
        <v>39380</v>
      </c>
      <c r="B692" s="4">
        <v>9546.85</v>
      </c>
      <c r="C692" s="4">
        <v>9573.2900000000009</v>
      </c>
      <c r="D692" s="4">
        <v>9503.83</v>
      </c>
      <c r="E692" s="4">
        <v>9568.26</v>
      </c>
      <c r="F692" s="4">
        <v>4653800</v>
      </c>
      <c r="G692" s="8">
        <f t="shared" si="141"/>
        <v>104.22999999999956</v>
      </c>
      <c r="H692" s="8">
        <f t="shared" si="140"/>
        <v>21.409999999999854</v>
      </c>
      <c r="I692" s="20">
        <f t="shared" ca="1" si="133"/>
        <v>0</v>
      </c>
      <c r="J692" s="8">
        <f t="shared" ca="1" si="134"/>
        <v>1</v>
      </c>
      <c r="K692" s="8">
        <f t="shared" ca="1" si="135"/>
        <v>125.63999999999942</v>
      </c>
      <c r="L692" s="8">
        <f t="shared" ca="1" si="136"/>
        <v>5837.2500000000036</v>
      </c>
      <c r="M692" s="9">
        <f ca="1">AVERAGE(E692:OFFSET(E692,-M$5+1,0))</f>
        <v>9529.2239999999983</v>
      </c>
      <c r="N692" s="9">
        <f ca="1">AVERAGE(E692:OFFSET(E692,-N$5+1,0))</f>
        <v>9561.4489999999987</v>
      </c>
      <c r="O692" s="9">
        <f t="shared" ca="1" si="137"/>
        <v>0</v>
      </c>
      <c r="P692" s="14">
        <f t="shared" si="142"/>
        <v>1.3217886729584187</v>
      </c>
      <c r="Q692" s="15">
        <f ca="1">STDEV(P692:OFFSET(P692,-$Q$5+1,0))</f>
        <v>1.376729525143604</v>
      </c>
      <c r="R692" s="15">
        <f ca="1">STDEV(P692:OFFSET(P692,-$R$5+1,0))</f>
        <v>1.0765550731014981</v>
      </c>
      <c r="S692" s="18">
        <f t="shared" si="129"/>
        <v>69.460000000000946</v>
      </c>
      <c r="T692" s="18">
        <f t="shared" si="130"/>
        <v>130.67000000000007</v>
      </c>
      <c r="U692" s="18">
        <f t="shared" si="138"/>
        <v>157.53668341272555</v>
      </c>
      <c r="V692" s="33">
        <f ca="1">AVERAGE(E692:OFFSET(E692,-V$5+1,0))</f>
        <v>9568.8692857142869</v>
      </c>
      <c r="W692" s="33">
        <f t="shared" ca="1" si="131"/>
        <v>9805.1743108333758</v>
      </c>
      <c r="X692" s="33">
        <f t="shared" ca="1" si="132"/>
        <v>9332.564260595198</v>
      </c>
      <c r="Y692" s="32">
        <f t="shared" ca="1" si="139"/>
        <v>0</v>
      </c>
    </row>
    <row r="693" spans="1:25">
      <c r="A693" s="5">
        <v>39381</v>
      </c>
      <c r="B693" s="4">
        <v>9637.49</v>
      </c>
      <c r="C693" s="4">
        <v>9661.94</v>
      </c>
      <c r="D693" s="4">
        <v>9573</v>
      </c>
      <c r="E693" s="4">
        <v>9631.51</v>
      </c>
      <c r="F693" s="4">
        <v>4960800</v>
      </c>
      <c r="G693" s="8">
        <f t="shared" si="141"/>
        <v>69.229999999999563</v>
      </c>
      <c r="H693" s="8">
        <f t="shared" si="140"/>
        <v>-5.9799999999995634</v>
      </c>
      <c r="I693" s="20">
        <f t="shared" ca="1" si="133"/>
        <v>0</v>
      </c>
      <c r="J693" s="8">
        <f t="shared" ca="1" si="134"/>
        <v>1</v>
      </c>
      <c r="K693" s="8">
        <f t="shared" ca="1" si="135"/>
        <v>63.25</v>
      </c>
      <c r="L693" s="8">
        <f t="shared" ca="1" si="136"/>
        <v>5900.5000000000036</v>
      </c>
      <c r="M693" s="9">
        <f ca="1">AVERAGE(E693:OFFSET(E693,-M$5+1,0))</f>
        <v>9542.7279999999973</v>
      </c>
      <c r="N693" s="9">
        <f ca="1">AVERAGE(E693:OFFSET(E693,-N$5+1,0))</f>
        <v>9572.3420000000006</v>
      </c>
      <c r="O693" s="9">
        <f t="shared" ca="1" si="137"/>
        <v>0</v>
      </c>
      <c r="P693" s="14">
        <f t="shared" si="142"/>
        <v>0.65886444272977551</v>
      </c>
      <c r="Q693" s="15">
        <f ca="1">STDEV(P693:OFFSET(P693,-$Q$5+1,0))</f>
        <v>1.2054573808493625</v>
      </c>
      <c r="R693" s="15">
        <f ca="1">STDEV(P693:OFFSET(P693,-$R$5+1,0))</f>
        <v>1.0785195176542115</v>
      </c>
      <c r="S693" s="18">
        <f t="shared" ref="S693:S756" si="143">C693-D693</f>
        <v>88.940000000000509</v>
      </c>
      <c r="T693" s="18">
        <f t="shared" ref="T693:T756" si="144">MAX(C693,E692)-MIN(D693,E692)</f>
        <v>93.680000000000291</v>
      </c>
      <c r="U693" s="18">
        <f t="shared" si="138"/>
        <v>149.02245895769551</v>
      </c>
      <c r="V693" s="33">
        <f ca="1">AVERAGE(E693:OFFSET(E693,-V$5+1,0))</f>
        <v>9569.8871428571438</v>
      </c>
      <c r="W693" s="33">
        <f t="shared" ref="W693:W756" ca="1" si="145">V693+W$5*U693</f>
        <v>9793.4208312936862</v>
      </c>
      <c r="X693" s="33">
        <f t="shared" ref="X693:X756" ca="1" si="146">V693-W$5*U693</f>
        <v>9346.3534544206013</v>
      </c>
      <c r="Y693" s="32">
        <f t="shared" ca="1" si="139"/>
        <v>0</v>
      </c>
    </row>
    <row r="694" spans="1:25">
      <c r="A694" s="5">
        <v>39384</v>
      </c>
      <c r="B694" s="4">
        <v>9743.73</v>
      </c>
      <c r="C694" s="4">
        <v>9822.3700000000008</v>
      </c>
      <c r="D694" s="4">
        <v>9735.43</v>
      </c>
      <c r="E694" s="4">
        <v>9809.8799999999992</v>
      </c>
      <c r="F694" s="4">
        <v>5997200</v>
      </c>
      <c r="G694" s="8">
        <f t="shared" si="141"/>
        <v>112.21999999999935</v>
      </c>
      <c r="H694" s="8">
        <f t="shared" si="140"/>
        <v>66.149999999999636</v>
      </c>
      <c r="I694" s="20">
        <f t="shared" ref="I694:I757" ca="1" si="147">Y694</f>
        <v>1</v>
      </c>
      <c r="J694" s="8">
        <f t="shared" ref="J694:J757" ca="1" si="148">IF((J693+I693)&gt;=J$5,J$5,IF((J693+I693)&lt;=J$7,J$7,J693+I693))</f>
        <v>1</v>
      </c>
      <c r="K694" s="8">
        <f t="shared" ref="K694:K757" ca="1" si="149">J693*G694+J694*H694</f>
        <v>178.36999999999898</v>
      </c>
      <c r="L694" s="8">
        <f t="shared" ref="L694:L757" ca="1" si="150">L693+K694</f>
        <v>6078.8700000000026</v>
      </c>
      <c r="M694" s="9">
        <f ca="1">AVERAGE(E694:OFFSET(E694,-M$5+1,0))</f>
        <v>9571.8709999999992</v>
      </c>
      <c r="N694" s="9">
        <f ca="1">AVERAGE(E694:OFFSET(E694,-N$5+1,0))</f>
        <v>9592.2385000000013</v>
      </c>
      <c r="O694" s="9">
        <f t="shared" ref="O694:O757" ca="1" si="151">IF(AND(M693&lt;=N693,M694&gt;N694),1,IF(AND(M693&gt;=N693,M694&lt;N694),-1,0))</f>
        <v>0</v>
      </c>
      <c r="P694" s="14">
        <f t="shared" si="142"/>
        <v>1.8350025907139782</v>
      </c>
      <c r="Q694" s="15">
        <f ca="1">STDEV(P694:OFFSET(P694,-$Q$5+1,0))</f>
        <v>1.320008372281243</v>
      </c>
      <c r="R694" s="15">
        <f ca="1">STDEV(P694:OFFSET(P694,-$R$5+1,0))</f>
        <v>1.1069134198128594</v>
      </c>
      <c r="S694" s="18">
        <f t="shared" si="143"/>
        <v>86.940000000000509</v>
      </c>
      <c r="T694" s="18">
        <f t="shared" si="144"/>
        <v>190.86000000000058</v>
      </c>
      <c r="U694" s="18">
        <f t="shared" ref="U694:U757" si="152">$U$5*T694+(1-$U$5)*U693</f>
        <v>154.60079776333617</v>
      </c>
      <c r="V694" s="33">
        <f ca="1">AVERAGE(E694:OFFSET(E694,-V$5+1,0))</f>
        <v>9576.5092857142845</v>
      </c>
      <c r="W694" s="33">
        <f t="shared" ca="1" si="145"/>
        <v>9808.4104823592879</v>
      </c>
      <c r="X694" s="33">
        <f t="shared" ca="1" si="146"/>
        <v>9344.608089069281</v>
      </c>
      <c r="Y694" s="32">
        <f t="shared" ref="Y694:Y757" ca="1" si="153">IF(AND(E693&gt;X693,E694&lt;X694),-1,IF(AND(E693&lt;W693,E694&gt;W694),1,0))</f>
        <v>1</v>
      </c>
    </row>
    <row r="695" spans="1:25">
      <c r="A695" s="5">
        <v>39385</v>
      </c>
      <c r="B695" s="4">
        <v>9854.27</v>
      </c>
      <c r="C695" s="4">
        <v>9859.65</v>
      </c>
      <c r="D695" s="4">
        <v>9727.58</v>
      </c>
      <c r="E695" s="4">
        <v>9757.93</v>
      </c>
      <c r="F695" s="4">
        <v>5465400</v>
      </c>
      <c r="G695" s="8">
        <f t="shared" si="141"/>
        <v>44.390000000001237</v>
      </c>
      <c r="H695" s="8">
        <f t="shared" si="140"/>
        <v>-96.340000000000146</v>
      </c>
      <c r="I695" s="20">
        <f t="shared" ca="1" si="147"/>
        <v>0</v>
      </c>
      <c r="J695" s="8">
        <f t="shared" ca="1" si="148"/>
        <v>2</v>
      </c>
      <c r="K695" s="8">
        <f t="shared" ca="1" si="149"/>
        <v>-148.28999999999905</v>
      </c>
      <c r="L695" s="8">
        <f t="shared" ca="1" si="150"/>
        <v>5930.5800000000036</v>
      </c>
      <c r="M695" s="9">
        <f ca="1">AVERAGE(E695:OFFSET(E695,-M$5+1,0))</f>
        <v>9588.4169999999976</v>
      </c>
      <c r="N695" s="9">
        <f ca="1">AVERAGE(E695:OFFSET(E695,-N$5+1,0))</f>
        <v>9605.7100000000009</v>
      </c>
      <c r="O695" s="9">
        <f t="shared" ca="1" si="151"/>
        <v>0</v>
      </c>
      <c r="P695" s="14">
        <f t="shared" si="142"/>
        <v>-0.53097533197856006</v>
      </c>
      <c r="Q695" s="15">
        <f ca="1">STDEV(P695:OFFSET(P695,-$Q$5+1,0))</f>
        <v>1.3325289037701795</v>
      </c>
      <c r="R695" s="15">
        <f ca="1">STDEV(P695:OFFSET(P695,-$R$5+1,0))</f>
        <v>1.0962074416036685</v>
      </c>
      <c r="S695" s="18">
        <f t="shared" si="143"/>
        <v>132.06999999999971</v>
      </c>
      <c r="T695" s="18">
        <f t="shared" si="144"/>
        <v>132.06999999999971</v>
      </c>
      <c r="U695" s="18">
        <f t="shared" si="152"/>
        <v>151.59669139489131</v>
      </c>
      <c r="V695" s="33">
        <f ca="1">AVERAGE(E695:OFFSET(E695,-V$5+1,0))</f>
        <v>9584.9449999999979</v>
      </c>
      <c r="W695" s="33">
        <f t="shared" ca="1" si="145"/>
        <v>9812.3400370923355</v>
      </c>
      <c r="X695" s="33">
        <f t="shared" ca="1" si="146"/>
        <v>9357.5499629076603</v>
      </c>
      <c r="Y695" s="32">
        <f t="shared" ca="1" si="153"/>
        <v>0</v>
      </c>
    </row>
    <row r="696" spans="1:25">
      <c r="A696" s="5">
        <v>39386</v>
      </c>
      <c r="B696" s="4">
        <v>9777.58</v>
      </c>
      <c r="C696" s="4">
        <v>9787.9</v>
      </c>
      <c r="D696" s="4">
        <v>9664.64</v>
      </c>
      <c r="E696" s="4">
        <v>9711.3700000000008</v>
      </c>
      <c r="F696" s="4">
        <v>5636800</v>
      </c>
      <c r="G696" s="8">
        <f t="shared" si="141"/>
        <v>19.649999999999636</v>
      </c>
      <c r="H696" s="8">
        <f t="shared" si="140"/>
        <v>-66.209999999999127</v>
      </c>
      <c r="I696" s="20">
        <f t="shared" ca="1" si="147"/>
        <v>0</v>
      </c>
      <c r="J696" s="8">
        <f t="shared" ca="1" si="148"/>
        <v>2</v>
      </c>
      <c r="K696" s="8">
        <f t="shared" ca="1" si="149"/>
        <v>-93.119999999998981</v>
      </c>
      <c r="L696" s="8">
        <f t="shared" ca="1" si="150"/>
        <v>5837.4600000000046</v>
      </c>
      <c r="M696" s="9">
        <f ca="1">AVERAGE(E696:OFFSET(E696,-M$5+1,0))</f>
        <v>9603.3379999999997</v>
      </c>
      <c r="N696" s="9">
        <f ca="1">AVERAGE(E696:OFFSET(E696,-N$5+1,0))</f>
        <v>9610.116</v>
      </c>
      <c r="O696" s="9">
        <f t="shared" ca="1" si="151"/>
        <v>0</v>
      </c>
      <c r="P696" s="14">
        <f t="shared" si="142"/>
        <v>-0.4782923757941106</v>
      </c>
      <c r="Q696" s="15">
        <f ca="1">STDEV(P696:OFFSET(P696,-$Q$5+1,0))</f>
        <v>1.3400677287307965</v>
      </c>
      <c r="R696" s="15">
        <f ca="1">STDEV(P696:OFFSET(P696,-$R$5+1,0))</f>
        <v>1.0863089596178057</v>
      </c>
      <c r="S696" s="18">
        <f t="shared" si="143"/>
        <v>123.26000000000022</v>
      </c>
      <c r="T696" s="18">
        <f t="shared" si="144"/>
        <v>123.26000000000022</v>
      </c>
      <c r="U696" s="18">
        <f t="shared" si="152"/>
        <v>147.81846587557249</v>
      </c>
      <c r="V696" s="33">
        <f ca="1">AVERAGE(E696:OFFSET(E696,-V$5+1,0))</f>
        <v>9585.9235714285714</v>
      </c>
      <c r="W696" s="33">
        <f t="shared" ca="1" si="145"/>
        <v>9807.6512702419295</v>
      </c>
      <c r="X696" s="33">
        <f t="shared" ca="1" si="146"/>
        <v>9364.1958726152134</v>
      </c>
      <c r="Y696" s="32">
        <f t="shared" ca="1" si="153"/>
        <v>0</v>
      </c>
    </row>
    <row r="697" spans="1:25">
      <c r="A697" s="5">
        <v>39387</v>
      </c>
      <c r="B697" s="4">
        <v>9780.59</v>
      </c>
      <c r="C697" s="4">
        <v>9785.75</v>
      </c>
      <c r="D697" s="4">
        <v>9556.2199999999993</v>
      </c>
      <c r="E697" s="4">
        <v>9598.23</v>
      </c>
      <c r="F697" s="4">
        <v>6153600</v>
      </c>
      <c r="G697" s="8">
        <f t="shared" si="141"/>
        <v>69.219999999999345</v>
      </c>
      <c r="H697" s="8">
        <f t="shared" si="140"/>
        <v>-182.36000000000058</v>
      </c>
      <c r="I697" s="20">
        <f t="shared" ca="1" si="147"/>
        <v>0</v>
      </c>
      <c r="J697" s="8">
        <f t="shared" ca="1" si="148"/>
        <v>2</v>
      </c>
      <c r="K697" s="8">
        <f t="shared" ca="1" si="149"/>
        <v>-226.28000000000247</v>
      </c>
      <c r="L697" s="8">
        <f t="shared" ca="1" si="150"/>
        <v>5611.1800000000021</v>
      </c>
      <c r="M697" s="9">
        <f ca="1">AVERAGE(E697:OFFSET(E697,-M$5+1,0))</f>
        <v>9599.4539999999997</v>
      </c>
      <c r="N697" s="9">
        <f ca="1">AVERAGE(E697:OFFSET(E697,-N$5+1,0))</f>
        <v>9605.0240000000013</v>
      </c>
      <c r="O697" s="9">
        <f t="shared" ca="1" si="151"/>
        <v>0</v>
      </c>
      <c r="P697" s="14">
        <f t="shared" si="142"/>
        <v>-1.1718657534195529</v>
      </c>
      <c r="Q697" s="15">
        <f ca="1">STDEV(P697:OFFSET(P697,-$Q$5+1,0))</f>
        <v>1.38041045478563</v>
      </c>
      <c r="R697" s="15">
        <f ca="1">STDEV(P697:OFFSET(P697,-$R$5+1,0))</f>
        <v>1.0529519959667324</v>
      </c>
      <c r="S697" s="18">
        <f t="shared" si="143"/>
        <v>229.53000000000065</v>
      </c>
      <c r="T697" s="18">
        <f t="shared" si="144"/>
        <v>229.53000000000065</v>
      </c>
      <c r="U697" s="18">
        <f t="shared" si="152"/>
        <v>158.71333709216293</v>
      </c>
      <c r="V697" s="33">
        <f ca="1">AVERAGE(E697:OFFSET(E697,-V$5+1,0))</f>
        <v>9593.1921428571404</v>
      </c>
      <c r="W697" s="33">
        <f t="shared" ca="1" si="145"/>
        <v>9831.2621484953852</v>
      </c>
      <c r="X697" s="33">
        <f t="shared" ca="1" si="146"/>
        <v>9355.1221372188957</v>
      </c>
      <c r="Y697" s="32">
        <f t="shared" ca="1" si="153"/>
        <v>0</v>
      </c>
    </row>
    <row r="698" spans="1:25">
      <c r="A698" s="5">
        <v>39388</v>
      </c>
      <c r="B698" s="4">
        <v>9373.41</v>
      </c>
      <c r="C698" s="4">
        <v>9433.07</v>
      </c>
      <c r="D698" s="4">
        <v>9248.34</v>
      </c>
      <c r="E698" s="4">
        <v>9273.09</v>
      </c>
      <c r="F698" s="4">
        <v>5893000</v>
      </c>
      <c r="G698" s="8">
        <f t="shared" si="141"/>
        <v>-224.81999999999971</v>
      </c>
      <c r="H698" s="8">
        <f t="shared" si="140"/>
        <v>-100.31999999999971</v>
      </c>
      <c r="I698" s="20">
        <f t="shared" ca="1" si="147"/>
        <v>-1</v>
      </c>
      <c r="J698" s="8">
        <f t="shared" ca="1" si="148"/>
        <v>2</v>
      </c>
      <c r="K698" s="8">
        <f t="shared" ca="1" si="149"/>
        <v>-650.27999999999884</v>
      </c>
      <c r="L698" s="8">
        <f t="shared" ca="1" si="150"/>
        <v>4960.9000000000033</v>
      </c>
      <c r="M698" s="9">
        <f ca="1">AVERAGE(E698:OFFSET(E698,-M$5+1,0))</f>
        <v>9565.5909999999985</v>
      </c>
      <c r="N698" s="9">
        <f ca="1">AVERAGE(E698:OFFSET(E698,-N$5+1,0))</f>
        <v>9587.3090000000011</v>
      </c>
      <c r="O698" s="9">
        <f t="shared" ca="1" si="151"/>
        <v>0</v>
      </c>
      <c r="P698" s="14">
        <f t="shared" si="142"/>
        <v>-3.4462049106746493</v>
      </c>
      <c r="Q698" s="15">
        <f ca="1">STDEV(P698:OFFSET(P698,-$Q$5+1,0))</f>
        <v>1.7539368504498574</v>
      </c>
      <c r="R698" s="15">
        <f ca="1">STDEV(P698:OFFSET(P698,-$R$5+1,0))</f>
        <v>1.1978355088261352</v>
      </c>
      <c r="S698" s="18">
        <f t="shared" si="143"/>
        <v>184.72999999999956</v>
      </c>
      <c r="T698" s="18">
        <f t="shared" si="144"/>
        <v>349.88999999999942</v>
      </c>
      <c r="U698" s="18">
        <f t="shared" si="152"/>
        <v>184.20355881320782</v>
      </c>
      <c r="V698" s="33">
        <f ca="1">AVERAGE(E698:OFFSET(E698,-V$5+1,0))</f>
        <v>9575.6664285714269</v>
      </c>
      <c r="W698" s="33">
        <f t="shared" ca="1" si="145"/>
        <v>9851.9717667912391</v>
      </c>
      <c r="X698" s="33">
        <f t="shared" ca="1" si="146"/>
        <v>9299.3610903516146</v>
      </c>
      <c r="Y698" s="32">
        <f t="shared" ca="1" si="153"/>
        <v>-1</v>
      </c>
    </row>
    <row r="699" spans="1:25">
      <c r="A699" s="5">
        <v>39391</v>
      </c>
      <c r="B699" s="4">
        <v>9251.86</v>
      </c>
      <c r="C699" s="4">
        <v>9313.85</v>
      </c>
      <c r="D699" s="4">
        <v>9129.49</v>
      </c>
      <c r="E699" s="4">
        <v>9308.6</v>
      </c>
      <c r="F699" s="4">
        <v>5045200</v>
      </c>
      <c r="G699" s="8">
        <f t="shared" si="141"/>
        <v>-21.229999999999563</v>
      </c>
      <c r="H699" s="8">
        <f t="shared" si="140"/>
        <v>56.739999999999782</v>
      </c>
      <c r="I699" s="20">
        <f t="shared" ca="1" si="147"/>
        <v>0</v>
      </c>
      <c r="J699" s="8">
        <f t="shared" ca="1" si="148"/>
        <v>1</v>
      </c>
      <c r="K699" s="8">
        <f t="shared" ca="1" si="149"/>
        <v>14.280000000000655</v>
      </c>
      <c r="L699" s="8">
        <f t="shared" ca="1" si="150"/>
        <v>4975.1800000000039</v>
      </c>
      <c r="M699" s="9">
        <f ca="1">AVERAGE(E699:OFFSET(E699,-M$5+1,0))</f>
        <v>9560.3880000000008</v>
      </c>
      <c r="N699" s="9">
        <f ca="1">AVERAGE(E699:OFFSET(E699,-N$5+1,0))</f>
        <v>9571.8760000000002</v>
      </c>
      <c r="O699" s="9">
        <f t="shared" ca="1" si="151"/>
        <v>0</v>
      </c>
      <c r="P699" s="14">
        <f t="shared" si="142"/>
        <v>0.38220466736466807</v>
      </c>
      <c r="Q699" s="15">
        <f ca="1">STDEV(P699:OFFSET(P699,-$Q$5+1,0))</f>
        <v>1.5663527469377472</v>
      </c>
      <c r="R699" s="15">
        <f ca="1">STDEV(P699:OFFSET(P699,-$R$5+1,0))</f>
        <v>1.1930236583398188</v>
      </c>
      <c r="S699" s="18">
        <f t="shared" si="143"/>
        <v>184.36000000000058</v>
      </c>
      <c r="T699" s="18">
        <f t="shared" si="144"/>
        <v>184.36000000000058</v>
      </c>
      <c r="U699" s="18">
        <f t="shared" si="152"/>
        <v>184.22441763811352</v>
      </c>
      <c r="V699" s="33">
        <f ca="1">AVERAGE(E699:OFFSET(E699,-V$5+1,0))</f>
        <v>9555.3899999999976</v>
      </c>
      <c r="W699" s="33">
        <f t="shared" ca="1" si="145"/>
        <v>9831.7266264571681</v>
      </c>
      <c r="X699" s="33">
        <f t="shared" ca="1" si="146"/>
        <v>9279.0533735428271</v>
      </c>
      <c r="Y699" s="32">
        <f t="shared" ca="1" si="153"/>
        <v>0</v>
      </c>
    </row>
    <row r="700" spans="1:25">
      <c r="A700" s="5">
        <v>39392</v>
      </c>
      <c r="B700" s="4">
        <v>9324.61</v>
      </c>
      <c r="C700" s="4">
        <v>9368.4599999999991</v>
      </c>
      <c r="D700" s="4">
        <v>9278.01</v>
      </c>
      <c r="E700" s="4">
        <v>9292.7999999999993</v>
      </c>
      <c r="F700" s="4">
        <v>4565600</v>
      </c>
      <c r="G700" s="8">
        <f t="shared" si="141"/>
        <v>16.010000000000218</v>
      </c>
      <c r="H700" s="8">
        <f t="shared" si="140"/>
        <v>-31.81000000000131</v>
      </c>
      <c r="I700" s="20">
        <f t="shared" ca="1" si="147"/>
        <v>0</v>
      </c>
      <c r="J700" s="8">
        <f t="shared" ca="1" si="148"/>
        <v>1</v>
      </c>
      <c r="K700" s="8">
        <f t="shared" ca="1" si="149"/>
        <v>-15.800000000001091</v>
      </c>
      <c r="L700" s="8">
        <f t="shared" ca="1" si="150"/>
        <v>4959.3800000000028</v>
      </c>
      <c r="M700" s="9">
        <f ca="1">AVERAGE(E700:OFFSET(E700,-M$5+1,0))</f>
        <v>9539.4290000000001</v>
      </c>
      <c r="N700" s="9">
        <f ca="1">AVERAGE(E700:OFFSET(E700,-N$5+1,0))</f>
        <v>9550.6574999999975</v>
      </c>
      <c r="O700" s="9">
        <f t="shared" ca="1" si="151"/>
        <v>0</v>
      </c>
      <c r="P700" s="14">
        <f t="shared" si="142"/>
        <v>-0.16987972733004639</v>
      </c>
      <c r="Q700" s="15">
        <f ca="1">STDEV(P700:OFFSET(P700,-$Q$5+1,0))</f>
        <v>1.4675905382141667</v>
      </c>
      <c r="R700" s="15">
        <f ca="1">STDEV(P700:OFFSET(P700,-$R$5+1,0))</f>
        <v>1.193373351966043</v>
      </c>
      <c r="S700" s="18">
        <f t="shared" si="143"/>
        <v>90.449999999998909</v>
      </c>
      <c r="T700" s="18">
        <f t="shared" si="144"/>
        <v>90.449999999998909</v>
      </c>
      <c r="U700" s="18">
        <f t="shared" si="152"/>
        <v>171.72116195303158</v>
      </c>
      <c r="V700" s="33">
        <f ca="1">AVERAGE(E700:OFFSET(E700,-V$5+1,0))</f>
        <v>9536.15</v>
      </c>
      <c r="W700" s="33">
        <f t="shared" ca="1" si="145"/>
        <v>9793.7317429295472</v>
      </c>
      <c r="X700" s="33">
        <f t="shared" ca="1" si="146"/>
        <v>9278.5682570704521</v>
      </c>
      <c r="Y700" s="32">
        <f t="shared" ca="1" si="153"/>
        <v>0</v>
      </c>
    </row>
    <row r="701" spans="1:25">
      <c r="A701" s="5">
        <v>39393</v>
      </c>
      <c r="B701" s="4">
        <v>9437.43</v>
      </c>
      <c r="C701" s="4">
        <v>9437.43</v>
      </c>
      <c r="D701" s="4">
        <v>9300.2199999999993</v>
      </c>
      <c r="E701" s="4">
        <v>9300.2199999999993</v>
      </c>
      <c r="F701" s="4">
        <v>5016400</v>
      </c>
      <c r="G701" s="8">
        <f t="shared" si="141"/>
        <v>144.63000000000102</v>
      </c>
      <c r="H701" s="8">
        <f t="shared" si="140"/>
        <v>-137.21000000000095</v>
      </c>
      <c r="I701" s="20">
        <f t="shared" ca="1" si="147"/>
        <v>0</v>
      </c>
      <c r="J701" s="8">
        <f t="shared" ca="1" si="148"/>
        <v>1</v>
      </c>
      <c r="K701" s="8">
        <f t="shared" ca="1" si="149"/>
        <v>7.4200000000000728</v>
      </c>
      <c r="L701" s="8">
        <f t="shared" ca="1" si="150"/>
        <v>4966.8000000000029</v>
      </c>
      <c r="M701" s="9">
        <f ca="1">AVERAGE(E701:OFFSET(E701,-M$5+1,0))</f>
        <v>9525.1890000000021</v>
      </c>
      <c r="N701" s="9">
        <f ca="1">AVERAGE(E701:OFFSET(E701,-N$5+1,0))</f>
        <v>9533.6769999999997</v>
      </c>
      <c r="O701" s="9">
        <f t="shared" ca="1" si="151"/>
        <v>0</v>
      </c>
      <c r="P701" s="14">
        <f t="shared" si="142"/>
        <v>7.9814902516140832E-2</v>
      </c>
      <c r="Q701" s="15">
        <f ca="1">STDEV(P701:OFFSET(P701,-$Q$5+1,0))</f>
        <v>1.4628422523445304</v>
      </c>
      <c r="R701" s="15">
        <f ca="1">STDEV(P701:OFFSET(P701,-$R$5+1,0))</f>
        <v>1.1812249502636905</v>
      </c>
      <c r="S701" s="18">
        <f t="shared" si="143"/>
        <v>137.21000000000095</v>
      </c>
      <c r="T701" s="18">
        <f t="shared" si="144"/>
        <v>144.63000000000102</v>
      </c>
      <c r="U701" s="18">
        <f t="shared" si="152"/>
        <v>168.10900702596084</v>
      </c>
      <c r="V701" s="33">
        <f ca="1">AVERAGE(E701:OFFSET(E701,-V$5+1,0))</f>
        <v>9512.0892857142862</v>
      </c>
      <c r="W701" s="33">
        <f t="shared" ca="1" si="145"/>
        <v>9764.2527962532276</v>
      </c>
      <c r="X701" s="33">
        <f t="shared" ca="1" si="146"/>
        <v>9259.9257751753448</v>
      </c>
      <c r="Y701" s="32">
        <f t="shared" ca="1" si="153"/>
        <v>0</v>
      </c>
    </row>
    <row r="702" spans="1:25">
      <c r="A702" s="5">
        <v>39394</v>
      </c>
      <c r="B702" s="4">
        <v>9096.0300000000007</v>
      </c>
      <c r="C702" s="4">
        <v>9105.6299999999992</v>
      </c>
      <c r="D702" s="4">
        <v>8890.1</v>
      </c>
      <c r="E702" s="4">
        <v>8937.58</v>
      </c>
      <c r="F702" s="4">
        <v>5887000</v>
      </c>
      <c r="G702" s="8">
        <f t="shared" si="141"/>
        <v>-204.18999999999869</v>
      </c>
      <c r="H702" s="8">
        <f t="shared" si="140"/>
        <v>-158.45000000000073</v>
      </c>
      <c r="I702" s="20">
        <f t="shared" ca="1" si="147"/>
        <v>-1</v>
      </c>
      <c r="J702" s="8">
        <f t="shared" ca="1" si="148"/>
        <v>1</v>
      </c>
      <c r="K702" s="8">
        <f t="shared" ca="1" si="149"/>
        <v>-362.63999999999942</v>
      </c>
      <c r="L702" s="8">
        <f t="shared" ca="1" si="150"/>
        <v>4604.1600000000035</v>
      </c>
      <c r="M702" s="9">
        <f ca="1">AVERAGE(E702:OFFSET(E702,-M$5+1,0))</f>
        <v>9462.121000000001</v>
      </c>
      <c r="N702" s="9">
        <f ca="1">AVERAGE(E702:OFFSET(E702,-N$5+1,0))</f>
        <v>9495.6724999999988</v>
      </c>
      <c r="O702" s="9">
        <f t="shared" ca="1" si="151"/>
        <v>0</v>
      </c>
      <c r="P702" s="14">
        <f t="shared" si="142"/>
        <v>-3.977319676437526</v>
      </c>
      <c r="Q702" s="15">
        <f ca="1">STDEV(P702:OFFSET(P702,-$Q$5+1,0))</f>
        <v>1.7923483747406279</v>
      </c>
      <c r="R702" s="15">
        <f ca="1">STDEV(P702:OFFSET(P702,-$R$5+1,0))</f>
        <v>1.3440679238231634</v>
      </c>
      <c r="S702" s="18">
        <f t="shared" si="143"/>
        <v>215.52999999999884</v>
      </c>
      <c r="T702" s="18">
        <f t="shared" si="144"/>
        <v>410.11999999999898</v>
      </c>
      <c r="U702" s="18">
        <f t="shared" si="152"/>
        <v>200.37713942249925</v>
      </c>
      <c r="V702" s="33">
        <f ca="1">AVERAGE(E702:OFFSET(E702,-V$5+1,0))</f>
        <v>9463.9364285714273</v>
      </c>
      <c r="W702" s="33">
        <f t="shared" ca="1" si="145"/>
        <v>9764.5021377051762</v>
      </c>
      <c r="X702" s="33">
        <f t="shared" ca="1" si="146"/>
        <v>9163.3707194376784</v>
      </c>
      <c r="Y702" s="32">
        <f t="shared" ca="1" si="153"/>
        <v>-1</v>
      </c>
    </row>
    <row r="703" spans="1:25">
      <c r="A703" s="5">
        <v>39395</v>
      </c>
      <c r="B703" s="4">
        <v>8962.24</v>
      </c>
      <c r="C703" s="4">
        <v>9016.73</v>
      </c>
      <c r="D703" s="4">
        <v>8853.81</v>
      </c>
      <c r="E703" s="4">
        <v>8970.92</v>
      </c>
      <c r="F703" s="4">
        <v>5196200</v>
      </c>
      <c r="G703" s="8">
        <f t="shared" si="141"/>
        <v>24.659999999999854</v>
      </c>
      <c r="H703" s="8">
        <f t="shared" si="140"/>
        <v>8.680000000000291</v>
      </c>
      <c r="I703" s="20">
        <f t="shared" ca="1" si="147"/>
        <v>0</v>
      </c>
      <c r="J703" s="8">
        <f t="shared" ca="1" si="148"/>
        <v>0</v>
      </c>
      <c r="K703" s="8">
        <f t="shared" ca="1" si="149"/>
        <v>24.659999999999854</v>
      </c>
      <c r="L703" s="8">
        <f t="shared" ca="1" si="150"/>
        <v>4628.8200000000033</v>
      </c>
      <c r="M703" s="9">
        <f ca="1">AVERAGE(E703:OFFSET(E703,-M$5+1,0))</f>
        <v>9396.0619999999999</v>
      </c>
      <c r="N703" s="9">
        <f ca="1">AVERAGE(E703:OFFSET(E703,-N$5+1,0))</f>
        <v>9469.3949999999986</v>
      </c>
      <c r="O703" s="9">
        <f t="shared" ca="1" si="151"/>
        <v>0</v>
      </c>
      <c r="P703" s="14">
        <f t="shared" si="142"/>
        <v>0.37233758849141152</v>
      </c>
      <c r="Q703" s="15">
        <f ca="1">STDEV(P703:OFFSET(P703,-$Q$5+1,0))</f>
        <v>1.7706932759012843</v>
      </c>
      <c r="R703" s="15">
        <f ca="1">STDEV(P703:OFFSET(P703,-$R$5+1,0))</f>
        <v>1.3378656593529925</v>
      </c>
      <c r="S703" s="18">
        <f t="shared" si="143"/>
        <v>162.92000000000007</v>
      </c>
      <c r="T703" s="18">
        <f t="shared" si="144"/>
        <v>162.92000000000007</v>
      </c>
      <c r="U703" s="18">
        <f t="shared" si="152"/>
        <v>195.38285416616603</v>
      </c>
      <c r="V703" s="33">
        <f ca="1">AVERAGE(E703:OFFSET(E703,-V$5+1,0))</f>
        <v>9436.1000000000022</v>
      </c>
      <c r="W703" s="33">
        <f t="shared" ca="1" si="145"/>
        <v>9729.1742812492521</v>
      </c>
      <c r="X703" s="33">
        <f t="shared" ca="1" si="146"/>
        <v>9143.0257187507523</v>
      </c>
      <c r="Y703" s="32">
        <f t="shared" ca="1" si="153"/>
        <v>0</v>
      </c>
    </row>
    <row r="704" spans="1:25">
      <c r="A704" s="5">
        <v>39398</v>
      </c>
      <c r="B704" s="4">
        <v>8755.3700000000008</v>
      </c>
      <c r="C704" s="4">
        <v>8765.51</v>
      </c>
      <c r="D704" s="4">
        <v>8626.58</v>
      </c>
      <c r="E704" s="4">
        <v>8670.61</v>
      </c>
      <c r="F704" s="4">
        <v>4941200</v>
      </c>
      <c r="G704" s="8">
        <f t="shared" si="141"/>
        <v>-215.54999999999927</v>
      </c>
      <c r="H704" s="8">
        <f t="shared" si="140"/>
        <v>-84.760000000000218</v>
      </c>
      <c r="I704" s="20">
        <f t="shared" ca="1" si="147"/>
        <v>0</v>
      </c>
      <c r="J704" s="8">
        <f t="shared" ca="1" si="148"/>
        <v>0</v>
      </c>
      <c r="K704" s="8">
        <f t="shared" ca="1" si="149"/>
        <v>0</v>
      </c>
      <c r="L704" s="8">
        <f t="shared" ca="1" si="150"/>
        <v>4628.8200000000033</v>
      </c>
      <c r="M704" s="9">
        <f ca="1">AVERAGE(E704:OFFSET(E704,-M$5+1,0))</f>
        <v>9282.1350000000002</v>
      </c>
      <c r="N704" s="9">
        <f ca="1">AVERAGE(E704:OFFSET(E704,-N$5+1,0))</f>
        <v>9427.0030000000006</v>
      </c>
      <c r="O704" s="9">
        <f t="shared" ca="1" si="151"/>
        <v>0</v>
      </c>
      <c r="P704" s="14">
        <f t="shared" si="142"/>
        <v>-3.4049089041670388</v>
      </c>
      <c r="Q704" s="15">
        <f ca="1">STDEV(P704:OFFSET(P704,-$Q$5+1,0))</f>
        <v>1.7079095143651595</v>
      </c>
      <c r="R704" s="15">
        <f ca="1">STDEV(P704:OFFSET(P704,-$R$5+1,0))</f>
        <v>1.436827885209452</v>
      </c>
      <c r="S704" s="18">
        <f t="shared" si="143"/>
        <v>138.93000000000029</v>
      </c>
      <c r="T704" s="18">
        <f t="shared" si="144"/>
        <v>344.34000000000015</v>
      </c>
      <c r="U704" s="18">
        <f t="shared" si="152"/>
        <v>215.2438069440106</v>
      </c>
      <c r="V704" s="33">
        <f ca="1">AVERAGE(E704:OFFSET(E704,-V$5+1,0))</f>
        <v>9376.687142857143</v>
      </c>
      <c r="W704" s="33">
        <f t="shared" ca="1" si="145"/>
        <v>9699.5528532731587</v>
      </c>
      <c r="X704" s="33">
        <f t="shared" ca="1" si="146"/>
        <v>9053.8214324411274</v>
      </c>
      <c r="Y704" s="32">
        <f t="shared" ca="1" si="153"/>
        <v>0</v>
      </c>
    </row>
    <row r="705" spans="1:25">
      <c r="A705" s="5">
        <v>39399</v>
      </c>
      <c r="B705" s="4">
        <v>8673.2000000000007</v>
      </c>
      <c r="C705" s="4">
        <v>8742.41</v>
      </c>
      <c r="D705" s="4">
        <v>8599.39</v>
      </c>
      <c r="E705" s="4">
        <v>8727.2099999999991</v>
      </c>
      <c r="F705" s="4">
        <v>4718400</v>
      </c>
      <c r="G705" s="8">
        <f t="shared" si="141"/>
        <v>2.5900000000001455</v>
      </c>
      <c r="H705" s="8">
        <f t="shared" si="140"/>
        <v>54.009999999998399</v>
      </c>
      <c r="I705" s="20">
        <f t="shared" ca="1" si="147"/>
        <v>0</v>
      </c>
      <c r="J705" s="8">
        <f t="shared" ca="1" si="148"/>
        <v>0</v>
      </c>
      <c r="K705" s="8">
        <f t="shared" ca="1" si="149"/>
        <v>0</v>
      </c>
      <c r="L705" s="8">
        <f t="shared" ca="1" si="150"/>
        <v>4628.8200000000033</v>
      </c>
      <c r="M705" s="9">
        <f ca="1">AVERAGE(E705:OFFSET(E705,-M$5+1,0))</f>
        <v>9179.0630000000001</v>
      </c>
      <c r="N705" s="9">
        <f ca="1">AVERAGE(E705:OFFSET(E705,-N$5+1,0))</f>
        <v>9383.739999999998</v>
      </c>
      <c r="O705" s="9">
        <f t="shared" ca="1" si="151"/>
        <v>0</v>
      </c>
      <c r="P705" s="14">
        <f t="shared" si="142"/>
        <v>0.65065852713748151</v>
      </c>
      <c r="Q705" s="15">
        <f ca="1">STDEV(P705:OFFSET(P705,-$Q$5+1,0))</f>
        <v>1.8003661725038433</v>
      </c>
      <c r="R705" s="15">
        <f ca="1">STDEV(P705:OFFSET(P705,-$R$5+1,0))</f>
        <v>1.4411123611668946</v>
      </c>
      <c r="S705" s="18">
        <f t="shared" si="143"/>
        <v>143.02000000000044</v>
      </c>
      <c r="T705" s="18">
        <f t="shared" si="144"/>
        <v>143.02000000000044</v>
      </c>
      <c r="U705" s="18">
        <f t="shared" si="152"/>
        <v>205.61396601814258</v>
      </c>
      <c r="V705" s="33">
        <f ca="1">AVERAGE(E705:OFFSET(E705,-V$5+1,0))</f>
        <v>9325.5864285714306</v>
      </c>
      <c r="W705" s="33">
        <f t="shared" ca="1" si="145"/>
        <v>9634.0073775986439</v>
      </c>
      <c r="X705" s="33">
        <f t="shared" ca="1" si="146"/>
        <v>9017.1654795442173</v>
      </c>
      <c r="Y705" s="32">
        <f t="shared" ca="1" si="153"/>
        <v>0</v>
      </c>
    </row>
    <row r="706" spans="1:25">
      <c r="A706" s="5">
        <v>39400</v>
      </c>
      <c r="B706" s="4">
        <v>8965.66</v>
      </c>
      <c r="C706" s="4">
        <v>8993.89</v>
      </c>
      <c r="D706" s="4">
        <v>8940.9599999999991</v>
      </c>
      <c r="E706" s="4">
        <v>8942.93</v>
      </c>
      <c r="F706" s="4">
        <v>4834800</v>
      </c>
      <c r="G706" s="8">
        <f t="shared" si="141"/>
        <v>238.45000000000073</v>
      </c>
      <c r="H706" s="8">
        <f t="shared" si="140"/>
        <v>-22.729999999999563</v>
      </c>
      <c r="I706" s="20">
        <f t="shared" ca="1" si="147"/>
        <v>0</v>
      </c>
      <c r="J706" s="8">
        <f t="shared" ca="1" si="148"/>
        <v>0</v>
      </c>
      <c r="K706" s="8">
        <f t="shared" ca="1" si="149"/>
        <v>0</v>
      </c>
      <c r="L706" s="8">
        <f t="shared" ca="1" si="150"/>
        <v>4628.8200000000033</v>
      </c>
      <c r="M706" s="9">
        <f ca="1">AVERAGE(E706:OFFSET(E706,-M$5+1,0))</f>
        <v>9102.219000000001</v>
      </c>
      <c r="N706" s="9">
        <f ca="1">AVERAGE(E706:OFFSET(E706,-N$5+1,0))</f>
        <v>9352.7784999999985</v>
      </c>
      <c r="O706" s="9">
        <f t="shared" ca="1" si="151"/>
        <v>0</v>
      </c>
      <c r="P706" s="14">
        <f t="shared" si="142"/>
        <v>2.4417544838773964</v>
      </c>
      <c r="Q706" s="15">
        <f ca="1">STDEV(P706:OFFSET(P706,-$Q$5+1,0))</f>
        <v>2.1232093611730036</v>
      </c>
      <c r="R706" s="15">
        <f ca="1">STDEV(P706:OFFSET(P706,-$R$5+1,0))</f>
        <v>1.4867258110671557</v>
      </c>
      <c r="S706" s="18">
        <f t="shared" si="143"/>
        <v>52.930000000000291</v>
      </c>
      <c r="T706" s="18">
        <f t="shared" si="144"/>
        <v>266.68000000000029</v>
      </c>
      <c r="U706" s="18">
        <f t="shared" si="152"/>
        <v>213.75610388239028</v>
      </c>
      <c r="V706" s="33">
        <f ca="1">AVERAGE(E706:OFFSET(E706,-V$5+1,0))</f>
        <v>9280.92</v>
      </c>
      <c r="W706" s="33">
        <f t="shared" ca="1" si="145"/>
        <v>9601.5541558235855</v>
      </c>
      <c r="X706" s="33">
        <f t="shared" ca="1" si="146"/>
        <v>8960.2858441764147</v>
      </c>
      <c r="Y706" s="32">
        <f t="shared" ca="1" si="153"/>
        <v>0</v>
      </c>
    </row>
    <row r="707" spans="1:25">
      <c r="A707" s="5">
        <v>39401</v>
      </c>
      <c r="B707" s="4">
        <v>8920.0300000000007</v>
      </c>
      <c r="C707" s="4">
        <v>8962.2099999999991</v>
      </c>
      <c r="D707" s="4">
        <v>8897.89</v>
      </c>
      <c r="E707" s="4">
        <v>8905.41</v>
      </c>
      <c r="F707" s="4">
        <v>3789200</v>
      </c>
      <c r="G707" s="8">
        <f t="shared" si="141"/>
        <v>-22.899999999999636</v>
      </c>
      <c r="H707" s="8">
        <f t="shared" si="140"/>
        <v>-14.6200000000008</v>
      </c>
      <c r="I707" s="20">
        <f t="shared" ca="1" si="147"/>
        <v>0</v>
      </c>
      <c r="J707" s="8">
        <f t="shared" ca="1" si="148"/>
        <v>0</v>
      </c>
      <c r="K707" s="8">
        <f t="shared" ca="1" si="149"/>
        <v>0</v>
      </c>
      <c r="L707" s="8">
        <f t="shared" ca="1" si="150"/>
        <v>4628.8200000000033</v>
      </c>
      <c r="M707" s="9">
        <f ca="1">AVERAGE(E707:OFFSET(E707,-M$5+1,0))</f>
        <v>9032.9369999999999</v>
      </c>
      <c r="N707" s="9">
        <f ca="1">AVERAGE(E707:OFFSET(E707,-N$5+1,0))</f>
        <v>9316.195499999998</v>
      </c>
      <c r="O707" s="9">
        <f t="shared" ca="1" si="151"/>
        <v>0</v>
      </c>
      <c r="P707" s="14">
        <f t="shared" si="142"/>
        <v>-0.42043187509729324</v>
      </c>
      <c r="Q707" s="15">
        <f ca="1">STDEV(P707:OFFSET(P707,-$Q$5+1,0))</f>
        <v>2.1228404865493635</v>
      </c>
      <c r="R707" s="15">
        <f ca="1">STDEV(P707:OFFSET(P707,-$R$5+1,0))</f>
        <v>1.4761777688240356</v>
      </c>
      <c r="S707" s="18">
        <f t="shared" si="143"/>
        <v>64.319999999999709</v>
      </c>
      <c r="T707" s="18">
        <f t="shared" si="144"/>
        <v>64.319999999999709</v>
      </c>
      <c r="U707" s="18">
        <f t="shared" si="152"/>
        <v>193.83129003140488</v>
      </c>
      <c r="V707" s="33">
        <f ca="1">AVERAGE(E707:OFFSET(E707,-V$5+1,0))</f>
        <v>9229.0557142857142</v>
      </c>
      <c r="W707" s="33">
        <f t="shared" ca="1" si="145"/>
        <v>9519.8026493328216</v>
      </c>
      <c r="X707" s="33">
        <f t="shared" ca="1" si="146"/>
        <v>8938.3087792386068</v>
      </c>
      <c r="Y707" s="32">
        <f t="shared" ca="1" si="153"/>
        <v>0</v>
      </c>
    </row>
    <row r="708" spans="1:25">
      <c r="A708" s="5">
        <v>39402</v>
      </c>
      <c r="B708" s="4">
        <v>8767.2099999999991</v>
      </c>
      <c r="C708" s="4">
        <v>8790.57</v>
      </c>
      <c r="D708" s="4">
        <v>8678.5499999999993</v>
      </c>
      <c r="E708" s="4">
        <v>8764.82</v>
      </c>
      <c r="F708" s="4">
        <v>4065000</v>
      </c>
      <c r="G708" s="8">
        <f t="shared" si="141"/>
        <v>-138.20000000000073</v>
      </c>
      <c r="H708" s="8">
        <f t="shared" ref="H708:H771" si="154">E708-B708</f>
        <v>-2.3899999999994179</v>
      </c>
      <c r="I708" s="20">
        <f t="shared" ca="1" si="147"/>
        <v>0</v>
      </c>
      <c r="J708" s="8">
        <f t="shared" ca="1" si="148"/>
        <v>0</v>
      </c>
      <c r="K708" s="8">
        <f t="shared" ca="1" si="149"/>
        <v>0</v>
      </c>
      <c r="L708" s="8">
        <f t="shared" ca="1" si="150"/>
        <v>4628.8200000000033</v>
      </c>
      <c r="M708" s="9">
        <f ca="1">AVERAGE(E708:OFFSET(E708,-M$5+1,0))</f>
        <v>8982.11</v>
      </c>
      <c r="N708" s="9">
        <f ca="1">AVERAGE(E708:OFFSET(E708,-N$5+1,0))</f>
        <v>9273.8505000000005</v>
      </c>
      <c r="O708" s="9">
        <f t="shared" ca="1" si="151"/>
        <v>0</v>
      </c>
      <c r="P708" s="14">
        <f t="shared" si="142"/>
        <v>-1.5912975292726541</v>
      </c>
      <c r="Q708" s="15">
        <f ca="1">STDEV(P708:OFFSET(P708,-$Q$5+1,0))</f>
        <v>1.9336000074883706</v>
      </c>
      <c r="R708" s="15">
        <f ca="1">STDEV(P708:OFFSET(P708,-$R$5+1,0))</f>
        <v>1.4793426544897734</v>
      </c>
      <c r="S708" s="18">
        <f t="shared" si="143"/>
        <v>112.02000000000044</v>
      </c>
      <c r="T708" s="18">
        <f t="shared" si="144"/>
        <v>226.86000000000058</v>
      </c>
      <c r="U708" s="18">
        <f t="shared" si="152"/>
        <v>198.23511802721765</v>
      </c>
      <c r="V708" s="33">
        <f ca="1">AVERAGE(E708:OFFSET(E708,-V$5+1,0))</f>
        <v>9154.408571428572</v>
      </c>
      <c r="W708" s="33">
        <f t="shared" ca="1" si="145"/>
        <v>9451.7612484693982</v>
      </c>
      <c r="X708" s="33">
        <f t="shared" ca="1" si="146"/>
        <v>8857.0558943877459</v>
      </c>
      <c r="Y708" s="32">
        <f t="shared" ca="1" si="153"/>
        <v>0</v>
      </c>
    </row>
    <row r="709" spans="1:25">
      <c r="A709" s="5">
        <v>39405</v>
      </c>
      <c r="B709" s="4">
        <v>8818.42</v>
      </c>
      <c r="C709" s="4">
        <v>8838.2800000000007</v>
      </c>
      <c r="D709" s="4">
        <v>8680.7099999999991</v>
      </c>
      <c r="E709" s="4">
        <v>8680.7099999999991</v>
      </c>
      <c r="F709" s="4">
        <v>3681800</v>
      </c>
      <c r="G709" s="8">
        <f t="shared" ref="G709:G772" si="155">B709-E708</f>
        <v>53.600000000000364</v>
      </c>
      <c r="H709" s="8">
        <f t="shared" si="154"/>
        <v>-137.71000000000095</v>
      </c>
      <c r="I709" s="20">
        <f t="shared" ca="1" si="147"/>
        <v>0</v>
      </c>
      <c r="J709" s="8">
        <f t="shared" ca="1" si="148"/>
        <v>0</v>
      </c>
      <c r="K709" s="8">
        <f t="shared" ca="1" si="149"/>
        <v>0</v>
      </c>
      <c r="L709" s="8">
        <f t="shared" ca="1" si="150"/>
        <v>4628.8200000000033</v>
      </c>
      <c r="M709" s="9">
        <f ca="1">AVERAGE(E709:OFFSET(E709,-M$5+1,0))</f>
        <v>8919.3209999999999</v>
      </c>
      <c r="N709" s="9">
        <f ca="1">AVERAGE(E709:OFFSET(E709,-N$5+1,0))</f>
        <v>9239.8544999999995</v>
      </c>
      <c r="O709" s="9">
        <f t="shared" ca="1" si="151"/>
        <v>0</v>
      </c>
      <c r="P709" s="14">
        <f t="shared" ref="P709:P772" si="156">100*LN(E709/E708)</f>
        <v>-0.96426593766397151</v>
      </c>
      <c r="Q709" s="15">
        <f ca="1">STDEV(P709:OFFSET(P709,-$Q$5+1,0))</f>
        <v>1.9071118895502228</v>
      </c>
      <c r="R709" s="15">
        <f ca="1">STDEV(P709:OFFSET(P709,-$R$5+1,0))</f>
        <v>1.4854432392263024</v>
      </c>
      <c r="S709" s="18">
        <f t="shared" si="143"/>
        <v>157.57000000000153</v>
      </c>
      <c r="T709" s="18">
        <f t="shared" si="144"/>
        <v>157.57000000000153</v>
      </c>
      <c r="U709" s="18">
        <f t="shared" si="152"/>
        <v>192.8131022902555</v>
      </c>
      <c r="V709" s="33">
        <f ca="1">AVERAGE(E709:OFFSET(E709,-V$5+1,0))</f>
        <v>9077.4642857142862</v>
      </c>
      <c r="W709" s="33">
        <f t="shared" ca="1" si="145"/>
        <v>9366.6839391496687</v>
      </c>
      <c r="X709" s="33">
        <f t="shared" ca="1" si="146"/>
        <v>8788.2446322789037</v>
      </c>
      <c r="Y709" s="32">
        <f t="shared" ca="1" si="153"/>
        <v>0</v>
      </c>
    </row>
    <row r="710" spans="1:25">
      <c r="A710" s="5">
        <v>39406</v>
      </c>
      <c r="B710" s="4">
        <v>8483.61</v>
      </c>
      <c r="C710" s="4">
        <v>8680.86</v>
      </c>
      <c r="D710" s="4">
        <v>8372.0499999999993</v>
      </c>
      <c r="E710" s="4">
        <v>8680.86</v>
      </c>
      <c r="F710" s="4">
        <v>4796600</v>
      </c>
      <c r="G710" s="8">
        <f t="shared" si="155"/>
        <v>-197.09999999999854</v>
      </c>
      <c r="H710" s="8">
        <f t="shared" si="154"/>
        <v>197.25</v>
      </c>
      <c r="I710" s="20">
        <f t="shared" ca="1" si="147"/>
        <v>0</v>
      </c>
      <c r="J710" s="8">
        <f t="shared" ca="1" si="148"/>
        <v>0</v>
      </c>
      <c r="K710" s="8">
        <f t="shared" ca="1" si="149"/>
        <v>0</v>
      </c>
      <c r="L710" s="8">
        <f t="shared" ca="1" si="150"/>
        <v>4628.8200000000033</v>
      </c>
      <c r="M710" s="9">
        <f ca="1">AVERAGE(E710:OFFSET(E710,-M$5+1,0))</f>
        <v>8858.1270000000004</v>
      </c>
      <c r="N710" s="9">
        <f ca="1">AVERAGE(E710:OFFSET(E710,-N$5+1,0))</f>
        <v>9198.7780000000002</v>
      </c>
      <c r="O710" s="9">
        <f t="shared" ca="1" si="151"/>
        <v>0</v>
      </c>
      <c r="P710" s="14">
        <f t="shared" si="156"/>
        <v>1.7279543267767329E-3</v>
      </c>
      <c r="Q710" s="15">
        <f ca="1">STDEV(P710:OFFSET(P710,-$Q$5+1,0))</f>
        <v>1.9131581376256337</v>
      </c>
      <c r="R710" s="15">
        <f ca="1">STDEV(P710:OFFSET(P710,-$R$5+1,0))</f>
        <v>1.4811371144309722</v>
      </c>
      <c r="S710" s="18">
        <f t="shared" si="143"/>
        <v>308.81000000000131</v>
      </c>
      <c r="T710" s="18">
        <f t="shared" si="144"/>
        <v>308.81000000000131</v>
      </c>
      <c r="U710" s="18">
        <f t="shared" si="152"/>
        <v>208.2793553182216</v>
      </c>
      <c r="V710" s="33">
        <f ca="1">AVERAGE(E710:OFFSET(E710,-V$5+1,0))</f>
        <v>9003.8564285714292</v>
      </c>
      <c r="W710" s="33">
        <f t="shared" ca="1" si="145"/>
        <v>9316.2754615487611</v>
      </c>
      <c r="X710" s="33">
        <f t="shared" ca="1" si="146"/>
        <v>8691.4373955940973</v>
      </c>
      <c r="Y710" s="32">
        <f t="shared" ca="1" si="153"/>
        <v>0</v>
      </c>
    </row>
    <row r="711" spans="1:25">
      <c r="A711" s="5">
        <v>39407</v>
      </c>
      <c r="B711" s="4">
        <v>8676.9599999999991</v>
      </c>
      <c r="C711" s="4">
        <v>8704.08</v>
      </c>
      <c r="D711" s="4">
        <v>8484.11</v>
      </c>
      <c r="E711" s="4">
        <v>8484.11</v>
      </c>
      <c r="F711" s="4">
        <v>4278200</v>
      </c>
      <c r="G711" s="8">
        <f t="shared" si="155"/>
        <v>-3.9000000000014552</v>
      </c>
      <c r="H711" s="8">
        <f t="shared" si="154"/>
        <v>-192.84999999999854</v>
      </c>
      <c r="I711" s="20">
        <f t="shared" ca="1" si="147"/>
        <v>0</v>
      </c>
      <c r="J711" s="8">
        <f t="shared" ca="1" si="148"/>
        <v>0</v>
      </c>
      <c r="K711" s="8">
        <f t="shared" ca="1" si="149"/>
        <v>0</v>
      </c>
      <c r="L711" s="8">
        <f t="shared" ca="1" si="150"/>
        <v>4628.8200000000033</v>
      </c>
      <c r="M711" s="9">
        <f ca="1">AVERAGE(E711:OFFSET(E711,-M$5+1,0))</f>
        <v>8776.5159999999996</v>
      </c>
      <c r="N711" s="9">
        <f ca="1">AVERAGE(E711:OFFSET(E711,-N$5+1,0))</f>
        <v>9150.8524999999991</v>
      </c>
      <c r="O711" s="9">
        <f t="shared" ca="1" si="151"/>
        <v>0</v>
      </c>
      <c r="P711" s="14">
        <f t="shared" si="156"/>
        <v>-2.2925599904681846</v>
      </c>
      <c r="Q711" s="15">
        <f ca="1">STDEV(P711:OFFSET(P711,-$Q$5+1,0))</f>
        <v>1.954940198057171</v>
      </c>
      <c r="R711" s="15">
        <f ca="1">STDEV(P711:OFFSET(P711,-$R$5+1,0))</f>
        <v>1.5023921241724618</v>
      </c>
      <c r="S711" s="18">
        <f t="shared" si="143"/>
        <v>219.96999999999935</v>
      </c>
      <c r="T711" s="18">
        <f t="shared" si="144"/>
        <v>219.96999999999935</v>
      </c>
      <c r="U711" s="18">
        <f t="shared" si="152"/>
        <v>209.83810794245863</v>
      </c>
      <c r="V711" s="33">
        <f ca="1">AVERAGE(E711:OFFSET(E711,-V$5+1,0))</f>
        <v>8924.2764285714275</v>
      </c>
      <c r="W711" s="33">
        <f t="shared" ca="1" si="145"/>
        <v>9239.0335904851163</v>
      </c>
      <c r="X711" s="33">
        <f t="shared" ca="1" si="146"/>
        <v>8609.5192666577386</v>
      </c>
      <c r="Y711" s="32">
        <f t="shared" ca="1" si="153"/>
        <v>0</v>
      </c>
    </row>
    <row r="712" spans="1:25">
      <c r="A712" s="5">
        <v>39408</v>
      </c>
      <c r="B712" s="4">
        <v>8431.0300000000007</v>
      </c>
      <c r="C712" s="4">
        <v>8573.74</v>
      </c>
      <c r="D712" s="4">
        <v>8390.85</v>
      </c>
      <c r="E712" s="4">
        <v>8499.3700000000008</v>
      </c>
      <c r="F712" s="4">
        <v>3930800</v>
      </c>
      <c r="G712" s="8">
        <f t="shared" si="155"/>
        <v>-53.079999999999927</v>
      </c>
      <c r="H712" s="8">
        <f t="shared" si="154"/>
        <v>68.340000000000146</v>
      </c>
      <c r="I712" s="20">
        <f t="shared" ca="1" si="147"/>
        <v>0</v>
      </c>
      <c r="J712" s="8">
        <f t="shared" ca="1" si="148"/>
        <v>0</v>
      </c>
      <c r="K712" s="8">
        <f t="shared" ca="1" si="149"/>
        <v>0</v>
      </c>
      <c r="L712" s="8">
        <f t="shared" ca="1" si="150"/>
        <v>4628.8200000000033</v>
      </c>
      <c r="M712" s="9">
        <f ca="1">AVERAGE(E712:OFFSET(E712,-M$5+1,0))</f>
        <v>8732.6949999999997</v>
      </c>
      <c r="N712" s="9">
        <f ca="1">AVERAGE(E712:OFFSET(E712,-N$5+1,0))</f>
        <v>9097.4079999999994</v>
      </c>
      <c r="O712" s="9">
        <f t="shared" ca="1" si="151"/>
        <v>0</v>
      </c>
      <c r="P712" s="14">
        <f t="shared" si="156"/>
        <v>0.17970409017073072</v>
      </c>
      <c r="Q712" s="15">
        <f ca="1">STDEV(P712:OFFSET(P712,-$Q$5+1,0))</f>
        <v>1.6504926141848371</v>
      </c>
      <c r="R712" s="15">
        <f ca="1">STDEV(P712:OFFSET(P712,-$R$5+1,0))</f>
        <v>1.4740306995652728</v>
      </c>
      <c r="S712" s="18">
        <f t="shared" si="143"/>
        <v>182.88999999999942</v>
      </c>
      <c r="T712" s="18">
        <f t="shared" si="144"/>
        <v>182.88999999999942</v>
      </c>
      <c r="U712" s="18">
        <f t="shared" si="152"/>
        <v>206.24502688346408</v>
      </c>
      <c r="V712" s="33">
        <f ca="1">AVERAGE(E712:OFFSET(E712,-V$5+1,0))</f>
        <v>8869.0107142857141</v>
      </c>
      <c r="W712" s="33">
        <f t="shared" ca="1" si="145"/>
        <v>9178.3782546109105</v>
      </c>
      <c r="X712" s="33">
        <f t="shared" ca="1" si="146"/>
        <v>8559.6431739605177</v>
      </c>
      <c r="Y712" s="32">
        <f t="shared" ca="1" si="153"/>
        <v>0</v>
      </c>
    </row>
    <row r="713" spans="1:25">
      <c r="A713" s="5">
        <v>39409</v>
      </c>
      <c r="B713" s="4">
        <v>8550.7000000000007</v>
      </c>
      <c r="C713" s="4">
        <v>8559.0499999999993</v>
      </c>
      <c r="D713" s="4">
        <v>8342.2000000000007</v>
      </c>
      <c r="E713" s="4">
        <v>8342.2000000000007</v>
      </c>
      <c r="F713" s="4">
        <v>3927200</v>
      </c>
      <c r="G713" s="8">
        <f t="shared" si="155"/>
        <v>51.329999999999927</v>
      </c>
      <c r="H713" s="8">
        <f t="shared" si="154"/>
        <v>-208.5</v>
      </c>
      <c r="I713" s="20">
        <f t="shared" ca="1" si="147"/>
        <v>0</v>
      </c>
      <c r="J713" s="8">
        <f t="shared" ca="1" si="148"/>
        <v>0</v>
      </c>
      <c r="K713" s="8">
        <f t="shared" ca="1" si="149"/>
        <v>0</v>
      </c>
      <c r="L713" s="8">
        <f t="shared" ca="1" si="150"/>
        <v>4628.8200000000033</v>
      </c>
      <c r="M713" s="9">
        <f ca="1">AVERAGE(E713:OFFSET(E713,-M$5+1,0))</f>
        <v>8669.8230000000003</v>
      </c>
      <c r="N713" s="9">
        <f ca="1">AVERAGE(E713:OFFSET(E713,-N$5+1,0))</f>
        <v>9032.9424999999992</v>
      </c>
      <c r="O713" s="9">
        <f t="shared" ca="1" si="151"/>
        <v>0</v>
      </c>
      <c r="P713" s="14">
        <f t="shared" si="156"/>
        <v>-1.866507254907577</v>
      </c>
      <c r="Q713" s="15">
        <f ca="1">STDEV(P713:OFFSET(P713,-$Q$5+1,0))</f>
        <v>1.6703307576922597</v>
      </c>
      <c r="R713" s="15">
        <f ca="1">STDEV(P713:OFFSET(P713,-$R$5+1,0))</f>
        <v>1.4640790180283307</v>
      </c>
      <c r="S713" s="18">
        <f t="shared" si="143"/>
        <v>216.84999999999854</v>
      </c>
      <c r="T713" s="18">
        <f t="shared" si="144"/>
        <v>216.84999999999854</v>
      </c>
      <c r="U713" s="18">
        <f t="shared" si="152"/>
        <v>207.659023299002</v>
      </c>
      <c r="V713" s="33">
        <f ca="1">AVERAGE(E713:OFFSET(E713,-V$5+1,0))</f>
        <v>8799.9821428571413</v>
      </c>
      <c r="W713" s="33">
        <f t="shared" ca="1" si="145"/>
        <v>9111.4706778056443</v>
      </c>
      <c r="X713" s="33">
        <f t="shared" ca="1" si="146"/>
        <v>8488.4936079086383</v>
      </c>
      <c r="Y713" s="32">
        <f t="shared" ca="1" si="153"/>
        <v>0</v>
      </c>
    </row>
    <row r="714" spans="1:25">
      <c r="A714" s="5">
        <v>39412</v>
      </c>
      <c r="B714" s="4">
        <v>8462.93</v>
      </c>
      <c r="C714" s="4">
        <v>8534.27</v>
      </c>
      <c r="D714" s="4">
        <v>8407.34</v>
      </c>
      <c r="E714" s="4">
        <v>8528.33</v>
      </c>
      <c r="F714" s="4">
        <v>3959000</v>
      </c>
      <c r="G714" s="8">
        <f t="shared" si="155"/>
        <v>120.72999999999956</v>
      </c>
      <c r="H714" s="8">
        <f t="shared" si="154"/>
        <v>65.399999999999636</v>
      </c>
      <c r="I714" s="20">
        <f t="shared" ca="1" si="147"/>
        <v>0</v>
      </c>
      <c r="J714" s="8">
        <f t="shared" ca="1" si="148"/>
        <v>0</v>
      </c>
      <c r="K714" s="8">
        <f t="shared" ca="1" si="149"/>
        <v>0</v>
      </c>
      <c r="L714" s="8">
        <f t="shared" ca="1" si="150"/>
        <v>4628.8200000000033</v>
      </c>
      <c r="M714" s="9">
        <f ca="1">AVERAGE(E714:OFFSET(E714,-M$5+1,0))</f>
        <v>8655.5949999999993</v>
      </c>
      <c r="N714" s="9">
        <f ca="1">AVERAGE(E714:OFFSET(E714,-N$5+1,0))</f>
        <v>8968.864999999998</v>
      </c>
      <c r="O714" s="9">
        <f t="shared" ca="1" si="151"/>
        <v>0</v>
      </c>
      <c r="P714" s="14">
        <f t="shared" si="156"/>
        <v>2.206659218156521</v>
      </c>
      <c r="Q714" s="15">
        <f ca="1">STDEV(P714:OFFSET(P714,-$Q$5+1,0))</f>
        <v>1.612171993766476</v>
      </c>
      <c r="R714" s="15">
        <f ca="1">STDEV(P714:OFFSET(P714,-$R$5+1,0))</f>
        <v>1.516464836086403</v>
      </c>
      <c r="S714" s="18">
        <f t="shared" si="143"/>
        <v>126.93000000000029</v>
      </c>
      <c r="T714" s="18">
        <f t="shared" si="144"/>
        <v>192.06999999999971</v>
      </c>
      <c r="U714" s="18">
        <f t="shared" si="152"/>
        <v>205.58048685913505</v>
      </c>
      <c r="V714" s="33">
        <f ca="1">AVERAGE(E714:OFFSET(E714,-V$5+1,0))</f>
        <v>8745.3771428571436</v>
      </c>
      <c r="W714" s="33">
        <f t="shared" ca="1" si="145"/>
        <v>9053.7478731458468</v>
      </c>
      <c r="X714" s="33">
        <f t="shared" ca="1" si="146"/>
        <v>8437.0064125684403</v>
      </c>
      <c r="Y714" s="32">
        <f t="shared" ca="1" si="153"/>
        <v>0</v>
      </c>
    </row>
    <row r="715" spans="1:25">
      <c r="A715" s="5">
        <v>39413</v>
      </c>
      <c r="B715" s="4">
        <v>8319.69</v>
      </c>
      <c r="C715" s="4">
        <v>8454.36</v>
      </c>
      <c r="D715" s="4">
        <v>8207.9699999999993</v>
      </c>
      <c r="E715" s="4">
        <v>8375.76</v>
      </c>
      <c r="F715" s="4">
        <v>4142800</v>
      </c>
      <c r="G715" s="8">
        <f t="shared" si="155"/>
        <v>-208.63999999999942</v>
      </c>
      <c r="H715" s="8">
        <f t="shared" si="154"/>
        <v>56.069999999999709</v>
      </c>
      <c r="I715" s="20">
        <f t="shared" ca="1" si="147"/>
        <v>0</v>
      </c>
      <c r="J715" s="8">
        <f t="shared" ca="1" si="148"/>
        <v>0</v>
      </c>
      <c r="K715" s="8">
        <f t="shared" ca="1" si="149"/>
        <v>0</v>
      </c>
      <c r="L715" s="8">
        <f t="shared" ca="1" si="150"/>
        <v>4628.8200000000033</v>
      </c>
      <c r="M715" s="9">
        <f ca="1">AVERAGE(E715:OFFSET(E715,-M$5+1,0))</f>
        <v>8620.4500000000007</v>
      </c>
      <c r="N715" s="9">
        <f ca="1">AVERAGE(E715:OFFSET(E715,-N$5+1,0))</f>
        <v>8899.7564999999995</v>
      </c>
      <c r="O715" s="9">
        <f t="shared" ca="1" si="151"/>
        <v>0</v>
      </c>
      <c r="P715" s="14">
        <f t="shared" si="156"/>
        <v>-1.8051742872259686</v>
      </c>
      <c r="Q715" s="15">
        <f ca="1">STDEV(P715:OFFSET(P715,-$Q$5+1,0))</f>
        <v>1.6603684104053171</v>
      </c>
      <c r="R715" s="15">
        <f ca="1">STDEV(P715:OFFSET(P715,-$R$5+1,0))</f>
        <v>1.5260922370738907</v>
      </c>
      <c r="S715" s="18">
        <f t="shared" si="143"/>
        <v>246.39000000000124</v>
      </c>
      <c r="T715" s="18">
        <f t="shared" si="144"/>
        <v>320.36000000000058</v>
      </c>
      <c r="U715" s="18">
        <f t="shared" si="152"/>
        <v>220.88442194458381</v>
      </c>
      <c r="V715" s="33">
        <f ca="1">AVERAGE(E715:OFFSET(E715,-V$5+1,0))</f>
        <v>8679.3442857142854</v>
      </c>
      <c r="W715" s="33">
        <f t="shared" ca="1" si="145"/>
        <v>9010.6709186311618</v>
      </c>
      <c r="X715" s="33">
        <f t="shared" ca="1" si="146"/>
        <v>8348.017652797409</v>
      </c>
      <c r="Y715" s="32">
        <f t="shared" ca="1" si="153"/>
        <v>0</v>
      </c>
    </row>
    <row r="716" spans="1:25">
      <c r="A716" s="5">
        <v>39414</v>
      </c>
      <c r="B716" s="4">
        <v>8429.09</v>
      </c>
      <c r="C716" s="4">
        <v>8440.1200000000008</v>
      </c>
      <c r="D716" s="4">
        <v>8276.26</v>
      </c>
      <c r="E716" s="4">
        <v>8276.26</v>
      </c>
      <c r="F716" s="4">
        <v>3672600</v>
      </c>
      <c r="G716" s="8">
        <f t="shared" si="155"/>
        <v>53.329999999999927</v>
      </c>
      <c r="H716" s="8">
        <f t="shared" si="154"/>
        <v>-152.82999999999993</v>
      </c>
      <c r="I716" s="20">
        <f t="shared" ca="1" si="147"/>
        <v>-1</v>
      </c>
      <c r="J716" s="8">
        <f t="shared" ca="1" si="148"/>
        <v>0</v>
      </c>
      <c r="K716" s="8">
        <f t="shared" ca="1" si="149"/>
        <v>0</v>
      </c>
      <c r="L716" s="8">
        <f t="shared" ca="1" si="150"/>
        <v>4628.8200000000033</v>
      </c>
      <c r="M716" s="9">
        <f ca="1">AVERAGE(E716:OFFSET(E716,-M$5+1,0))</f>
        <v>8553.7829999999994</v>
      </c>
      <c r="N716" s="9">
        <f ca="1">AVERAGE(E716:OFFSET(E716,-N$5+1,0))</f>
        <v>8828.0010000000002</v>
      </c>
      <c r="O716" s="9">
        <f t="shared" ca="1" si="151"/>
        <v>0</v>
      </c>
      <c r="P716" s="14">
        <f t="shared" si="156"/>
        <v>-1.1950644329709059</v>
      </c>
      <c r="Q716" s="15">
        <f ca="1">STDEV(P716:OFFSET(P716,-$Q$5+1,0))</f>
        <v>1.3318753920027402</v>
      </c>
      <c r="R716" s="15">
        <f ca="1">STDEV(P716:OFFSET(P716,-$R$5+1,0))</f>
        <v>1.506179260997826</v>
      </c>
      <c r="S716" s="18">
        <f t="shared" si="143"/>
        <v>163.86000000000058</v>
      </c>
      <c r="T716" s="18">
        <f t="shared" si="144"/>
        <v>163.86000000000058</v>
      </c>
      <c r="U716" s="18">
        <f t="shared" si="152"/>
        <v>213.28116568530604</v>
      </c>
      <c r="V716" s="33">
        <f ca="1">AVERAGE(E716:OFFSET(E716,-V$5+1,0))</f>
        <v>8632.1071428571413</v>
      </c>
      <c r="W716" s="33">
        <f t="shared" ca="1" si="145"/>
        <v>8952.0288913851</v>
      </c>
      <c r="X716" s="33">
        <f t="shared" ca="1" si="146"/>
        <v>8312.1853943291826</v>
      </c>
      <c r="Y716" s="32">
        <f t="shared" ca="1" si="153"/>
        <v>-1</v>
      </c>
    </row>
    <row r="717" spans="1:25">
      <c r="A717" s="5">
        <v>39415</v>
      </c>
      <c r="B717" s="4">
        <v>8454.57</v>
      </c>
      <c r="C717" s="4">
        <v>8481.4500000000007</v>
      </c>
      <c r="D717" s="4">
        <v>8376.09</v>
      </c>
      <c r="E717" s="4">
        <v>8447.0300000000007</v>
      </c>
      <c r="F717" s="4">
        <v>4048000</v>
      </c>
      <c r="G717" s="8">
        <f t="shared" si="155"/>
        <v>178.30999999999949</v>
      </c>
      <c r="H717" s="8">
        <f t="shared" si="154"/>
        <v>-7.5399999999990541</v>
      </c>
      <c r="I717" s="20">
        <f t="shared" ca="1" si="147"/>
        <v>0</v>
      </c>
      <c r="J717" s="8">
        <f t="shared" ca="1" si="148"/>
        <v>-1</v>
      </c>
      <c r="K717" s="8">
        <f t="shared" ca="1" si="149"/>
        <v>7.5399999999990541</v>
      </c>
      <c r="L717" s="8">
        <f t="shared" ca="1" si="150"/>
        <v>4636.3600000000024</v>
      </c>
      <c r="M717" s="9">
        <f ca="1">AVERAGE(E717:OFFSET(E717,-M$5+1,0))</f>
        <v>8507.9449999999997</v>
      </c>
      <c r="N717" s="9">
        <f ca="1">AVERAGE(E717:OFFSET(E717,-N$5+1,0))</f>
        <v>8770.4410000000007</v>
      </c>
      <c r="O717" s="9">
        <f t="shared" ca="1" si="151"/>
        <v>0</v>
      </c>
      <c r="P717" s="14">
        <f t="shared" si="156"/>
        <v>2.0423724762934476</v>
      </c>
      <c r="Q717" s="15">
        <f ca="1">STDEV(P717:OFFSET(P717,-$Q$5+1,0))</f>
        <v>1.6044723225122886</v>
      </c>
      <c r="R717" s="15">
        <f ca="1">STDEV(P717:OFFSET(P717,-$R$5+1,0))</f>
        <v>1.543514516165708</v>
      </c>
      <c r="S717" s="18">
        <f t="shared" si="143"/>
        <v>105.36000000000058</v>
      </c>
      <c r="T717" s="18">
        <f t="shared" si="144"/>
        <v>205.19000000000051</v>
      </c>
      <c r="U717" s="18">
        <f t="shared" si="152"/>
        <v>212.20234359393197</v>
      </c>
      <c r="V717" s="33">
        <f ca="1">AVERAGE(E717:OFFSET(E717,-V$5+1,0))</f>
        <v>8594.6864285714273</v>
      </c>
      <c r="W717" s="33">
        <f t="shared" ca="1" si="145"/>
        <v>8912.9899439623259</v>
      </c>
      <c r="X717" s="33">
        <f t="shared" ca="1" si="146"/>
        <v>8276.3829131805287</v>
      </c>
      <c r="Y717" s="32">
        <f t="shared" ca="1" si="153"/>
        <v>0</v>
      </c>
    </row>
    <row r="718" spans="1:25">
      <c r="A718" s="5">
        <v>39416</v>
      </c>
      <c r="B718" s="4">
        <v>8499.23</v>
      </c>
      <c r="C718" s="4">
        <v>8590.6299999999992</v>
      </c>
      <c r="D718" s="4">
        <v>8499.23</v>
      </c>
      <c r="E718" s="4">
        <v>8586.4</v>
      </c>
      <c r="F718" s="4">
        <v>4540600</v>
      </c>
      <c r="G718" s="8">
        <f t="shared" si="155"/>
        <v>52.199999999998909</v>
      </c>
      <c r="H718" s="8">
        <f t="shared" si="154"/>
        <v>87.170000000000073</v>
      </c>
      <c r="I718" s="20">
        <f t="shared" ca="1" si="147"/>
        <v>0</v>
      </c>
      <c r="J718" s="8">
        <f t="shared" ca="1" si="148"/>
        <v>-1</v>
      </c>
      <c r="K718" s="8">
        <f t="shared" ca="1" si="149"/>
        <v>-139.36999999999898</v>
      </c>
      <c r="L718" s="8">
        <f t="shared" ca="1" si="150"/>
        <v>4496.9900000000034</v>
      </c>
      <c r="M718" s="9">
        <f ca="1">AVERAGE(E718:OFFSET(E718,-M$5+1,0))</f>
        <v>8490.1029999999992</v>
      </c>
      <c r="N718" s="9">
        <f ca="1">AVERAGE(E718:OFFSET(E718,-N$5+1,0))</f>
        <v>8736.1064999999999</v>
      </c>
      <c r="O718" s="9">
        <f t="shared" ca="1" si="151"/>
        <v>0</v>
      </c>
      <c r="P718" s="14">
        <f t="shared" si="156"/>
        <v>1.6364655889358832</v>
      </c>
      <c r="Q718" s="15">
        <f ca="1">STDEV(P718:OFFSET(P718,-$Q$5+1,0))</f>
        <v>1.6893223883364552</v>
      </c>
      <c r="R718" s="15">
        <f ca="1">STDEV(P718:OFFSET(P718,-$R$5+1,0))</f>
        <v>1.573308578680819</v>
      </c>
      <c r="S718" s="18">
        <f t="shared" si="143"/>
        <v>91.399999999999636</v>
      </c>
      <c r="T718" s="18">
        <f t="shared" si="144"/>
        <v>143.59999999999854</v>
      </c>
      <c r="U718" s="18">
        <f t="shared" si="152"/>
        <v>203.05536444807419</v>
      </c>
      <c r="V718" s="33">
        <f ca="1">AVERAGE(E718:OFFSET(E718,-V$5+1,0))</f>
        <v>8588.6714285714279</v>
      </c>
      <c r="W718" s="33">
        <f t="shared" ca="1" si="145"/>
        <v>8893.2544752435388</v>
      </c>
      <c r="X718" s="33">
        <f t="shared" ca="1" si="146"/>
        <v>8284.088381899317</v>
      </c>
      <c r="Y718" s="32">
        <f t="shared" ca="1" si="153"/>
        <v>0</v>
      </c>
    </row>
    <row r="719" spans="1:25">
      <c r="A719" s="5">
        <v>39419</v>
      </c>
      <c r="B719" s="4">
        <v>8623.1200000000008</v>
      </c>
      <c r="C719" s="4">
        <v>8645.6200000000008</v>
      </c>
      <c r="D719" s="4">
        <v>8565.08</v>
      </c>
      <c r="E719" s="4">
        <v>8583.84</v>
      </c>
      <c r="F719" s="4">
        <v>3307600</v>
      </c>
      <c r="G719" s="8">
        <f t="shared" si="155"/>
        <v>36.720000000001164</v>
      </c>
      <c r="H719" s="8">
        <f t="shared" si="154"/>
        <v>-39.280000000000655</v>
      </c>
      <c r="I719" s="20">
        <f t="shared" ca="1" si="147"/>
        <v>0</v>
      </c>
      <c r="J719" s="8">
        <f t="shared" ca="1" si="148"/>
        <v>-1</v>
      </c>
      <c r="K719" s="8">
        <f t="shared" ca="1" si="149"/>
        <v>2.5599999999994907</v>
      </c>
      <c r="L719" s="8">
        <f t="shared" ca="1" si="150"/>
        <v>4499.5500000000029</v>
      </c>
      <c r="M719" s="9">
        <f ca="1">AVERAGE(E719:OFFSET(E719,-M$5+1,0))</f>
        <v>8480.4160000000011</v>
      </c>
      <c r="N719" s="9">
        <f ca="1">AVERAGE(E719:OFFSET(E719,-N$5+1,0))</f>
        <v>8699.8685000000005</v>
      </c>
      <c r="O719" s="9">
        <f t="shared" ca="1" si="151"/>
        <v>0</v>
      </c>
      <c r="P719" s="14">
        <f t="shared" si="156"/>
        <v>-2.9819035947882995E-2</v>
      </c>
      <c r="Q719" s="15">
        <f ca="1">STDEV(P719:OFFSET(P719,-$Q$5+1,0))</f>
        <v>1.6684129890161925</v>
      </c>
      <c r="R719" s="15">
        <f ca="1">STDEV(P719:OFFSET(P719,-$R$5+1,0))</f>
        <v>1.5735761407080135</v>
      </c>
      <c r="S719" s="18">
        <f t="shared" si="143"/>
        <v>80.540000000000873</v>
      </c>
      <c r="T719" s="18">
        <f t="shared" si="144"/>
        <v>80.540000000000873</v>
      </c>
      <c r="U719" s="18">
        <f t="shared" si="152"/>
        <v>186.71998252166441</v>
      </c>
      <c r="V719" s="33">
        <f ca="1">AVERAGE(E719:OFFSET(E719,-V$5+1,0))</f>
        <v>8578.4307142857124</v>
      </c>
      <c r="W719" s="33">
        <f t="shared" ca="1" si="145"/>
        <v>8858.5106880682088</v>
      </c>
      <c r="X719" s="33">
        <f t="shared" ca="1" si="146"/>
        <v>8298.350740503216</v>
      </c>
      <c r="Y719" s="32">
        <f t="shared" ca="1" si="153"/>
        <v>0</v>
      </c>
    </row>
    <row r="720" spans="1:25">
      <c r="A720" s="5">
        <v>39420</v>
      </c>
      <c r="B720" s="4">
        <v>8557.32</v>
      </c>
      <c r="C720" s="4">
        <v>8656.89</v>
      </c>
      <c r="D720" s="4">
        <v>8557</v>
      </c>
      <c r="E720" s="4">
        <v>8651.2800000000007</v>
      </c>
      <c r="F720" s="4">
        <v>3484000</v>
      </c>
      <c r="G720" s="8">
        <f t="shared" si="155"/>
        <v>-26.520000000000437</v>
      </c>
      <c r="H720" s="8">
        <f t="shared" si="154"/>
        <v>93.960000000000946</v>
      </c>
      <c r="I720" s="20">
        <f t="shared" ca="1" si="147"/>
        <v>0</v>
      </c>
      <c r="J720" s="8">
        <f t="shared" ca="1" si="148"/>
        <v>-1</v>
      </c>
      <c r="K720" s="8">
        <f t="shared" ca="1" si="149"/>
        <v>-67.440000000000509</v>
      </c>
      <c r="L720" s="8">
        <f t="shared" ca="1" si="150"/>
        <v>4432.1100000000024</v>
      </c>
      <c r="M720" s="9">
        <f ca="1">AVERAGE(E720:OFFSET(E720,-M$5+1,0))</f>
        <v>8477.4580000000005</v>
      </c>
      <c r="N720" s="9">
        <f ca="1">AVERAGE(E720:OFFSET(E720,-N$5+1,0))</f>
        <v>8667.7924999999996</v>
      </c>
      <c r="O720" s="9">
        <f t="shared" ca="1" si="151"/>
        <v>0</v>
      </c>
      <c r="P720" s="14">
        <f t="shared" si="156"/>
        <v>0.78259210492037412</v>
      </c>
      <c r="Q720" s="15">
        <f ca="1">STDEV(P720:OFFSET(P720,-$Q$5+1,0))</f>
        <v>1.6924389411684262</v>
      </c>
      <c r="R720" s="15">
        <f ca="1">STDEV(P720:OFFSET(P720,-$R$5+1,0))</f>
        <v>1.5686811998701307</v>
      </c>
      <c r="S720" s="18">
        <f t="shared" si="143"/>
        <v>99.889999999999418</v>
      </c>
      <c r="T720" s="18">
        <f t="shared" si="144"/>
        <v>99.889999999999418</v>
      </c>
      <c r="U720" s="18">
        <f t="shared" si="152"/>
        <v>175.14265151877575</v>
      </c>
      <c r="V720" s="33">
        <f ca="1">AVERAGE(E720:OFFSET(E720,-V$5+1,0))</f>
        <v>8557.5985714285707</v>
      </c>
      <c r="W720" s="33">
        <f t="shared" ca="1" si="145"/>
        <v>8820.3125487067337</v>
      </c>
      <c r="X720" s="33">
        <f t="shared" ca="1" si="146"/>
        <v>8294.8845941504078</v>
      </c>
      <c r="Y720" s="32">
        <f t="shared" ca="1" si="153"/>
        <v>0</v>
      </c>
    </row>
    <row r="721" spans="1:25">
      <c r="A721" s="5">
        <v>39421</v>
      </c>
      <c r="B721" s="4">
        <v>8626.52</v>
      </c>
      <c r="C721" s="4">
        <v>8705.8700000000008</v>
      </c>
      <c r="D721" s="4">
        <v>8601.1299999999992</v>
      </c>
      <c r="E721" s="4">
        <v>8676.9500000000007</v>
      </c>
      <c r="F721" s="4">
        <v>4147000</v>
      </c>
      <c r="G721" s="8">
        <f t="shared" si="155"/>
        <v>-24.760000000000218</v>
      </c>
      <c r="H721" s="8">
        <f t="shared" si="154"/>
        <v>50.430000000000291</v>
      </c>
      <c r="I721" s="20">
        <f t="shared" ca="1" si="147"/>
        <v>0</v>
      </c>
      <c r="J721" s="8">
        <f t="shared" ca="1" si="148"/>
        <v>-1</v>
      </c>
      <c r="K721" s="8">
        <f t="shared" ca="1" si="149"/>
        <v>-25.670000000000073</v>
      </c>
      <c r="L721" s="8">
        <f t="shared" ca="1" si="150"/>
        <v>4406.4400000000023</v>
      </c>
      <c r="M721" s="9">
        <f ca="1">AVERAGE(E721:OFFSET(E721,-M$5+1,0))</f>
        <v>8496.7420000000002</v>
      </c>
      <c r="N721" s="9">
        <f ca="1">AVERAGE(E721:OFFSET(E721,-N$5+1,0))</f>
        <v>8636.628999999999</v>
      </c>
      <c r="O721" s="9">
        <f t="shared" ca="1" si="151"/>
        <v>0</v>
      </c>
      <c r="P721" s="14">
        <f t="shared" si="156"/>
        <v>0.29627975595850059</v>
      </c>
      <c r="Q721" s="15">
        <f ca="1">STDEV(P721:OFFSET(P721,-$Q$5+1,0))</f>
        <v>1.4950889200456687</v>
      </c>
      <c r="R721" s="15">
        <f ca="1">STDEV(P721:OFFSET(P721,-$R$5+1,0))</f>
        <v>1.5691353372413384</v>
      </c>
      <c r="S721" s="18">
        <f t="shared" si="143"/>
        <v>104.7400000000016</v>
      </c>
      <c r="T721" s="18">
        <f t="shared" si="144"/>
        <v>104.7400000000016</v>
      </c>
      <c r="U721" s="18">
        <f t="shared" si="152"/>
        <v>165.75563131627254</v>
      </c>
      <c r="V721" s="33">
        <f ca="1">AVERAGE(E721:OFFSET(E721,-V$5+1,0))</f>
        <v>8541.2799999999988</v>
      </c>
      <c r="W721" s="33">
        <f t="shared" ca="1" si="145"/>
        <v>8789.9134469744076</v>
      </c>
      <c r="X721" s="33">
        <f t="shared" ca="1" si="146"/>
        <v>8292.64655302559</v>
      </c>
      <c r="Y721" s="32">
        <f t="shared" ca="1" si="153"/>
        <v>0</v>
      </c>
    </row>
    <row r="722" spans="1:25">
      <c r="A722" s="5">
        <v>39422</v>
      </c>
      <c r="B722" s="4">
        <v>8784.69</v>
      </c>
      <c r="C722" s="4">
        <v>8797.61</v>
      </c>
      <c r="D722" s="4">
        <v>8654.86</v>
      </c>
      <c r="E722" s="4">
        <v>8694.41</v>
      </c>
      <c r="F722" s="4">
        <v>4336000</v>
      </c>
      <c r="G722" s="8">
        <f t="shared" si="155"/>
        <v>107.73999999999978</v>
      </c>
      <c r="H722" s="8">
        <f t="shared" si="154"/>
        <v>-90.280000000000655</v>
      </c>
      <c r="I722" s="20">
        <f t="shared" ca="1" si="147"/>
        <v>0</v>
      </c>
      <c r="J722" s="8">
        <f t="shared" ca="1" si="148"/>
        <v>-1</v>
      </c>
      <c r="K722" s="8">
        <f t="shared" ca="1" si="149"/>
        <v>-17.459999999999127</v>
      </c>
      <c r="L722" s="8">
        <f t="shared" ca="1" si="150"/>
        <v>4388.9800000000032</v>
      </c>
      <c r="M722" s="9">
        <f ca="1">AVERAGE(E722:OFFSET(E722,-M$5+1,0))</f>
        <v>8516.246000000001</v>
      </c>
      <c r="N722" s="9">
        <f ca="1">AVERAGE(E722:OFFSET(E722,-N$5+1,0))</f>
        <v>8624.4704999999994</v>
      </c>
      <c r="O722" s="9">
        <f t="shared" ca="1" si="151"/>
        <v>0</v>
      </c>
      <c r="P722" s="14">
        <f t="shared" si="156"/>
        <v>0.20102059803664674</v>
      </c>
      <c r="Q722" s="15">
        <f ca="1">STDEV(P722:OFFSET(P722,-$Q$5+1,0))</f>
        <v>1.4950327527332188</v>
      </c>
      <c r="R722" s="15">
        <f ca="1">STDEV(P722:OFFSET(P722,-$R$5+1,0))</f>
        <v>1.5647958113799592</v>
      </c>
      <c r="S722" s="18">
        <f t="shared" si="143"/>
        <v>142.75</v>
      </c>
      <c r="T722" s="18">
        <f t="shared" si="144"/>
        <v>142.75</v>
      </c>
      <c r="U722" s="18">
        <f t="shared" si="152"/>
        <v>162.6882138074362</v>
      </c>
      <c r="V722" s="33">
        <f ca="1">AVERAGE(E722:OFFSET(E722,-V$5+1,0))</f>
        <v>8536.2507142857139</v>
      </c>
      <c r="W722" s="33">
        <f t="shared" ca="1" si="145"/>
        <v>8780.2830349968681</v>
      </c>
      <c r="X722" s="33">
        <f t="shared" ca="1" si="146"/>
        <v>8292.2183935745597</v>
      </c>
      <c r="Y722" s="32">
        <f t="shared" ca="1" si="153"/>
        <v>0</v>
      </c>
    </row>
    <row r="723" spans="1:25">
      <c r="A723" s="5">
        <v>39423</v>
      </c>
      <c r="B723" s="4">
        <v>8774.57</v>
      </c>
      <c r="C723" s="4">
        <v>8804.93</v>
      </c>
      <c r="D723" s="4">
        <v>8722.3799999999992</v>
      </c>
      <c r="E723" s="4">
        <v>8722.3799999999992</v>
      </c>
      <c r="F723" s="4">
        <v>4121200</v>
      </c>
      <c r="G723" s="8">
        <f t="shared" si="155"/>
        <v>80.159999999999854</v>
      </c>
      <c r="H723" s="8">
        <f t="shared" si="154"/>
        <v>-52.190000000000509</v>
      </c>
      <c r="I723" s="20">
        <f t="shared" ca="1" si="147"/>
        <v>0</v>
      </c>
      <c r="J723" s="8">
        <f t="shared" ca="1" si="148"/>
        <v>-1</v>
      </c>
      <c r="K723" s="8">
        <f t="shared" ca="1" si="149"/>
        <v>-27.969999999999345</v>
      </c>
      <c r="L723" s="8">
        <f t="shared" ca="1" si="150"/>
        <v>4361.0100000000039</v>
      </c>
      <c r="M723" s="9">
        <f ca="1">AVERAGE(E723:OFFSET(E723,-M$5+1,0))</f>
        <v>8554.2639999999992</v>
      </c>
      <c r="N723" s="9">
        <f ca="1">AVERAGE(E723:OFFSET(E723,-N$5+1,0))</f>
        <v>8612.0434999999998</v>
      </c>
      <c r="O723" s="9">
        <f t="shared" ca="1" si="151"/>
        <v>0</v>
      </c>
      <c r="P723" s="14">
        <f t="shared" si="156"/>
        <v>0.32118460456567138</v>
      </c>
      <c r="Q723" s="15">
        <f ca="1">STDEV(P723:OFFSET(P723,-$Q$5+1,0))</f>
        <v>1.3023107308450455</v>
      </c>
      <c r="R723" s="15">
        <f ca="1">STDEV(P723:OFFSET(P723,-$R$5+1,0))</f>
        <v>1.5390348365383708</v>
      </c>
      <c r="S723" s="18">
        <f t="shared" si="143"/>
        <v>82.550000000001091</v>
      </c>
      <c r="T723" s="18">
        <f t="shared" si="144"/>
        <v>110.52000000000044</v>
      </c>
      <c r="U723" s="18">
        <f t="shared" si="152"/>
        <v>155.73245196644476</v>
      </c>
      <c r="V723" s="33">
        <f ca="1">AVERAGE(E723:OFFSET(E723,-V$5+1,0))</f>
        <v>8539.2271428571439</v>
      </c>
      <c r="W723" s="33">
        <f t="shared" ca="1" si="145"/>
        <v>8772.825820806811</v>
      </c>
      <c r="X723" s="33">
        <f t="shared" ca="1" si="146"/>
        <v>8305.6284649074769</v>
      </c>
      <c r="Y723" s="32">
        <f t="shared" ca="1" si="153"/>
        <v>0</v>
      </c>
    </row>
    <row r="724" spans="1:25">
      <c r="A724" s="5">
        <v>39426</v>
      </c>
      <c r="B724" s="4">
        <v>8700.48</v>
      </c>
      <c r="C724" s="4">
        <v>8706.58</v>
      </c>
      <c r="D724" s="4">
        <v>8594.9500000000007</v>
      </c>
      <c r="E724" s="4">
        <v>8598.0300000000007</v>
      </c>
      <c r="F724" s="4">
        <v>3179600</v>
      </c>
      <c r="G724" s="8">
        <f t="shared" si="155"/>
        <v>-21.899999999999636</v>
      </c>
      <c r="H724" s="8">
        <f t="shared" si="154"/>
        <v>-102.44999999999891</v>
      </c>
      <c r="I724" s="20">
        <f t="shared" ca="1" si="147"/>
        <v>0</v>
      </c>
      <c r="J724" s="8">
        <f t="shared" ca="1" si="148"/>
        <v>-1</v>
      </c>
      <c r="K724" s="8">
        <f t="shared" ca="1" si="149"/>
        <v>124.34999999999854</v>
      </c>
      <c r="L724" s="8">
        <f t="shared" ca="1" si="150"/>
        <v>4485.3600000000024</v>
      </c>
      <c r="M724" s="9">
        <f ca="1">AVERAGE(E724:OFFSET(E724,-M$5+1,0))</f>
        <v>8561.2340000000004</v>
      </c>
      <c r="N724" s="9">
        <f ca="1">AVERAGE(E724:OFFSET(E724,-N$5+1,0))</f>
        <v>8608.4145000000008</v>
      </c>
      <c r="O724" s="9">
        <f t="shared" ca="1" si="151"/>
        <v>0</v>
      </c>
      <c r="P724" s="14">
        <f t="shared" si="156"/>
        <v>-1.4359029208976957</v>
      </c>
      <c r="Q724" s="15">
        <f ca="1">STDEV(P724:OFFSET(P724,-$Q$5+1,0))</f>
        <v>1.2638738191956624</v>
      </c>
      <c r="R724" s="15">
        <f ca="1">STDEV(P724:OFFSET(P724,-$R$5+1,0))</f>
        <v>1.5492483225772298</v>
      </c>
      <c r="S724" s="18">
        <f t="shared" si="143"/>
        <v>111.6299999999992</v>
      </c>
      <c r="T724" s="18">
        <f t="shared" si="144"/>
        <v>127.42999999999847</v>
      </c>
      <c r="U724" s="18">
        <f t="shared" si="152"/>
        <v>151.95879170425192</v>
      </c>
      <c r="V724" s="33">
        <f ca="1">AVERAGE(E724:OFFSET(E724,-V$5+1,0))</f>
        <v>8533.3107142857152</v>
      </c>
      <c r="W724" s="33">
        <f t="shared" ca="1" si="145"/>
        <v>8761.2489018420929</v>
      </c>
      <c r="X724" s="33">
        <f t="shared" ca="1" si="146"/>
        <v>8305.3725267293376</v>
      </c>
      <c r="Y724" s="32">
        <f t="shared" ca="1" si="153"/>
        <v>0</v>
      </c>
    </row>
    <row r="725" spans="1:25">
      <c r="A725" s="5">
        <v>39427</v>
      </c>
      <c r="B725" s="4">
        <v>8648.8799999999992</v>
      </c>
      <c r="C725" s="4">
        <v>8659.36</v>
      </c>
      <c r="D725" s="4">
        <v>8569.5400000000009</v>
      </c>
      <c r="E725" s="4">
        <v>8638.33</v>
      </c>
      <c r="F725" s="4">
        <v>3011800</v>
      </c>
      <c r="G725" s="8">
        <f t="shared" si="155"/>
        <v>50.849999999998545</v>
      </c>
      <c r="H725" s="8">
        <f t="shared" si="154"/>
        <v>-10.549999999999272</v>
      </c>
      <c r="I725" s="20">
        <f t="shared" ca="1" si="147"/>
        <v>0</v>
      </c>
      <c r="J725" s="8">
        <f t="shared" ca="1" si="148"/>
        <v>-1</v>
      </c>
      <c r="K725" s="8">
        <f t="shared" ca="1" si="149"/>
        <v>-40.299999999999272</v>
      </c>
      <c r="L725" s="8">
        <f t="shared" ca="1" si="150"/>
        <v>4445.0600000000031</v>
      </c>
      <c r="M725" s="9">
        <f ca="1">AVERAGE(E725:OFFSET(E725,-M$5+1,0))</f>
        <v>8587.491</v>
      </c>
      <c r="N725" s="9">
        <f ca="1">AVERAGE(E725:OFFSET(E725,-N$5+1,0))</f>
        <v>8603.9704999999994</v>
      </c>
      <c r="O725" s="9">
        <f t="shared" ca="1" si="151"/>
        <v>0</v>
      </c>
      <c r="P725" s="14">
        <f t="shared" si="156"/>
        <v>0.46761698450468092</v>
      </c>
      <c r="Q725" s="15">
        <f ca="1">STDEV(P725:OFFSET(P725,-$Q$5+1,0))</f>
        <v>1.0775412847680663</v>
      </c>
      <c r="R725" s="15">
        <f ca="1">STDEV(P725:OFFSET(P725,-$R$5+1,0))</f>
        <v>1.5447742148302526</v>
      </c>
      <c r="S725" s="18">
        <f t="shared" si="143"/>
        <v>89.819999999999709</v>
      </c>
      <c r="T725" s="18">
        <f t="shared" si="144"/>
        <v>89.819999999999709</v>
      </c>
      <c r="U725" s="18">
        <f t="shared" si="152"/>
        <v>143.67361947701832</v>
      </c>
      <c r="V725" s="33">
        <f ca="1">AVERAGE(E725:OFFSET(E725,-V$5+1,0))</f>
        <v>8544.3264285714286</v>
      </c>
      <c r="W725" s="33">
        <f t="shared" ca="1" si="145"/>
        <v>8759.8368577869569</v>
      </c>
      <c r="X725" s="33">
        <f t="shared" ca="1" si="146"/>
        <v>8328.8159993559002</v>
      </c>
      <c r="Y725" s="32">
        <f t="shared" ca="1" si="153"/>
        <v>0</v>
      </c>
    </row>
    <row r="726" spans="1:25">
      <c r="A726" s="5">
        <v>39428</v>
      </c>
      <c r="B726" s="4">
        <v>8495.59</v>
      </c>
      <c r="C726" s="4">
        <v>8554.1200000000008</v>
      </c>
      <c r="D726" s="4">
        <v>8451.65</v>
      </c>
      <c r="E726" s="4">
        <v>8490.84</v>
      </c>
      <c r="F726" s="4">
        <v>3783000</v>
      </c>
      <c r="G726" s="8">
        <f t="shared" si="155"/>
        <v>-142.73999999999978</v>
      </c>
      <c r="H726" s="8">
        <f t="shared" si="154"/>
        <v>-4.75</v>
      </c>
      <c r="I726" s="20">
        <f t="shared" ca="1" si="147"/>
        <v>0</v>
      </c>
      <c r="J726" s="8">
        <f t="shared" ca="1" si="148"/>
        <v>-1</v>
      </c>
      <c r="K726" s="8">
        <f t="shared" ca="1" si="149"/>
        <v>147.48999999999978</v>
      </c>
      <c r="L726" s="8">
        <f t="shared" ca="1" si="150"/>
        <v>4592.5500000000029</v>
      </c>
      <c r="M726" s="9">
        <f ca="1">AVERAGE(E726:OFFSET(E726,-M$5+1,0))</f>
        <v>8608.9490000000005</v>
      </c>
      <c r="N726" s="9">
        <f ca="1">AVERAGE(E726:OFFSET(E726,-N$5+1,0))</f>
        <v>8581.3659999999982</v>
      </c>
      <c r="O726" s="9">
        <f t="shared" ca="1" si="151"/>
        <v>1</v>
      </c>
      <c r="P726" s="14">
        <f t="shared" si="156"/>
        <v>-1.7221341738227807</v>
      </c>
      <c r="Q726" s="15">
        <f ca="1">STDEV(P726:OFFSET(P726,-$Q$5+1,0))</f>
        <v>1.1683335663167647</v>
      </c>
      <c r="R726" s="15">
        <f ca="1">STDEV(P726:OFFSET(P726,-$R$5+1,0))</f>
        <v>1.5619400475161063</v>
      </c>
      <c r="S726" s="18">
        <f t="shared" si="143"/>
        <v>102.47000000000116</v>
      </c>
      <c r="T726" s="18">
        <f t="shared" si="144"/>
        <v>186.68000000000029</v>
      </c>
      <c r="U726" s="18">
        <f t="shared" si="152"/>
        <v>149.40780354674925</v>
      </c>
      <c r="V726" s="33">
        <f ca="1">AVERAGE(E726:OFFSET(E726,-V$5+1,0))</f>
        <v>8543.7171428571437</v>
      </c>
      <c r="W726" s="33">
        <f t="shared" ca="1" si="145"/>
        <v>8767.828848177267</v>
      </c>
      <c r="X726" s="33">
        <f t="shared" ca="1" si="146"/>
        <v>8319.6054375370204</v>
      </c>
      <c r="Y726" s="32">
        <f t="shared" ca="1" si="153"/>
        <v>0</v>
      </c>
    </row>
    <row r="727" spans="1:25">
      <c r="A727" s="5">
        <v>39429</v>
      </c>
      <c r="B727" s="4">
        <v>8485.56</v>
      </c>
      <c r="C727" s="4">
        <v>8522.14</v>
      </c>
      <c r="D727" s="4">
        <v>8187.95</v>
      </c>
      <c r="E727" s="4">
        <v>8187.95</v>
      </c>
      <c r="F727" s="4">
        <v>4780800</v>
      </c>
      <c r="G727" s="8">
        <f t="shared" si="155"/>
        <v>-5.2800000000006548</v>
      </c>
      <c r="H727" s="8">
        <f t="shared" si="154"/>
        <v>-297.60999999999967</v>
      </c>
      <c r="I727" s="20">
        <f t="shared" ca="1" si="147"/>
        <v>-1</v>
      </c>
      <c r="J727" s="8">
        <f t="shared" ca="1" si="148"/>
        <v>-1</v>
      </c>
      <c r="K727" s="8">
        <f t="shared" ca="1" si="149"/>
        <v>302.89000000000033</v>
      </c>
      <c r="L727" s="8">
        <f t="shared" ca="1" si="150"/>
        <v>4895.4400000000032</v>
      </c>
      <c r="M727" s="9">
        <f ca="1">AVERAGE(E727:OFFSET(E727,-M$5+1,0))</f>
        <v>8583.0409999999993</v>
      </c>
      <c r="N727" s="9">
        <f ca="1">AVERAGE(E727:OFFSET(E727,-N$5+1,0))</f>
        <v>8545.4929999999986</v>
      </c>
      <c r="O727" s="9">
        <f t="shared" ca="1" si="151"/>
        <v>0</v>
      </c>
      <c r="P727" s="14">
        <f t="shared" si="156"/>
        <v>-3.6324374075267367</v>
      </c>
      <c r="Q727" s="15">
        <f ca="1">STDEV(P727:OFFSET(P727,-$Q$5+1,0))</f>
        <v>1.5272755073658688</v>
      </c>
      <c r="R727" s="15">
        <f ca="1">STDEV(P727:OFFSET(P727,-$R$5+1,0))</f>
        <v>1.6378824059328381</v>
      </c>
      <c r="S727" s="18">
        <f t="shared" si="143"/>
        <v>334.1899999999996</v>
      </c>
      <c r="T727" s="18">
        <f t="shared" si="144"/>
        <v>334.1899999999996</v>
      </c>
      <c r="U727" s="18">
        <f t="shared" si="152"/>
        <v>174.04542974051594</v>
      </c>
      <c r="V727" s="33">
        <f ca="1">AVERAGE(E727:OFFSET(E727,-V$5+1,0))</f>
        <v>8532.699285714285</v>
      </c>
      <c r="W727" s="33">
        <f t="shared" ca="1" si="145"/>
        <v>8793.7674303250587</v>
      </c>
      <c r="X727" s="33">
        <f t="shared" ca="1" si="146"/>
        <v>8271.6311411035113</v>
      </c>
      <c r="Y727" s="32">
        <f t="shared" ca="1" si="153"/>
        <v>-1</v>
      </c>
    </row>
    <row r="728" spans="1:25">
      <c r="A728" s="5">
        <v>39430</v>
      </c>
      <c r="B728" s="4">
        <v>8186.25</v>
      </c>
      <c r="C728" s="4">
        <v>8202.94</v>
      </c>
      <c r="D728" s="4">
        <v>7922.66</v>
      </c>
      <c r="E728" s="4">
        <v>8118.08</v>
      </c>
      <c r="F728" s="4">
        <v>5018200</v>
      </c>
      <c r="G728" s="8">
        <f t="shared" si="155"/>
        <v>-1.6999999999998181</v>
      </c>
      <c r="H728" s="8">
        <f t="shared" si="154"/>
        <v>-68.170000000000073</v>
      </c>
      <c r="I728" s="20">
        <f t="shared" ca="1" si="147"/>
        <v>0</v>
      </c>
      <c r="J728" s="8">
        <f t="shared" ca="1" si="148"/>
        <v>-2</v>
      </c>
      <c r="K728" s="8">
        <f t="shared" ca="1" si="149"/>
        <v>138.03999999999996</v>
      </c>
      <c r="L728" s="8">
        <f t="shared" ca="1" si="150"/>
        <v>5033.4800000000032</v>
      </c>
      <c r="M728" s="9">
        <f ca="1">AVERAGE(E728:OFFSET(E728,-M$5+1,0))</f>
        <v>8536.2089999999989</v>
      </c>
      <c r="N728" s="9">
        <f ca="1">AVERAGE(E728:OFFSET(E728,-N$5+1,0))</f>
        <v>8513.155999999999</v>
      </c>
      <c r="O728" s="9">
        <f t="shared" ca="1" si="151"/>
        <v>0</v>
      </c>
      <c r="P728" s="14">
        <f t="shared" si="156"/>
        <v>-0.856988827093493</v>
      </c>
      <c r="Q728" s="15">
        <f ca="1">STDEV(P728:OFFSET(P728,-$Q$5+1,0))</f>
        <v>1.3692789722890517</v>
      </c>
      <c r="R728" s="15">
        <f ca="1">STDEV(P728:OFFSET(P728,-$R$5+1,0))</f>
        <v>1.6392328933706632</v>
      </c>
      <c r="S728" s="18">
        <f t="shared" si="143"/>
        <v>280.28000000000065</v>
      </c>
      <c r="T728" s="18">
        <f t="shared" si="144"/>
        <v>280.28000000000065</v>
      </c>
      <c r="U728" s="18">
        <f t="shared" si="152"/>
        <v>188.21003910844723</v>
      </c>
      <c r="V728" s="33">
        <f ca="1">AVERAGE(E728:OFFSET(E728,-V$5+1,0))</f>
        <v>8503.3957142857143</v>
      </c>
      <c r="W728" s="33">
        <f t="shared" ca="1" si="145"/>
        <v>8785.7107729483851</v>
      </c>
      <c r="X728" s="33">
        <f t="shared" ca="1" si="146"/>
        <v>8221.0806556230436</v>
      </c>
      <c r="Y728" s="32">
        <f t="shared" ca="1" si="153"/>
        <v>0</v>
      </c>
    </row>
    <row r="729" spans="1:25">
      <c r="A729" s="5">
        <v>39433</v>
      </c>
      <c r="B729" s="4">
        <v>8041.6</v>
      </c>
      <c r="C729" s="4">
        <v>8092.96</v>
      </c>
      <c r="D729" s="4">
        <v>7830.85</v>
      </c>
      <c r="E729" s="4">
        <v>7830.85</v>
      </c>
      <c r="F729" s="4">
        <v>4238600</v>
      </c>
      <c r="G729" s="8">
        <f t="shared" si="155"/>
        <v>-76.479999999999563</v>
      </c>
      <c r="H729" s="8">
        <f t="shared" si="154"/>
        <v>-210.75</v>
      </c>
      <c r="I729" s="20">
        <f t="shared" ca="1" si="147"/>
        <v>0</v>
      </c>
      <c r="J729" s="8">
        <f t="shared" ca="1" si="148"/>
        <v>-2</v>
      </c>
      <c r="K729" s="8">
        <f t="shared" ca="1" si="149"/>
        <v>574.45999999999913</v>
      </c>
      <c r="L729" s="8">
        <f t="shared" ca="1" si="150"/>
        <v>5607.9400000000023</v>
      </c>
      <c r="M729" s="9">
        <f ca="1">AVERAGE(E729:OFFSET(E729,-M$5+1,0))</f>
        <v>8460.91</v>
      </c>
      <c r="N729" s="9">
        <f ca="1">AVERAGE(E729:OFFSET(E729,-N$5+1,0))</f>
        <v>8470.6630000000005</v>
      </c>
      <c r="O729" s="9">
        <f t="shared" ca="1" si="151"/>
        <v>-1</v>
      </c>
      <c r="P729" s="14">
        <f t="shared" si="156"/>
        <v>-3.6022612068610278</v>
      </c>
      <c r="Q729" s="15">
        <f ca="1">STDEV(P729:OFFSET(P729,-$Q$5+1,0))</f>
        <v>1.6521438924376477</v>
      </c>
      <c r="R729" s="15">
        <f ca="1">STDEV(P729:OFFSET(P729,-$R$5+1,0))</f>
        <v>1.6789513675912886</v>
      </c>
      <c r="S729" s="18">
        <f t="shared" si="143"/>
        <v>262.10999999999967</v>
      </c>
      <c r="T729" s="18">
        <f t="shared" si="144"/>
        <v>287.22999999999956</v>
      </c>
      <c r="U729" s="18">
        <f t="shared" si="152"/>
        <v>201.41270056065423</v>
      </c>
      <c r="V729" s="33">
        <f ca="1">AVERAGE(E729:OFFSET(E729,-V$5+1,0))</f>
        <v>8464.4735714285725</v>
      </c>
      <c r="W729" s="33">
        <f t="shared" ca="1" si="145"/>
        <v>8766.5926222695543</v>
      </c>
      <c r="X729" s="33">
        <f t="shared" ca="1" si="146"/>
        <v>8162.3545205875907</v>
      </c>
      <c r="Y729" s="32">
        <f t="shared" ca="1" si="153"/>
        <v>0</v>
      </c>
    </row>
    <row r="730" spans="1:25">
      <c r="A730" s="5">
        <v>39434</v>
      </c>
      <c r="B730" s="4">
        <v>7730.79</v>
      </c>
      <c r="C730" s="4">
        <v>7913.88</v>
      </c>
      <c r="D730" s="4">
        <v>7664.62</v>
      </c>
      <c r="E730" s="4">
        <v>7807.39</v>
      </c>
      <c r="F730" s="4">
        <v>5093400</v>
      </c>
      <c r="G730" s="8">
        <f t="shared" si="155"/>
        <v>-100.0600000000004</v>
      </c>
      <c r="H730" s="8">
        <f t="shared" si="154"/>
        <v>76.600000000000364</v>
      </c>
      <c r="I730" s="20">
        <f t="shared" ca="1" si="147"/>
        <v>0</v>
      </c>
      <c r="J730" s="8">
        <f t="shared" ca="1" si="148"/>
        <v>-2</v>
      </c>
      <c r="K730" s="8">
        <f t="shared" ca="1" si="149"/>
        <v>46.920000000000073</v>
      </c>
      <c r="L730" s="8">
        <f t="shared" ca="1" si="150"/>
        <v>5654.8600000000024</v>
      </c>
      <c r="M730" s="9">
        <f ca="1">AVERAGE(E730:OFFSET(E730,-M$5+1,0))</f>
        <v>8376.5210000000006</v>
      </c>
      <c r="N730" s="9">
        <f ca="1">AVERAGE(E730:OFFSET(E730,-N$5+1,0))</f>
        <v>8426.9895000000015</v>
      </c>
      <c r="O730" s="9">
        <f t="shared" ca="1" si="151"/>
        <v>0</v>
      </c>
      <c r="P730" s="14">
        <f t="shared" si="156"/>
        <v>-0.30003398846653706</v>
      </c>
      <c r="Q730" s="15">
        <f ca="1">STDEV(P730:OFFSET(P730,-$Q$5+1,0))</f>
        <v>1.5612905062255307</v>
      </c>
      <c r="R730" s="15">
        <f ca="1">STDEV(P730:OFFSET(P730,-$R$5+1,0))</f>
        <v>1.6492188384436768</v>
      </c>
      <c r="S730" s="18">
        <f t="shared" si="143"/>
        <v>249.26000000000022</v>
      </c>
      <c r="T730" s="18">
        <f t="shared" si="144"/>
        <v>249.26000000000022</v>
      </c>
      <c r="U730" s="18">
        <f t="shared" si="152"/>
        <v>207.79234048590038</v>
      </c>
      <c r="V730" s="33">
        <f ca="1">AVERAGE(E730:OFFSET(E730,-V$5+1,0))</f>
        <v>8430.982857142857</v>
      </c>
      <c r="W730" s="33">
        <f t="shared" ca="1" si="145"/>
        <v>8742.6713678717078</v>
      </c>
      <c r="X730" s="33">
        <f t="shared" ca="1" si="146"/>
        <v>8119.2943464140062</v>
      </c>
      <c r="Y730" s="32">
        <f t="shared" ca="1" si="153"/>
        <v>0</v>
      </c>
    </row>
    <row r="731" spans="1:25">
      <c r="A731" s="5">
        <v>39435</v>
      </c>
      <c r="B731" s="4">
        <v>7881.01</v>
      </c>
      <c r="C731" s="4">
        <v>8020.39</v>
      </c>
      <c r="D731" s="4">
        <v>7865.48</v>
      </c>
      <c r="E731" s="4">
        <v>8014.31</v>
      </c>
      <c r="F731" s="4">
        <v>4126800</v>
      </c>
      <c r="G731" s="8">
        <f t="shared" si="155"/>
        <v>73.619999999999891</v>
      </c>
      <c r="H731" s="8">
        <f t="shared" si="154"/>
        <v>133.30000000000018</v>
      </c>
      <c r="I731" s="20">
        <f t="shared" ca="1" si="147"/>
        <v>0</v>
      </c>
      <c r="J731" s="8">
        <f t="shared" ca="1" si="148"/>
        <v>-2</v>
      </c>
      <c r="K731" s="8">
        <f t="shared" ca="1" si="149"/>
        <v>-413.84000000000015</v>
      </c>
      <c r="L731" s="8">
        <f t="shared" ca="1" si="150"/>
        <v>5241.0200000000023</v>
      </c>
      <c r="M731" s="9">
        <f ca="1">AVERAGE(E731:OFFSET(E731,-M$5+1,0))</f>
        <v>8310.2570000000014</v>
      </c>
      <c r="N731" s="9">
        <f ca="1">AVERAGE(E731:OFFSET(E731,-N$5+1,0))</f>
        <v>8403.4995000000017</v>
      </c>
      <c r="O731" s="9">
        <f t="shared" ca="1" si="151"/>
        <v>0</v>
      </c>
      <c r="P731" s="14">
        <f t="shared" si="156"/>
        <v>2.6157972712901603</v>
      </c>
      <c r="Q731" s="15">
        <f ca="1">STDEV(P731:OFFSET(P731,-$Q$5+1,0))</f>
        <v>1.9124328939933577</v>
      </c>
      <c r="R731" s="15">
        <f ca="1">STDEV(P731:OFFSET(P731,-$R$5+1,0))</f>
        <v>1.7205188571363401</v>
      </c>
      <c r="S731" s="18">
        <f t="shared" si="143"/>
        <v>154.91000000000076</v>
      </c>
      <c r="T731" s="18">
        <f t="shared" si="144"/>
        <v>213</v>
      </c>
      <c r="U731" s="18">
        <f t="shared" si="152"/>
        <v>208.48669508778033</v>
      </c>
      <c r="V731" s="33">
        <f ca="1">AVERAGE(E731:OFFSET(E731,-V$5+1,0))</f>
        <v>8400.074285714285</v>
      </c>
      <c r="W731" s="33">
        <f t="shared" ca="1" si="145"/>
        <v>8712.8043283459556</v>
      </c>
      <c r="X731" s="33">
        <f t="shared" ca="1" si="146"/>
        <v>8087.3442430826144</v>
      </c>
      <c r="Y731" s="32">
        <f t="shared" ca="1" si="153"/>
        <v>0</v>
      </c>
    </row>
    <row r="732" spans="1:25">
      <c r="A732" s="5">
        <v>39436</v>
      </c>
      <c r="B732" s="4">
        <v>8044.17</v>
      </c>
      <c r="C732" s="4">
        <v>8048</v>
      </c>
      <c r="D732" s="4">
        <v>7840.71</v>
      </c>
      <c r="E732" s="4">
        <v>7857.08</v>
      </c>
      <c r="F732" s="4">
        <v>3574200</v>
      </c>
      <c r="G732" s="8">
        <f t="shared" si="155"/>
        <v>29.859999999999673</v>
      </c>
      <c r="H732" s="8">
        <f t="shared" si="154"/>
        <v>-187.09000000000015</v>
      </c>
      <c r="I732" s="20">
        <f t="shared" ca="1" si="147"/>
        <v>0</v>
      </c>
      <c r="J732" s="8">
        <f t="shared" ca="1" si="148"/>
        <v>-2</v>
      </c>
      <c r="K732" s="8">
        <f t="shared" ca="1" si="149"/>
        <v>314.46000000000095</v>
      </c>
      <c r="L732" s="8">
        <f t="shared" ca="1" si="150"/>
        <v>5555.4800000000032</v>
      </c>
      <c r="M732" s="9">
        <f ca="1">AVERAGE(E732:OFFSET(E732,-M$5+1,0))</f>
        <v>8226.5240000000013</v>
      </c>
      <c r="N732" s="9">
        <f ca="1">AVERAGE(E732:OFFSET(E732,-N$5+1,0))</f>
        <v>8371.3850000000002</v>
      </c>
      <c r="O732" s="9">
        <f t="shared" ca="1" si="151"/>
        <v>0</v>
      </c>
      <c r="P732" s="14">
        <f t="shared" si="156"/>
        <v>-1.9813657626618872</v>
      </c>
      <c r="Q732" s="15">
        <f ca="1">STDEV(P732:OFFSET(P732,-$Q$5+1,0))</f>
        <v>1.910738077258896</v>
      </c>
      <c r="R732" s="15">
        <f ca="1">STDEV(P732:OFFSET(P732,-$R$5+1,0))</f>
        <v>1.7145266886651445</v>
      </c>
      <c r="S732" s="18">
        <f t="shared" si="143"/>
        <v>207.28999999999996</v>
      </c>
      <c r="T732" s="18">
        <f t="shared" si="144"/>
        <v>207.28999999999996</v>
      </c>
      <c r="U732" s="18">
        <f t="shared" si="152"/>
        <v>208.32713574274297</v>
      </c>
      <c r="V732" s="33">
        <f ca="1">AVERAGE(E732:OFFSET(E732,-V$5+1,0))</f>
        <v>8347.98</v>
      </c>
      <c r="W732" s="33">
        <f t="shared" ca="1" si="145"/>
        <v>8660.4707036141135</v>
      </c>
      <c r="X732" s="33">
        <f t="shared" ca="1" si="146"/>
        <v>8035.4892963858847</v>
      </c>
      <c r="Y732" s="32">
        <f t="shared" ca="1" si="153"/>
        <v>0</v>
      </c>
    </row>
    <row r="733" spans="1:25">
      <c r="A733" s="5">
        <v>39437</v>
      </c>
      <c r="B733" s="4">
        <v>7903.14</v>
      </c>
      <c r="C733" s="4">
        <v>8006.56</v>
      </c>
      <c r="D733" s="4">
        <v>7810.27</v>
      </c>
      <c r="E733" s="4">
        <v>7941.44</v>
      </c>
      <c r="F733" s="4">
        <v>4020400</v>
      </c>
      <c r="G733" s="8">
        <f t="shared" si="155"/>
        <v>46.0600000000004</v>
      </c>
      <c r="H733" s="8">
        <f t="shared" si="154"/>
        <v>38.299999999999272</v>
      </c>
      <c r="I733" s="20">
        <f t="shared" ca="1" si="147"/>
        <v>0</v>
      </c>
      <c r="J733" s="8">
        <f t="shared" ca="1" si="148"/>
        <v>-2</v>
      </c>
      <c r="K733" s="8">
        <f t="shared" ca="1" si="149"/>
        <v>-168.71999999999935</v>
      </c>
      <c r="L733" s="8">
        <f t="shared" ca="1" si="150"/>
        <v>5386.7600000000039</v>
      </c>
      <c r="M733" s="9">
        <f ca="1">AVERAGE(E733:OFFSET(E733,-M$5+1,0))</f>
        <v>8148.43</v>
      </c>
      <c r="N733" s="9">
        <f ca="1">AVERAGE(E733:OFFSET(E733,-N$5+1,0))</f>
        <v>8351.3469999999998</v>
      </c>
      <c r="O733" s="9">
        <f t="shared" ca="1" si="151"/>
        <v>0</v>
      </c>
      <c r="P733" s="14">
        <f t="shared" si="156"/>
        <v>1.0679582871624942</v>
      </c>
      <c r="Q733" s="15">
        <f ca="1">STDEV(P733:OFFSET(P733,-$Q$5+1,0))</f>
        <v>1.9819275913332459</v>
      </c>
      <c r="R733" s="15">
        <f ca="1">STDEV(P733:OFFSET(P733,-$R$5+1,0))</f>
        <v>1.7227716877963197</v>
      </c>
      <c r="S733" s="18">
        <f t="shared" si="143"/>
        <v>196.28999999999996</v>
      </c>
      <c r="T733" s="18">
        <f t="shared" si="144"/>
        <v>196.28999999999996</v>
      </c>
      <c r="U733" s="18">
        <f t="shared" si="152"/>
        <v>206.72218431037723</v>
      </c>
      <c r="V733" s="33">
        <f ca="1">AVERAGE(E733:OFFSET(E733,-V$5+1,0))</f>
        <v>8302.0942857142854</v>
      </c>
      <c r="W733" s="33">
        <f t="shared" ca="1" si="145"/>
        <v>8612.1775621798515</v>
      </c>
      <c r="X733" s="33">
        <f t="shared" ca="1" si="146"/>
        <v>7992.0110092487193</v>
      </c>
      <c r="Y733" s="32">
        <f t="shared" ca="1" si="153"/>
        <v>0</v>
      </c>
    </row>
    <row r="734" spans="1:25">
      <c r="A734" s="5">
        <v>39440</v>
      </c>
      <c r="B734" s="4">
        <v>8074.44</v>
      </c>
      <c r="C734" s="4">
        <v>8135.48</v>
      </c>
      <c r="D734" s="4">
        <v>8061.31</v>
      </c>
      <c r="E734" s="4">
        <v>8135.48</v>
      </c>
      <c r="F734" s="4">
        <v>3149200</v>
      </c>
      <c r="G734" s="8">
        <f t="shared" si="155"/>
        <v>133</v>
      </c>
      <c r="H734" s="8">
        <f t="shared" si="154"/>
        <v>61.039999999999964</v>
      </c>
      <c r="I734" s="20">
        <f t="shared" ca="1" si="147"/>
        <v>0</v>
      </c>
      <c r="J734" s="8">
        <f t="shared" ca="1" si="148"/>
        <v>-2</v>
      </c>
      <c r="K734" s="8">
        <f t="shared" ca="1" si="149"/>
        <v>-388.07999999999993</v>
      </c>
      <c r="L734" s="8">
        <f t="shared" ca="1" si="150"/>
        <v>4998.6800000000039</v>
      </c>
      <c r="M734" s="9">
        <f ca="1">AVERAGE(E734:OFFSET(E734,-M$5+1,0))</f>
        <v>8102.1749999999984</v>
      </c>
      <c r="N734" s="9">
        <f ca="1">AVERAGE(E734:OFFSET(E734,-N$5+1,0))</f>
        <v>8331.7045000000016</v>
      </c>
      <c r="O734" s="9">
        <f t="shared" ca="1" si="151"/>
        <v>0</v>
      </c>
      <c r="P734" s="14">
        <f t="shared" si="156"/>
        <v>2.4140124215930392</v>
      </c>
      <c r="Q734" s="15">
        <f ca="1">STDEV(P734:OFFSET(P734,-$Q$5+1,0))</f>
        <v>2.2325380868818705</v>
      </c>
      <c r="R734" s="15">
        <f ca="1">STDEV(P734:OFFSET(P734,-$R$5+1,0))</f>
        <v>1.7450308630193174</v>
      </c>
      <c r="S734" s="18">
        <f t="shared" si="143"/>
        <v>74.169999999999163</v>
      </c>
      <c r="T734" s="18">
        <f t="shared" si="144"/>
        <v>194.03999999999996</v>
      </c>
      <c r="U734" s="18">
        <f t="shared" si="152"/>
        <v>205.03122640232692</v>
      </c>
      <c r="V734" s="33">
        <f ca="1">AVERAGE(E734:OFFSET(E734,-V$5+1,0))</f>
        <v>8265.2514285714296</v>
      </c>
      <c r="W734" s="33">
        <f t="shared" ca="1" si="145"/>
        <v>8572.7982681749199</v>
      </c>
      <c r="X734" s="33">
        <f t="shared" ca="1" si="146"/>
        <v>7957.7045889679393</v>
      </c>
      <c r="Y734" s="32">
        <f t="shared" ca="1" si="153"/>
        <v>0</v>
      </c>
    </row>
    <row r="735" spans="1:25">
      <c r="A735" s="5">
        <v>39441</v>
      </c>
      <c r="B735" s="4">
        <v>8166.18</v>
      </c>
      <c r="C735" s="4">
        <v>8181.61</v>
      </c>
      <c r="D735" s="4">
        <v>8119.85</v>
      </c>
      <c r="E735" s="4">
        <v>8167.07</v>
      </c>
      <c r="F735" s="4">
        <v>3340600</v>
      </c>
      <c r="G735" s="8">
        <f t="shared" si="155"/>
        <v>30.700000000000728</v>
      </c>
      <c r="H735" s="8">
        <f t="shared" si="154"/>
        <v>0.88999999999941792</v>
      </c>
      <c r="I735" s="20">
        <f t="shared" ca="1" si="147"/>
        <v>0</v>
      </c>
      <c r="J735" s="8">
        <f t="shared" ca="1" si="148"/>
        <v>-2</v>
      </c>
      <c r="K735" s="8">
        <f t="shared" ca="1" si="149"/>
        <v>-63.180000000000291</v>
      </c>
      <c r="L735" s="8">
        <f t="shared" ca="1" si="150"/>
        <v>4935.5000000000036</v>
      </c>
      <c r="M735" s="9">
        <f ca="1">AVERAGE(E735:OFFSET(E735,-M$5+1,0))</f>
        <v>8055.0489999999991</v>
      </c>
      <c r="N735" s="9">
        <f ca="1">AVERAGE(E735:OFFSET(E735,-N$5+1,0))</f>
        <v>8321.27</v>
      </c>
      <c r="O735" s="9">
        <f t="shared" ca="1" si="151"/>
        <v>0</v>
      </c>
      <c r="P735" s="14">
        <f t="shared" si="156"/>
        <v>0.38754721854258894</v>
      </c>
      <c r="Q735" s="15">
        <f ca="1">STDEV(P735:OFFSET(P735,-$Q$5+1,0))</f>
        <v>2.2286111352330504</v>
      </c>
      <c r="R735" s="15">
        <f ca="1">STDEV(P735:OFFSET(P735,-$R$5+1,0))</f>
        <v>1.7502151777005699</v>
      </c>
      <c r="S735" s="18">
        <f t="shared" si="143"/>
        <v>61.759999999999309</v>
      </c>
      <c r="T735" s="18">
        <f t="shared" si="144"/>
        <v>61.759999999999309</v>
      </c>
      <c r="U735" s="18">
        <f t="shared" si="152"/>
        <v>185.92839621534992</v>
      </c>
      <c r="V735" s="33">
        <f ca="1">AVERAGE(E735:OFFSET(E735,-V$5+1,0))</f>
        <v>8228.8314285714296</v>
      </c>
      <c r="W735" s="33">
        <f t="shared" ca="1" si="145"/>
        <v>8507.7240228944538</v>
      </c>
      <c r="X735" s="33">
        <f t="shared" ca="1" si="146"/>
        <v>7949.9388342484044</v>
      </c>
      <c r="Y735" s="32">
        <f t="shared" ca="1" si="153"/>
        <v>0</v>
      </c>
    </row>
    <row r="736" spans="1:25">
      <c r="A736" s="5">
        <v>39442</v>
      </c>
      <c r="B736" s="4">
        <v>8125.45</v>
      </c>
      <c r="C736" s="4">
        <v>8173.9</v>
      </c>
      <c r="D736" s="4">
        <v>8071.63</v>
      </c>
      <c r="E736" s="4">
        <v>8156.39</v>
      </c>
      <c r="F736" s="4">
        <v>2853000</v>
      </c>
      <c r="G736" s="8">
        <f t="shared" si="155"/>
        <v>-41.619999999999891</v>
      </c>
      <c r="H736" s="8">
        <f t="shared" si="154"/>
        <v>30.940000000000509</v>
      </c>
      <c r="I736" s="20">
        <f t="shared" ca="1" si="147"/>
        <v>0</v>
      </c>
      <c r="J736" s="8">
        <f t="shared" ca="1" si="148"/>
        <v>-2</v>
      </c>
      <c r="K736" s="8">
        <f t="shared" ca="1" si="149"/>
        <v>21.359999999998763</v>
      </c>
      <c r="L736" s="8">
        <f t="shared" ca="1" si="150"/>
        <v>4956.8600000000024</v>
      </c>
      <c r="M736" s="9">
        <f ca="1">AVERAGE(E736:OFFSET(E736,-M$5+1,0))</f>
        <v>8021.6039999999994</v>
      </c>
      <c r="N736" s="9">
        <f ca="1">AVERAGE(E736:OFFSET(E736,-N$5+1,0))</f>
        <v>8315.2765000000018</v>
      </c>
      <c r="O736" s="9">
        <f t="shared" ca="1" si="151"/>
        <v>0</v>
      </c>
      <c r="P736" s="14">
        <f t="shared" si="156"/>
        <v>-0.13085462915265283</v>
      </c>
      <c r="Q736" s="15">
        <f ca="1">STDEV(P736:OFFSET(P736,-$Q$5+1,0))</f>
        <v>2.1930170460308887</v>
      </c>
      <c r="R736" s="15">
        <f ca="1">STDEV(P736:OFFSET(P736,-$R$5+1,0))</f>
        <v>1.7509073301998077</v>
      </c>
      <c r="S736" s="18">
        <f t="shared" si="143"/>
        <v>102.26999999999953</v>
      </c>
      <c r="T736" s="18">
        <f t="shared" si="144"/>
        <v>102.26999999999953</v>
      </c>
      <c r="U736" s="18">
        <f t="shared" si="152"/>
        <v>174.77394338663655</v>
      </c>
      <c r="V736" s="33">
        <f ca="1">AVERAGE(E736:OFFSET(E736,-V$5+1,0))</f>
        <v>8190.4014285714293</v>
      </c>
      <c r="W736" s="33">
        <f t="shared" ca="1" si="145"/>
        <v>8452.5623436513833</v>
      </c>
      <c r="X736" s="33">
        <f t="shared" ca="1" si="146"/>
        <v>7928.2405134914743</v>
      </c>
      <c r="Y736" s="32">
        <f t="shared" ca="1" si="153"/>
        <v>0</v>
      </c>
    </row>
    <row r="737" spans="1:25">
      <c r="A737" s="5">
        <v>39443</v>
      </c>
      <c r="B737" s="4">
        <v>8169.19</v>
      </c>
      <c r="C737" s="4">
        <v>8355.2800000000007</v>
      </c>
      <c r="D737" s="4">
        <v>8169.19</v>
      </c>
      <c r="E737" s="4">
        <v>8313.7199999999993</v>
      </c>
      <c r="F737" s="4">
        <v>4360200</v>
      </c>
      <c r="G737" s="8">
        <f t="shared" si="155"/>
        <v>12.799999999999272</v>
      </c>
      <c r="H737" s="8">
        <f t="shared" si="154"/>
        <v>144.52999999999975</v>
      </c>
      <c r="I737" s="20">
        <f t="shared" ca="1" si="147"/>
        <v>0</v>
      </c>
      <c r="J737" s="8">
        <f t="shared" ca="1" si="148"/>
        <v>-2</v>
      </c>
      <c r="K737" s="8">
        <f t="shared" ca="1" si="149"/>
        <v>-314.65999999999804</v>
      </c>
      <c r="L737" s="8">
        <f t="shared" ca="1" si="150"/>
        <v>4642.2000000000044</v>
      </c>
      <c r="M737" s="9">
        <f ca="1">AVERAGE(E737:OFFSET(E737,-M$5+1,0))</f>
        <v>8034.1810000000014</v>
      </c>
      <c r="N737" s="9">
        <f ca="1">AVERAGE(E737:OFFSET(E737,-N$5+1,0))</f>
        <v>8308.6110000000008</v>
      </c>
      <c r="O737" s="9">
        <f t="shared" ca="1" si="151"/>
        <v>0</v>
      </c>
      <c r="P737" s="14">
        <f t="shared" si="156"/>
        <v>1.9105493003443323</v>
      </c>
      <c r="Q737" s="15">
        <f ca="1">STDEV(P737:OFFSET(P737,-$Q$5+1,0))</f>
        <v>1.9754628041142841</v>
      </c>
      <c r="R737" s="15">
        <f ca="1">STDEV(P737:OFFSET(P737,-$R$5+1,0))</f>
        <v>1.7851963957422656</v>
      </c>
      <c r="S737" s="18">
        <f t="shared" si="143"/>
        <v>186.09000000000106</v>
      </c>
      <c r="T737" s="18">
        <f t="shared" si="144"/>
        <v>198.89000000000033</v>
      </c>
      <c r="U737" s="18">
        <f t="shared" si="152"/>
        <v>177.98941760175174</v>
      </c>
      <c r="V737" s="33">
        <f ca="1">AVERAGE(E737:OFFSET(E737,-V$5+1,0))</f>
        <v>8161.2114285714288</v>
      </c>
      <c r="W737" s="33">
        <f t="shared" ca="1" si="145"/>
        <v>8428.195554974056</v>
      </c>
      <c r="X737" s="33">
        <f t="shared" ca="1" si="146"/>
        <v>7894.2273021688015</v>
      </c>
      <c r="Y737" s="32">
        <f t="shared" ca="1" si="153"/>
        <v>0</v>
      </c>
    </row>
    <row r="738" spans="1:25">
      <c r="A738" s="5">
        <v>39444</v>
      </c>
      <c r="B738" s="4">
        <v>8269.32</v>
      </c>
      <c r="C738" s="4">
        <v>8460.18</v>
      </c>
      <c r="D738" s="4">
        <v>8269.32</v>
      </c>
      <c r="E738" s="4">
        <v>8396.9500000000007</v>
      </c>
      <c r="F738" s="4">
        <v>4325200</v>
      </c>
      <c r="G738" s="8">
        <f t="shared" si="155"/>
        <v>-44.399999999999636</v>
      </c>
      <c r="H738" s="8">
        <f t="shared" si="154"/>
        <v>127.63000000000102</v>
      </c>
      <c r="I738" s="20">
        <f t="shared" ca="1" si="147"/>
        <v>0</v>
      </c>
      <c r="J738" s="8">
        <f t="shared" ca="1" si="148"/>
        <v>-2</v>
      </c>
      <c r="K738" s="8">
        <f t="shared" ca="1" si="149"/>
        <v>-166.46000000000276</v>
      </c>
      <c r="L738" s="8">
        <f t="shared" ca="1" si="150"/>
        <v>4475.7400000000016</v>
      </c>
      <c r="M738" s="9">
        <f ca="1">AVERAGE(E738:OFFSET(E738,-M$5+1,0))</f>
        <v>8062.0679999999993</v>
      </c>
      <c r="N738" s="9">
        <f ca="1">AVERAGE(E738:OFFSET(E738,-N$5+1,0))</f>
        <v>8299.1385000000028</v>
      </c>
      <c r="O738" s="9">
        <f t="shared" ca="1" si="151"/>
        <v>0</v>
      </c>
      <c r="P738" s="14">
        <f t="shared" si="156"/>
        <v>0.99613825460805072</v>
      </c>
      <c r="Q738" s="15">
        <f ca="1">STDEV(P738:OFFSET(P738,-$Q$5+1,0))</f>
        <v>1.9570830504533236</v>
      </c>
      <c r="R738" s="15">
        <f ca="1">STDEV(P738:OFFSET(P738,-$R$5+1,0))</f>
        <v>1.7254053036656283</v>
      </c>
      <c r="S738" s="18">
        <f t="shared" si="143"/>
        <v>190.86000000000058</v>
      </c>
      <c r="T738" s="18">
        <f t="shared" si="144"/>
        <v>190.86000000000058</v>
      </c>
      <c r="U738" s="18">
        <f t="shared" si="152"/>
        <v>179.7054952548516</v>
      </c>
      <c r="V738" s="33">
        <f ca="1">AVERAGE(E738:OFFSET(E738,-V$5+1,0))</f>
        <v>8146.8485714285698</v>
      </c>
      <c r="W738" s="33">
        <f t="shared" ca="1" si="145"/>
        <v>8416.406814310847</v>
      </c>
      <c r="X738" s="33">
        <f t="shared" ca="1" si="146"/>
        <v>7877.2903285462926</v>
      </c>
      <c r="Y738" s="32">
        <f t="shared" ca="1" si="153"/>
        <v>0</v>
      </c>
    </row>
    <row r="739" spans="1:25">
      <c r="A739" s="5">
        <v>39447</v>
      </c>
      <c r="B739" s="4">
        <v>8450.32</v>
      </c>
      <c r="C739" s="4">
        <v>8506.2800000000007</v>
      </c>
      <c r="D739" s="4">
        <v>8414.7900000000009</v>
      </c>
      <c r="E739" s="4">
        <v>8506.2800000000007</v>
      </c>
      <c r="F739" s="4">
        <v>3607200</v>
      </c>
      <c r="G739" s="8">
        <f t="shared" si="155"/>
        <v>53.369999999998981</v>
      </c>
      <c r="H739" s="8">
        <f t="shared" si="154"/>
        <v>55.960000000000946</v>
      </c>
      <c r="I739" s="20">
        <f t="shared" ca="1" si="147"/>
        <v>1</v>
      </c>
      <c r="J739" s="8">
        <f t="shared" ca="1" si="148"/>
        <v>-2</v>
      </c>
      <c r="K739" s="8">
        <f t="shared" ca="1" si="149"/>
        <v>-218.65999999999985</v>
      </c>
      <c r="L739" s="8">
        <f t="shared" ca="1" si="150"/>
        <v>4257.0800000000017</v>
      </c>
      <c r="M739" s="9">
        <f ca="1">AVERAGE(E739:OFFSET(E739,-M$5+1,0))</f>
        <v>8129.6109999999999</v>
      </c>
      <c r="N739" s="9">
        <f ca="1">AVERAGE(E739:OFFSET(E739,-N$5+1,0))</f>
        <v>8295.2605000000003</v>
      </c>
      <c r="O739" s="9">
        <f t="shared" ca="1" si="151"/>
        <v>0</v>
      </c>
      <c r="P739" s="14">
        <f t="shared" si="156"/>
        <v>1.2936169553799863</v>
      </c>
      <c r="Q739" s="15">
        <f ca="1">STDEV(P739:OFFSET(P739,-$Q$5+1,0))</f>
        <v>1.393022700299247</v>
      </c>
      <c r="R739" s="15">
        <f ca="1">STDEV(P739:OFFSET(P739,-$R$5+1,0))</f>
        <v>1.7398997346049174</v>
      </c>
      <c r="S739" s="18">
        <f t="shared" si="143"/>
        <v>91.489999999999782</v>
      </c>
      <c r="T739" s="18">
        <f t="shared" si="144"/>
        <v>109.32999999999993</v>
      </c>
      <c r="U739" s="18">
        <f t="shared" si="152"/>
        <v>170.32209588753804</v>
      </c>
      <c r="V739" s="33">
        <f ca="1">AVERAGE(E739:OFFSET(E739,-V$5+1,0))</f>
        <v>8137.4164285714278</v>
      </c>
      <c r="W739" s="33">
        <f t="shared" ca="1" si="145"/>
        <v>8392.8995724027354</v>
      </c>
      <c r="X739" s="33">
        <f t="shared" ca="1" si="146"/>
        <v>7881.9332847401211</v>
      </c>
      <c r="Y739" s="32">
        <f t="shared" ca="1" si="153"/>
        <v>1</v>
      </c>
    </row>
    <row r="740" spans="1:25">
      <c r="A740" s="5">
        <v>39449</v>
      </c>
      <c r="B740" s="4">
        <v>8491.57</v>
      </c>
      <c r="C740" s="4">
        <v>8532.92</v>
      </c>
      <c r="D740" s="4">
        <v>8319.58</v>
      </c>
      <c r="E740" s="4">
        <v>8323.0499999999993</v>
      </c>
      <c r="F740" s="4">
        <v>4372600</v>
      </c>
      <c r="G740" s="8">
        <f t="shared" si="155"/>
        <v>-14.710000000000946</v>
      </c>
      <c r="H740" s="8">
        <f t="shared" si="154"/>
        <v>-168.52000000000044</v>
      </c>
      <c r="I740" s="20">
        <f t="shared" ca="1" si="147"/>
        <v>0</v>
      </c>
      <c r="J740" s="8">
        <f t="shared" ca="1" si="148"/>
        <v>-1</v>
      </c>
      <c r="K740" s="8">
        <f t="shared" ca="1" si="149"/>
        <v>197.94000000000233</v>
      </c>
      <c r="L740" s="8">
        <f t="shared" ca="1" si="150"/>
        <v>4455.0200000000041</v>
      </c>
      <c r="M740" s="9">
        <f ca="1">AVERAGE(E740:OFFSET(E740,-M$5+1,0))</f>
        <v>8181.1770000000006</v>
      </c>
      <c r="N740" s="9">
        <f ca="1">AVERAGE(E740:OFFSET(E740,-N$5+1,0))</f>
        <v>8278.8490000000002</v>
      </c>
      <c r="O740" s="9">
        <f t="shared" ca="1" si="151"/>
        <v>0</v>
      </c>
      <c r="P740" s="14">
        <f t="shared" si="156"/>
        <v>-2.1775940034785384</v>
      </c>
      <c r="Q740" s="15">
        <f ca="1">STDEV(P740:OFFSET(P740,-$Q$5+1,0))</f>
        <v>1.6623520908915133</v>
      </c>
      <c r="R740" s="15">
        <f ca="1">STDEV(P740:OFFSET(P740,-$R$5+1,0))</f>
        <v>1.7670071719918814</v>
      </c>
      <c r="S740" s="18">
        <f t="shared" si="143"/>
        <v>213.34000000000015</v>
      </c>
      <c r="T740" s="18">
        <f t="shared" si="144"/>
        <v>213.34000000000015</v>
      </c>
      <c r="U740" s="18">
        <f t="shared" si="152"/>
        <v>176.0578164358663</v>
      </c>
      <c r="V740" s="33">
        <f ca="1">AVERAGE(E740:OFFSET(E740,-V$5+1,0))</f>
        <v>8125.4314285714281</v>
      </c>
      <c r="W740" s="33">
        <f t="shared" ca="1" si="145"/>
        <v>8389.5181532252282</v>
      </c>
      <c r="X740" s="33">
        <f t="shared" ca="1" si="146"/>
        <v>7861.344703917629</v>
      </c>
      <c r="Y740" s="32">
        <f t="shared" ca="1" si="153"/>
        <v>0</v>
      </c>
    </row>
    <row r="741" spans="1:25">
      <c r="A741" s="5">
        <v>39450</v>
      </c>
      <c r="B741" s="4">
        <v>8171.68</v>
      </c>
      <c r="C741" s="4">
        <v>8243.93</v>
      </c>
      <c r="D741" s="4">
        <v>8130.41</v>
      </c>
      <c r="E741" s="4">
        <v>8184.2</v>
      </c>
      <c r="F741" s="4">
        <v>3636400</v>
      </c>
      <c r="G741" s="8">
        <f t="shared" si="155"/>
        <v>-151.36999999999898</v>
      </c>
      <c r="H741" s="8">
        <f t="shared" si="154"/>
        <v>12.519999999999527</v>
      </c>
      <c r="I741" s="20">
        <f t="shared" ca="1" si="147"/>
        <v>0</v>
      </c>
      <c r="J741" s="8">
        <f t="shared" ca="1" si="148"/>
        <v>-1</v>
      </c>
      <c r="K741" s="8">
        <f t="shared" ca="1" si="149"/>
        <v>138.84999999999945</v>
      </c>
      <c r="L741" s="8">
        <f t="shared" ca="1" si="150"/>
        <v>4593.8700000000035</v>
      </c>
      <c r="M741" s="9">
        <f ca="1">AVERAGE(E741:OFFSET(E741,-M$5+1,0))</f>
        <v>8198.1660000000011</v>
      </c>
      <c r="N741" s="9">
        <f ca="1">AVERAGE(E741:OFFSET(E741,-N$5+1,0))</f>
        <v>8254.2115000000013</v>
      </c>
      <c r="O741" s="9">
        <f t="shared" ca="1" si="151"/>
        <v>0</v>
      </c>
      <c r="P741" s="14">
        <f t="shared" si="156"/>
        <v>-1.68233079167626</v>
      </c>
      <c r="Q741" s="15">
        <f ca="1">STDEV(P741:OFFSET(P741,-$Q$5+1,0))</f>
        <v>1.6502248793268564</v>
      </c>
      <c r="R741" s="15">
        <f ca="1">STDEV(P741:OFFSET(P741,-$R$5+1,0))</f>
        <v>1.7798405046891277</v>
      </c>
      <c r="S741" s="18">
        <f t="shared" si="143"/>
        <v>113.52000000000044</v>
      </c>
      <c r="T741" s="18">
        <f t="shared" si="144"/>
        <v>192.63999999999942</v>
      </c>
      <c r="U741" s="18">
        <f t="shared" si="152"/>
        <v>178.26877424441739</v>
      </c>
      <c r="V741" s="33">
        <f ca="1">AVERAGE(E741:OFFSET(E741,-V$5+1,0))</f>
        <v>8125.1635714285721</v>
      </c>
      <c r="W741" s="33">
        <f t="shared" ca="1" si="145"/>
        <v>8392.5667327951978</v>
      </c>
      <c r="X741" s="33">
        <f t="shared" ca="1" si="146"/>
        <v>7857.7604100619465</v>
      </c>
      <c r="Y741" s="32">
        <f t="shared" ca="1" si="153"/>
        <v>0</v>
      </c>
    </row>
    <row r="742" spans="1:25">
      <c r="A742" s="5">
        <v>39451</v>
      </c>
      <c r="B742" s="4">
        <v>8134.04</v>
      </c>
      <c r="C742" s="4">
        <v>8247.18</v>
      </c>
      <c r="D742" s="4">
        <v>8097.85</v>
      </c>
      <c r="E742" s="4">
        <v>8221.1</v>
      </c>
      <c r="F742" s="4">
        <v>4603600</v>
      </c>
      <c r="G742" s="8">
        <f t="shared" si="155"/>
        <v>-50.159999999999854</v>
      </c>
      <c r="H742" s="8">
        <f t="shared" si="154"/>
        <v>87.0600000000004</v>
      </c>
      <c r="I742" s="20">
        <f t="shared" ca="1" si="147"/>
        <v>0</v>
      </c>
      <c r="J742" s="8">
        <f t="shared" ca="1" si="148"/>
        <v>-1</v>
      </c>
      <c r="K742" s="8">
        <f t="shared" ca="1" si="149"/>
        <v>-36.900000000000546</v>
      </c>
      <c r="L742" s="8">
        <f t="shared" ca="1" si="150"/>
        <v>4556.970000000003</v>
      </c>
      <c r="M742" s="9">
        <f ca="1">AVERAGE(E742:OFFSET(E742,-M$5+1,0))</f>
        <v>8234.5680000000011</v>
      </c>
      <c r="N742" s="9">
        <f ca="1">AVERAGE(E742:OFFSET(E742,-N$5+1,0))</f>
        <v>8230.5460000000003</v>
      </c>
      <c r="O742" s="9">
        <f t="shared" ca="1" si="151"/>
        <v>1</v>
      </c>
      <c r="P742" s="14">
        <f t="shared" si="156"/>
        <v>0.4498553787948078</v>
      </c>
      <c r="Q742" s="15">
        <f ca="1">STDEV(P742:OFFSET(P742,-$Q$5+1,0))</f>
        <v>1.4596297805991498</v>
      </c>
      <c r="R742" s="15">
        <f ca="1">STDEV(P742:OFFSET(P742,-$R$5+1,0))</f>
        <v>1.6814862473411123</v>
      </c>
      <c r="S742" s="18">
        <f t="shared" si="143"/>
        <v>149.32999999999993</v>
      </c>
      <c r="T742" s="18">
        <f t="shared" si="144"/>
        <v>149.32999999999993</v>
      </c>
      <c r="U742" s="18">
        <f t="shared" si="152"/>
        <v>174.4102710118284</v>
      </c>
      <c r="V742" s="33">
        <f ca="1">AVERAGE(E742:OFFSET(E742,-V$5+1,0))</f>
        <v>8132.5221428571431</v>
      </c>
      <c r="W742" s="33">
        <f t="shared" ca="1" si="145"/>
        <v>8394.1375493748856</v>
      </c>
      <c r="X742" s="33">
        <f t="shared" ca="1" si="146"/>
        <v>7870.9067363394006</v>
      </c>
      <c r="Y742" s="32">
        <f t="shared" ca="1" si="153"/>
        <v>0</v>
      </c>
    </row>
    <row r="743" spans="1:25">
      <c r="A743" s="5">
        <v>39454</v>
      </c>
      <c r="B743" s="4">
        <v>7959.92</v>
      </c>
      <c r="C743" s="4">
        <v>8015.93</v>
      </c>
      <c r="D743" s="4">
        <v>7883.37</v>
      </c>
      <c r="E743" s="4">
        <v>7883.37</v>
      </c>
      <c r="F743" s="4">
        <v>4539800</v>
      </c>
      <c r="G743" s="8">
        <f t="shared" si="155"/>
        <v>-261.18000000000029</v>
      </c>
      <c r="H743" s="8">
        <f t="shared" si="154"/>
        <v>-76.550000000000182</v>
      </c>
      <c r="I743" s="20">
        <f t="shared" ca="1" si="147"/>
        <v>0</v>
      </c>
      <c r="J743" s="8">
        <f t="shared" ca="1" si="148"/>
        <v>-1</v>
      </c>
      <c r="K743" s="8">
        <f t="shared" ca="1" si="149"/>
        <v>337.73000000000047</v>
      </c>
      <c r="L743" s="8">
        <f t="shared" ca="1" si="150"/>
        <v>4894.7000000000035</v>
      </c>
      <c r="M743" s="9">
        <f ca="1">AVERAGE(E743:OFFSET(E743,-M$5+1,0))</f>
        <v>8228.7610000000004</v>
      </c>
      <c r="N743" s="9">
        <f ca="1">AVERAGE(E743:OFFSET(E743,-N$5+1,0))</f>
        <v>8188.5955000000004</v>
      </c>
      <c r="O743" s="9">
        <f t="shared" ca="1" si="151"/>
        <v>0</v>
      </c>
      <c r="P743" s="14">
        <f t="shared" si="156"/>
        <v>-4.1948542644529505</v>
      </c>
      <c r="Q743" s="15">
        <f ca="1">STDEV(P743:OFFSET(P743,-$Q$5+1,0))</f>
        <v>2.0447267769082123</v>
      </c>
      <c r="R743" s="15">
        <f ca="1">STDEV(P743:OFFSET(P743,-$R$5+1,0))</f>
        <v>1.7924123414526012</v>
      </c>
      <c r="S743" s="18">
        <f t="shared" si="143"/>
        <v>132.5600000000004</v>
      </c>
      <c r="T743" s="18">
        <f t="shared" si="144"/>
        <v>337.73000000000047</v>
      </c>
      <c r="U743" s="18">
        <f t="shared" si="152"/>
        <v>196.18623487691804</v>
      </c>
      <c r="V743" s="33">
        <f ca="1">AVERAGE(E743:OFFSET(E743,-V$5+1,0))</f>
        <v>8136.2735714285718</v>
      </c>
      <c r="W743" s="33">
        <f t="shared" ca="1" si="145"/>
        <v>8430.5529237439496</v>
      </c>
      <c r="X743" s="33">
        <f t="shared" ca="1" si="146"/>
        <v>7841.994219113195</v>
      </c>
      <c r="Y743" s="32">
        <f t="shared" ca="1" si="153"/>
        <v>0</v>
      </c>
    </row>
    <row r="744" spans="1:25">
      <c r="A744" s="5">
        <v>39455</v>
      </c>
      <c r="B744" s="4">
        <v>7909.26</v>
      </c>
      <c r="C744" s="4">
        <v>8011.07</v>
      </c>
      <c r="D744" s="4">
        <v>7895.78</v>
      </c>
      <c r="E744" s="4">
        <v>7962.91</v>
      </c>
      <c r="F744" s="4">
        <v>4618800</v>
      </c>
      <c r="G744" s="8">
        <f t="shared" si="155"/>
        <v>25.890000000000327</v>
      </c>
      <c r="H744" s="8">
        <f t="shared" si="154"/>
        <v>53.649999999999636</v>
      </c>
      <c r="I744" s="20">
        <f t="shared" ca="1" si="147"/>
        <v>0</v>
      </c>
      <c r="J744" s="8">
        <f t="shared" ca="1" si="148"/>
        <v>-1</v>
      </c>
      <c r="K744" s="8">
        <f t="shared" ca="1" si="149"/>
        <v>-79.539999999999964</v>
      </c>
      <c r="L744" s="8">
        <f t="shared" ca="1" si="150"/>
        <v>4815.1600000000035</v>
      </c>
      <c r="M744" s="9">
        <f ca="1">AVERAGE(E744:OFFSET(E744,-M$5+1,0))</f>
        <v>8211.5040000000008</v>
      </c>
      <c r="N744" s="9">
        <f ca="1">AVERAGE(E744:OFFSET(E744,-N$5+1,0))</f>
        <v>8156.8394999999991</v>
      </c>
      <c r="O744" s="9">
        <f t="shared" ca="1" si="151"/>
        <v>0</v>
      </c>
      <c r="P744" s="14">
        <f t="shared" si="156"/>
        <v>1.0039033516617644</v>
      </c>
      <c r="Q744" s="15">
        <f ca="1">STDEV(P744:OFFSET(P744,-$Q$5+1,0))</f>
        <v>1.8974460535806574</v>
      </c>
      <c r="R744" s="15">
        <f ca="1">STDEV(P744:OFFSET(P744,-$R$5+1,0))</f>
        <v>1.7326001621353375</v>
      </c>
      <c r="S744" s="18">
        <f t="shared" si="143"/>
        <v>115.28999999999996</v>
      </c>
      <c r="T744" s="18">
        <f t="shared" si="144"/>
        <v>127.69999999999982</v>
      </c>
      <c r="U744" s="18">
        <f t="shared" si="152"/>
        <v>187.05473689332894</v>
      </c>
      <c r="V744" s="33">
        <f ca="1">AVERAGE(E744:OFFSET(E744,-V$5+1,0))</f>
        <v>8147.3821428571437</v>
      </c>
      <c r="W744" s="33">
        <f t="shared" ca="1" si="145"/>
        <v>8427.9642481971368</v>
      </c>
      <c r="X744" s="33">
        <f t="shared" ca="1" si="146"/>
        <v>7866.8000375171505</v>
      </c>
      <c r="Y744" s="32">
        <f t="shared" ca="1" si="153"/>
        <v>0</v>
      </c>
    </row>
    <row r="745" spans="1:25">
      <c r="A745" s="5">
        <v>39456</v>
      </c>
      <c r="B745" s="4">
        <v>7842.16</v>
      </c>
      <c r="C745" s="4">
        <v>8085.06</v>
      </c>
      <c r="D745" s="4">
        <v>7818.31</v>
      </c>
      <c r="E745" s="4">
        <v>8085.06</v>
      </c>
      <c r="F745" s="4">
        <v>4682400</v>
      </c>
      <c r="G745" s="8">
        <f t="shared" si="155"/>
        <v>-120.75</v>
      </c>
      <c r="H745" s="8">
        <f t="shared" si="154"/>
        <v>242.90000000000055</v>
      </c>
      <c r="I745" s="20">
        <f t="shared" ca="1" si="147"/>
        <v>0</v>
      </c>
      <c r="J745" s="8">
        <f t="shared" ca="1" si="148"/>
        <v>-1</v>
      </c>
      <c r="K745" s="8">
        <f t="shared" ca="1" si="149"/>
        <v>-122.15000000000055</v>
      </c>
      <c r="L745" s="8">
        <f t="shared" ca="1" si="150"/>
        <v>4693.0100000000029</v>
      </c>
      <c r="M745" s="9">
        <f ca="1">AVERAGE(E745:OFFSET(E745,-M$5+1,0))</f>
        <v>8203.3029999999999</v>
      </c>
      <c r="N745" s="9">
        <f ca="1">AVERAGE(E745:OFFSET(E745,-N$5+1,0))</f>
        <v>8129.1759999999995</v>
      </c>
      <c r="O745" s="9">
        <f t="shared" ca="1" si="151"/>
        <v>0</v>
      </c>
      <c r="P745" s="14">
        <f t="shared" si="156"/>
        <v>1.522340321338788</v>
      </c>
      <c r="Q745" s="15">
        <f ca="1">STDEV(P745:OFFSET(P745,-$Q$5+1,0))</f>
        <v>1.9699935126682766</v>
      </c>
      <c r="R745" s="15">
        <f ca="1">STDEV(P745:OFFSET(P745,-$R$5+1,0))</f>
        <v>1.7491425921439618</v>
      </c>
      <c r="S745" s="18">
        <f t="shared" si="143"/>
        <v>266.75</v>
      </c>
      <c r="T745" s="18">
        <f t="shared" si="144"/>
        <v>266.75</v>
      </c>
      <c r="U745" s="18">
        <f t="shared" si="152"/>
        <v>197.6807719742184</v>
      </c>
      <c r="V745" s="33">
        <f ca="1">AVERAGE(E745:OFFSET(E745,-V$5+1,0))</f>
        <v>8152.4357142857143</v>
      </c>
      <c r="W745" s="33">
        <f t="shared" ca="1" si="145"/>
        <v>8448.9568722470412</v>
      </c>
      <c r="X745" s="33">
        <f t="shared" ca="1" si="146"/>
        <v>7855.9145563243865</v>
      </c>
      <c r="Y745" s="32">
        <f t="shared" ca="1" si="153"/>
        <v>0</v>
      </c>
    </row>
    <row r="746" spans="1:25">
      <c r="A746" s="5">
        <v>39457</v>
      </c>
      <c r="B746" s="4">
        <v>8153.08</v>
      </c>
      <c r="C746" s="4">
        <v>8177.13</v>
      </c>
      <c r="D746" s="4">
        <v>8057.27</v>
      </c>
      <c r="E746" s="4">
        <v>8057.27</v>
      </c>
      <c r="F746" s="4">
        <v>4480000</v>
      </c>
      <c r="G746" s="8">
        <f t="shared" si="155"/>
        <v>68.019999999999527</v>
      </c>
      <c r="H746" s="8">
        <f t="shared" si="154"/>
        <v>-95.809999999999491</v>
      </c>
      <c r="I746" s="20">
        <f t="shared" ca="1" si="147"/>
        <v>0</v>
      </c>
      <c r="J746" s="8">
        <f t="shared" ca="1" si="148"/>
        <v>-1</v>
      </c>
      <c r="K746" s="8">
        <f t="shared" ca="1" si="149"/>
        <v>27.789999999999964</v>
      </c>
      <c r="L746" s="8">
        <f t="shared" ca="1" si="150"/>
        <v>4720.8000000000029</v>
      </c>
      <c r="M746" s="9">
        <f ca="1">AVERAGE(E746:OFFSET(E746,-M$5+1,0))</f>
        <v>8193.3909999999996</v>
      </c>
      <c r="N746" s="9">
        <f ca="1">AVERAGE(E746:OFFSET(E746,-N$5+1,0))</f>
        <v>8107.4974999999995</v>
      </c>
      <c r="O746" s="9">
        <f t="shared" ca="1" si="151"/>
        <v>0</v>
      </c>
      <c r="P746" s="14">
        <f t="shared" si="156"/>
        <v>-0.34431246857731018</v>
      </c>
      <c r="Q746" s="15">
        <f ca="1">STDEV(P746:OFFSET(P746,-$Q$5+1,0))</f>
        <v>1.97150974467846</v>
      </c>
      <c r="R746" s="15">
        <f ca="1">STDEV(P746:OFFSET(P746,-$R$5+1,0))</f>
        <v>1.6962867388268952</v>
      </c>
      <c r="S746" s="18">
        <f t="shared" si="143"/>
        <v>119.85999999999967</v>
      </c>
      <c r="T746" s="18">
        <f t="shared" si="144"/>
        <v>119.85999999999967</v>
      </c>
      <c r="U746" s="18">
        <f t="shared" si="152"/>
        <v>187.30466904432257</v>
      </c>
      <c r="V746" s="33">
        <f ca="1">AVERAGE(E746:OFFSET(E746,-V$5+1,0))</f>
        <v>8166.7350000000006</v>
      </c>
      <c r="W746" s="33">
        <f t="shared" ca="1" si="145"/>
        <v>8447.6920035664843</v>
      </c>
      <c r="X746" s="33">
        <f t="shared" ca="1" si="146"/>
        <v>7885.7779964335168</v>
      </c>
      <c r="Y746" s="32">
        <f t="shared" ca="1" si="153"/>
        <v>0</v>
      </c>
    </row>
    <row r="747" spans="1:25">
      <c r="A747" s="5">
        <v>39458</v>
      </c>
      <c r="B747" s="4">
        <v>8134.11</v>
      </c>
      <c r="C747" s="4">
        <v>8151.95</v>
      </c>
      <c r="D747" s="4">
        <v>8026.34</v>
      </c>
      <c r="E747" s="4">
        <v>8029.31</v>
      </c>
      <c r="F747" s="4">
        <v>3920400</v>
      </c>
      <c r="G747" s="8">
        <f t="shared" si="155"/>
        <v>76.839999999999236</v>
      </c>
      <c r="H747" s="8">
        <f t="shared" si="154"/>
        <v>-104.79999999999927</v>
      </c>
      <c r="I747" s="20">
        <f t="shared" ca="1" si="147"/>
        <v>0</v>
      </c>
      <c r="J747" s="8">
        <f t="shared" ca="1" si="148"/>
        <v>-1</v>
      </c>
      <c r="K747" s="8">
        <f t="shared" ca="1" si="149"/>
        <v>27.960000000000036</v>
      </c>
      <c r="L747" s="8">
        <f t="shared" ca="1" si="150"/>
        <v>4748.7600000000029</v>
      </c>
      <c r="M747" s="9">
        <f ca="1">AVERAGE(E747:OFFSET(E747,-M$5+1,0))</f>
        <v>8164.95</v>
      </c>
      <c r="N747" s="9">
        <f ca="1">AVERAGE(E747:OFFSET(E747,-N$5+1,0))</f>
        <v>8099.5654999999997</v>
      </c>
      <c r="O747" s="9">
        <f t="shared" ca="1" si="151"/>
        <v>0</v>
      </c>
      <c r="P747" s="14">
        <f t="shared" si="156"/>
        <v>-0.34761929702300876</v>
      </c>
      <c r="Q747" s="15">
        <f ca="1">STDEV(P747:OFFSET(P747,-$Q$5+1,0))</f>
        <v>1.8375756054467274</v>
      </c>
      <c r="R747" s="15">
        <f ca="1">STDEV(P747:OFFSET(P747,-$R$5+1,0))</f>
        <v>1.6961500187082037</v>
      </c>
      <c r="S747" s="18">
        <f t="shared" si="143"/>
        <v>125.60999999999967</v>
      </c>
      <c r="T747" s="18">
        <f t="shared" si="144"/>
        <v>125.60999999999967</v>
      </c>
      <c r="U747" s="18">
        <f t="shared" si="152"/>
        <v>179.07871317174619</v>
      </c>
      <c r="V747" s="33">
        <f ca="1">AVERAGE(E747:OFFSET(E747,-V$5+1,0))</f>
        <v>8173.011428571429</v>
      </c>
      <c r="W747" s="33">
        <f t="shared" ca="1" si="145"/>
        <v>8441.6294983290481</v>
      </c>
      <c r="X747" s="33">
        <f t="shared" ca="1" si="146"/>
        <v>7904.3933588138098</v>
      </c>
      <c r="Y747" s="32">
        <f t="shared" ca="1" si="153"/>
        <v>0</v>
      </c>
    </row>
    <row r="748" spans="1:25">
      <c r="A748" s="5">
        <v>39461</v>
      </c>
      <c r="B748" s="4">
        <v>8254</v>
      </c>
      <c r="C748" s="4">
        <v>8260.8799999999992</v>
      </c>
      <c r="D748" s="4">
        <v>8097.68</v>
      </c>
      <c r="E748" s="4">
        <v>8173.41</v>
      </c>
      <c r="F748" s="4">
        <v>6106000</v>
      </c>
      <c r="G748" s="8">
        <f t="shared" si="155"/>
        <v>224.6899999999996</v>
      </c>
      <c r="H748" s="8">
        <f t="shared" si="154"/>
        <v>-80.590000000000146</v>
      </c>
      <c r="I748" s="20">
        <f t="shared" ca="1" si="147"/>
        <v>0</v>
      </c>
      <c r="J748" s="8">
        <f t="shared" ca="1" si="148"/>
        <v>-1</v>
      </c>
      <c r="K748" s="8">
        <f t="shared" ca="1" si="149"/>
        <v>-144.09999999999945</v>
      </c>
      <c r="L748" s="8">
        <f t="shared" ca="1" si="150"/>
        <v>4604.6600000000035</v>
      </c>
      <c r="M748" s="9">
        <f ca="1">AVERAGE(E748:OFFSET(E748,-M$5+1,0))</f>
        <v>8142.5960000000005</v>
      </c>
      <c r="N748" s="9">
        <f ca="1">AVERAGE(E748:OFFSET(E748,-N$5+1,0))</f>
        <v>8102.3319999999994</v>
      </c>
      <c r="O748" s="9">
        <f t="shared" ca="1" si="151"/>
        <v>0</v>
      </c>
      <c r="P748" s="14">
        <f t="shared" si="156"/>
        <v>1.7787605957978792</v>
      </c>
      <c r="Q748" s="15">
        <f ca="1">STDEV(P748:OFFSET(P748,-$Q$5+1,0))</f>
        <v>1.9161722329273345</v>
      </c>
      <c r="R748" s="15">
        <f ca="1">STDEV(P748:OFFSET(P748,-$R$5+1,0))</f>
        <v>1.7118959489751717</v>
      </c>
      <c r="S748" s="18">
        <f t="shared" si="143"/>
        <v>163.19999999999891</v>
      </c>
      <c r="T748" s="18">
        <f t="shared" si="144"/>
        <v>231.5699999999988</v>
      </c>
      <c r="U748" s="18">
        <f t="shared" si="152"/>
        <v>186.0775514155132</v>
      </c>
      <c r="V748" s="33">
        <f ca="1">AVERAGE(E748:OFFSET(E748,-V$5+1,0))</f>
        <v>8175.7207142857151</v>
      </c>
      <c r="W748" s="33">
        <f t="shared" ca="1" si="145"/>
        <v>8454.8370414089841</v>
      </c>
      <c r="X748" s="33">
        <f t="shared" ca="1" si="146"/>
        <v>7896.6043871624452</v>
      </c>
      <c r="Y748" s="32">
        <f t="shared" ca="1" si="153"/>
        <v>0</v>
      </c>
    </row>
    <row r="749" spans="1:25">
      <c r="A749" s="5">
        <v>39462</v>
      </c>
      <c r="B749" s="4">
        <v>8316.24</v>
      </c>
      <c r="C749" s="4">
        <v>8546.2000000000007</v>
      </c>
      <c r="D749" s="4">
        <v>8312.02</v>
      </c>
      <c r="E749" s="4">
        <v>8428.84</v>
      </c>
      <c r="F749" s="4">
        <v>7548600</v>
      </c>
      <c r="G749" s="8">
        <f t="shared" si="155"/>
        <v>142.82999999999993</v>
      </c>
      <c r="H749" s="8">
        <f t="shared" si="154"/>
        <v>112.60000000000036</v>
      </c>
      <c r="I749" s="20">
        <f t="shared" ca="1" si="147"/>
        <v>0</v>
      </c>
      <c r="J749" s="8">
        <f t="shared" ca="1" si="148"/>
        <v>-1</v>
      </c>
      <c r="K749" s="8">
        <f t="shared" ca="1" si="149"/>
        <v>-255.43000000000029</v>
      </c>
      <c r="L749" s="8">
        <f t="shared" ca="1" si="150"/>
        <v>4349.2300000000032</v>
      </c>
      <c r="M749" s="9">
        <f ca="1">AVERAGE(E749:OFFSET(E749,-M$5+1,0))</f>
        <v>8134.851999999999</v>
      </c>
      <c r="N749" s="9">
        <f ca="1">AVERAGE(E749:OFFSET(E749,-N$5+1,0))</f>
        <v>8132.2314999999999</v>
      </c>
      <c r="O749" s="9">
        <f t="shared" ca="1" si="151"/>
        <v>0</v>
      </c>
      <c r="P749" s="14">
        <f t="shared" si="156"/>
        <v>3.0772956295738982</v>
      </c>
      <c r="Q749" s="15">
        <f ca="1">STDEV(P749:OFFSET(P749,-$Q$5+1,0))</f>
        <v>2.1469915232323027</v>
      </c>
      <c r="R749" s="15">
        <f ca="1">STDEV(P749:OFFSET(P749,-$R$5+1,0))</f>
        <v>1.7819336872148095</v>
      </c>
      <c r="S749" s="18">
        <f t="shared" si="143"/>
        <v>234.18000000000029</v>
      </c>
      <c r="T749" s="18">
        <f t="shared" si="144"/>
        <v>372.79000000000087</v>
      </c>
      <c r="U749" s="18">
        <f t="shared" si="152"/>
        <v>210.97254456011154</v>
      </c>
      <c r="V749" s="33">
        <f ca="1">AVERAGE(E749:OFFSET(E749,-V$5+1,0))</f>
        <v>8194.4185714285722</v>
      </c>
      <c r="W749" s="33">
        <f t="shared" ca="1" si="145"/>
        <v>8510.8773882687401</v>
      </c>
      <c r="X749" s="33">
        <f t="shared" ca="1" si="146"/>
        <v>7877.9597545884053</v>
      </c>
      <c r="Y749" s="32">
        <f t="shared" ca="1" si="153"/>
        <v>0</v>
      </c>
    </row>
    <row r="750" spans="1:25">
      <c r="A750" s="5">
        <v>39463</v>
      </c>
      <c r="B750" s="4">
        <v>8286.31</v>
      </c>
      <c r="C750" s="4">
        <v>8375.06</v>
      </c>
      <c r="D750" s="4">
        <v>8179.54</v>
      </c>
      <c r="E750" s="4">
        <v>8179.54</v>
      </c>
      <c r="F750" s="4">
        <v>7645200</v>
      </c>
      <c r="G750" s="8">
        <f t="shared" si="155"/>
        <v>-142.53000000000065</v>
      </c>
      <c r="H750" s="8">
        <f t="shared" si="154"/>
        <v>-106.76999999999953</v>
      </c>
      <c r="I750" s="20">
        <f t="shared" ca="1" si="147"/>
        <v>0</v>
      </c>
      <c r="J750" s="8">
        <f t="shared" ca="1" si="148"/>
        <v>-1</v>
      </c>
      <c r="K750" s="8">
        <f t="shared" ca="1" si="149"/>
        <v>249.30000000000018</v>
      </c>
      <c r="L750" s="8">
        <f t="shared" ca="1" si="150"/>
        <v>4598.5300000000034</v>
      </c>
      <c r="M750" s="9">
        <f ca="1">AVERAGE(E750:OFFSET(E750,-M$5+1,0))</f>
        <v>8120.5009999999993</v>
      </c>
      <c r="N750" s="9">
        <f ca="1">AVERAGE(E750:OFFSET(E750,-N$5+1,0))</f>
        <v>8150.8390000000018</v>
      </c>
      <c r="O750" s="9">
        <f t="shared" ca="1" si="151"/>
        <v>-1</v>
      </c>
      <c r="P750" s="14">
        <f t="shared" si="156"/>
        <v>-3.0023244434928227</v>
      </c>
      <c r="Q750" s="15">
        <f ca="1">STDEV(P750:OFFSET(P750,-$Q$5+1,0))</f>
        <v>2.2494275676198106</v>
      </c>
      <c r="R750" s="15">
        <f ca="1">STDEV(P750:OFFSET(P750,-$R$5+1,0))</f>
        <v>1.8410023796488793</v>
      </c>
      <c r="S750" s="18">
        <f t="shared" si="143"/>
        <v>195.51999999999953</v>
      </c>
      <c r="T750" s="18">
        <f t="shared" si="144"/>
        <v>249.30000000000018</v>
      </c>
      <c r="U750" s="18">
        <f t="shared" si="152"/>
        <v>216.0828719520967</v>
      </c>
      <c r="V750" s="33">
        <f ca="1">AVERAGE(E750:OFFSET(E750,-V$5+1,0))</f>
        <v>8196.0721428571433</v>
      </c>
      <c r="W750" s="33">
        <f t="shared" ca="1" si="145"/>
        <v>8520.1964507852881</v>
      </c>
      <c r="X750" s="33">
        <f t="shared" ca="1" si="146"/>
        <v>7871.9478349289984</v>
      </c>
      <c r="Y750" s="32">
        <f t="shared" ca="1" si="153"/>
        <v>0</v>
      </c>
    </row>
    <row r="751" spans="1:25">
      <c r="A751" s="5">
        <v>39464</v>
      </c>
      <c r="B751" s="4">
        <v>8245.19</v>
      </c>
      <c r="C751" s="4">
        <v>8300.2900000000009</v>
      </c>
      <c r="D751" s="4">
        <v>8004.47</v>
      </c>
      <c r="E751" s="4">
        <v>8101.63</v>
      </c>
      <c r="F751" s="4">
        <v>6393800</v>
      </c>
      <c r="G751" s="8">
        <f t="shared" si="155"/>
        <v>65.650000000000546</v>
      </c>
      <c r="H751" s="8">
        <f t="shared" si="154"/>
        <v>-143.5600000000004</v>
      </c>
      <c r="I751" s="20">
        <f t="shared" ca="1" si="147"/>
        <v>0</v>
      </c>
      <c r="J751" s="8">
        <f t="shared" ca="1" si="148"/>
        <v>-1</v>
      </c>
      <c r="K751" s="8">
        <f t="shared" ca="1" si="149"/>
        <v>77.909999999999854</v>
      </c>
      <c r="L751" s="8">
        <f t="shared" ca="1" si="150"/>
        <v>4676.4400000000032</v>
      </c>
      <c r="M751" s="9">
        <f ca="1">AVERAGE(E751:OFFSET(E751,-M$5+1,0))</f>
        <v>8112.2440000000006</v>
      </c>
      <c r="N751" s="9">
        <f ca="1">AVERAGE(E751:OFFSET(E751,-N$5+1,0))</f>
        <v>8155.2049999999999</v>
      </c>
      <c r="O751" s="9">
        <f t="shared" ca="1" si="151"/>
        <v>0</v>
      </c>
      <c r="P751" s="14">
        <f t="shared" si="156"/>
        <v>-0.95706383132635586</v>
      </c>
      <c r="Q751" s="15">
        <f ca="1">STDEV(P751:OFFSET(P751,-$Q$5+1,0))</f>
        <v>2.2066752728506014</v>
      </c>
      <c r="R751" s="15">
        <f ca="1">STDEV(P751:OFFSET(P751,-$R$5+1,0))</f>
        <v>1.8130231141904349</v>
      </c>
      <c r="S751" s="18">
        <f t="shared" si="143"/>
        <v>295.82000000000062</v>
      </c>
      <c r="T751" s="18">
        <f t="shared" si="144"/>
        <v>295.82000000000062</v>
      </c>
      <c r="U751" s="18">
        <f t="shared" si="152"/>
        <v>226.71448902515056</v>
      </c>
      <c r="V751" s="33">
        <f ca="1">AVERAGE(E751:OFFSET(E751,-V$5+1,0))</f>
        <v>8180.9228571428566</v>
      </c>
      <c r="W751" s="33">
        <f t="shared" ca="1" si="145"/>
        <v>8520.9945906805824</v>
      </c>
      <c r="X751" s="33">
        <f t="shared" ca="1" si="146"/>
        <v>7840.8511236051309</v>
      </c>
      <c r="Y751" s="32">
        <f t="shared" ca="1" si="153"/>
        <v>0</v>
      </c>
    </row>
    <row r="752" spans="1:25">
      <c r="A752" s="5">
        <v>39465</v>
      </c>
      <c r="B752" s="4">
        <v>7934.86</v>
      </c>
      <c r="C752" s="4">
        <v>8184.65</v>
      </c>
      <c r="D752" s="4">
        <v>7883.91</v>
      </c>
      <c r="E752" s="4">
        <v>8184.65</v>
      </c>
      <c r="F752" s="4">
        <v>5977400</v>
      </c>
      <c r="G752" s="8">
        <f t="shared" si="155"/>
        <v>-166.77000000000044</v>
      </c>
      <c r="H752" s="8">
        <f t="shared" si="154"/>
        <v>249.78999999999996</v>
      </c>
      <c r="I752" s="20">
        <f t="shared" ca="1" si="147"/>
        <v>0</v>
      </c>
      <c r="J752" s="8">
        <f t="shared" ca="1" si="148"/>
        <v>-1</v>
      </c>
      <c r="K752" s="8">
        <f t="shared" ca="1" si="149"/>
        <v>-83.019999999999527</v>
      </c>
      <c r="L752" s="8">
        <f t="shared" ca="1" si="150"/>
        <v>4593.4200000000037</v>
      </c>
      <c r="M752" s="9">
        <f ca="1">AVERAGE(E752:OFFSET(E752,-M$5+1,0))</f>
        <v>8108.5989999999993</v>
      </c>
      <c r="N752" s="9">
        <f ca="1">AVERAGE(E752:OFFSET(E752,-N$5+1,0))</f>
        <v>8171.5835000000006</v>
      </c>
      <c r="O752" s="9">
        <f t="shared" ca="1" si="151"/>
        <v>0</v>
      </c>
      <c r="P752" s="14">
        <f t="shared" si="156"/>
        <v>1.0195172759037423</v>
      </c>
      <c r="Q752" s="15">
        <f ca="1">STDEV(P752:OFFSET(P752,-$Q$5+1,0))</f>
        <v>2.2297201016478305</v>
      </c>
      <c r="R752" s="15">
        <f ca="1">STDEV(P752:OFFSET(P752,-$R$5+1,0))</f>
        <v>1.8213706533163112</v>
      </c>
      <c r="S752" s="18">
        <f t="shared" si="143"/>
        <v>300.73999999999978</v>
      </c>
      <c r="T752" s="18">
        <f t="shared" si="144"/>
        <v>300.73999999999978</v>
      </c>
      <c r="U752" s="18">
        <f t="shared" si="152"/>
        <v>236.58455715513045</v>
      </c>
      <c r="V752" s="33">
        <f ca="1">AVERAGE(E752:OFFSET(E752,-V$5+1,0))</f>
        <v>8165.7585714285715</v>
      </c>
      <c r="W752" s="33">
        <f t="shared" ca="1" si="145"/>
        <v>8520.6354071612677</v>
      </c>
      <c r="X752" s="33">
        <f t="shared" ca="1" si="146"/>
        <v>7810.8817356958762</v>
      </c>
      <c r="Y752" s="32">
        <f t="shared" ca="1" si="153"/>
        <v>0</v>
      </c>
    </row>
    <row r="753" spans="1:25">
      <c r="A753" s="5">
        <v>39468</v>
      </c>
      <c r="B753" s="4">
        <v>8167.48</v>
      </c>
      <c r="C753" s="4">
        <v>8220.6299999999992</v>
      </c>
      <c r="D753" s="4">
        <v>8099.59</v>
      </c>
      <c r="E753" s="4">
        <v>8110.2</v>
      </c>
      <c r="F753" s="4">
        <v>5519000</v>
      </c>
      <c r="G753" s="8">
        <f t="shared" si="155"/>
        <v>-17.170000000000073</v>
      </c>
      <c r="H753" s="8">
        <f t="shared" si="154"/>
        <v>-57.279999999999745</v>
      </c>
      <c r="I753" s="20">
        <f t="shared" ca="1" si="147"/>
        <v>0</v>
      </c>
      <c r="J753" s="8">
        <f t="shared" ca="1" si="148"/>
        <v>-1</v>
      </c>
      <c r="K753" s="8">
        <f t="shared" ca="1" si="149"/>
        <v>74.449999999999818</v>
      </c>
      <c r="L753" s="8">
        <f t="shared" ca="1" si="150"/>
        <v>4667.8700000000035</v>
      </c>
      <c r="M753" s="9">
        <f ca="1">AVERAGE(E753:OFFSET(E753,-M$5+1,0))</f>
        <v>8131.2819999999992</v>
      </c>
      <c r="N753" s="9">
        <f ca="1">AVERAGE(E753:OFFSET(E753,-N$5+1,0))</f>
        <v>8180.0215000000007</v>
      </c>
      <c r="O753" s="9">
        <f t="shared" ca="1" si="151"/>
        <v>0</v>
      </c>
      <c r="P753" s="14">
        <f t="shared" si="156"/>
        <v>-0.91379200246719317</v>
      </c>
      <c r="Q753" s="15">
        <f ca="1">STDEV(P753:OFFSET(P753,-$Q$5+1,0))</f>
        <v>1.7383943688457557</v>
      </c>
      <c r="R753" s="15">
        <f ca="1">STDEV(P753:OFFSET(P753,-$R$5+1,0))</f>
        <v>1.8037458415340284</v>
      </c>
      <c r="S753" s="18">
        <f t="shared" si="143"/>
        <v>121.03999999999905</v>
      </c>
      <c r="T753" s="18">
        <f t="shared" si="144"/>
        <v>121.03999999999905</v>
      </c>
      <c r="U753" s="18">
        <f t="shared" si="152"/>
        <v>221.17861620111296</v>
      </c>
      <c r="V753" s="33">
        <f ca="1">AVERAGE(E753:OFFSET(E753,-V$5+1,0))</f>
        <v>8137.467142857141</v>
      </c>
      <c r="W753" s="33">
        <f t="shared" ca="1" si="145"/>
        <v>8469.2350671588101</v>
      </c>
      <c r="X753" s="33">
        <f t="shared" ca="1" si="146"/>
        <v>7805.6992185554718</v>
      </c>
      <c r="Y753" s="32">
        <f t="shared" ca="1" si="153"/>
        <v>0</v>
      </c>
    </row>
    <row r="754" spans="1:25">
      <c r="A754" s="5">
        <v>39469</v>
      </c>
      <c r="B754" s="4">
        <v>7595.17</v>
      </c>
      <c r="C754" s="4">
        <v>7741.99</v>
      </c>
      <c r="D754" s="4">
        <v>7566.75</v>
      </c>
      <c r="E754" s="4">
        <v>7581.96</v>
      </c>
      <c r="F754" s="4">
        <v>4674600</v>
      </c>
      <c r="G754" s="8">
        <f t="shared" si="155"/>
        <v>-515.02999999999975</v>
      </c>
      <c r="H754" s="8">
        <f t="shared" si="154"/>
        <v>-13.210000000000036</v>
      </c>
      <c r="I754" s="20">
        <f t="shared" ca="1" si="147"/>
        <v>-1</v>
      </c>
      <c r="J754" s="8">
        <f t="shared" ca="1" si="148"/>
        <v>-1</v>
      </c>
      <c r="K754" s="8">
        <f t="shared" ca="1" si="149"/>
        <v>528.23999999999978</v>
      </c>
      <c r="L754" s="8">
        <f t="shared" ca="1" si="150"/>
        <v>5196.1100000000033</v>
      </c>
      <c r="M754" s="9">
        <f ca="1">AVERAGE(E754:OFFSET(E754,-M$5+1,0))</f>
        <v>8093.1870000000008</v>
      </c>
      <c r="N754" s="9">
        <f ca="1">AVERAGE(E754:OFFSET(E754,-N$5+1,0))</f>
        <v>8152.3455000000004</v>
      </c>
      <c r="O754" s="9">
        <f t="shared" ca="1" si="151"/>
        <v>0</v>
      </c>
      <c r="P754" s="14">
        <f t="shared" si="156"/>
        <v>-6.7350787308335187</v>
      </c>
      <c r="Q754" s="15">
        <f ca="1">STDEV(P754:OFFSET(P754,-$Q$5+1,0))</f>
        <v>2.7879314529169128</v>
      </c>
      <c r="R754" s="15">
        <f ca="1">STDEV(P754:OFFSET(P754,-$R$5+1,0))</f>
        <v>2.0513819819649624</v>
      </c>
      <c r="S754" s="18">
        <f t="shared" si="143"/>
        <v>175.23999999999978</v>
      </c>
      <c r="T754" s="18">
        <f t="shared" si="144"/>
        <v>543.44999999999982</v>
      </c>
      <c r="U754" s="18">
        <f t="shared" si="152"/>
        <v>264.14813404096458</v>
      </c>
      <c r="V754" s="33">
        <f ca="1">AVERAGE(E754:OFFSET(E754,-V$5+1,0))</f>
        <v>8084.5321428571424</v>
      </c>
      <c r="W754" s="33">
        <f t="shared" ca="1" si="145"/>
        <v>8480.7543439185902</v>
      </c>
      <c r="X754" s="33">
        <f t="shared" ca="1" si="146"/>
        <v>7688.3099417956955</v>
      </c>
      <c r="Y754" s="32">
        <f t="shared" ca="1" si="153"/>
        <v>-1</v>
      </c>
    </row>
    <row r="755" spans="1:25">
      <c r="A755" s="5">
        <v>39470</v>
      </c>
      <c r="B755" s="4">
        <v>7708.27</v>
      </c>
      <c r="C755" s="4">
        <v>7708.27</v>
      </c>
      <c r="D755" s="4">
        <v>7384.61</v>
      </c>
      <c r="E755" s="4">
        <v>7408.4</v>
      </c>
      <c r="F755" s="4">
        <v>5692200</v>
      </c>
      <c r="G755" s="8">
        <f t="shared" si="155"/>
        <v>126.3100000000004</v>
      </c>
      <c r="H755" s="8">
        <f t="shared" si="154"/>
        <v>-299.8700000000008</v>
      </c>
      <c r="I755" s="20">
        <f t="shared" ca="1" si="147"/>
        <v>0</v>
      </c>
      <c r="J755" s="8">
        <f t="shared" ca="1" si="148"/>
        <v>-2</v>
      </c>
      <c r="K755" s="8">
        <f t="shared" ca="1" si="149"/>
        <v>473.4300000000012</v>
      </c>
      <c r="L755" s="8">
        <f t="shared" ca="1" si="150"/>
        <v>5669.5400000000045</v>
      </c>
      <c r="M755" s="9">
        <f ca="1">AVERAGE(E755:OFFSET(E755,-M$5+1,0))</f>
        <v>8025.5209999999988</v>
      </c>
      <c r="N755" s="9">
        <f ca="1">AVERAGE(E755:OFFSET(E755,-N$5+1,0))</f>
        <v>8114.4119999999994</v>
      </c>
      <c r="O755" s="9">
        <f t="shared" ca="1" si="151"/>
        <v>0</v>
      </c>
      <c r="P755" s="14">
        <f t="shared" si="156"/>
        <v>-2.3157249860855247</v>
      </c>
      <c r="Q755" s="15">
        <f ca="1">STDEV(P755:OFFSET(P755,-$Q$5+1,0))</f>
        <v>2.7439224131318758</v>
      </c>
      <c r="R755" s="15">
        <f ca="1">STDEV(P755:OFFSET(P755,-$R$5+1,0))</f>
        <v>2.0625830540508865</v>
      </c>
      <c r="S755" s="18">
        <f t="shared" si="143"/>
        <v>323.66000000000076</v>
      </c>
      <c r="T755" s="18">
        <f t="shared" si="144"/>
        <v>323.66000000000076</v>
      </c>
      <c r="U755" s="18">
        <f t="shared" si="152"/>
        <v>272.08304950216939</v>
      </c>
      <c r="V755" s="33">
        <f ca="1">AVERAGE(E755:OFFSET(E755,-V$5+1,0))</f>
        <v>8029.1178571428563</v>
      </c>
      <c r="W755" s="33">
        <f t="shared" ca="1" si="145"/>
        <v>8437.242431396111</v>
      </c>
      <c r="X755" s="33">
        <f t="shared" ca="1" si="146"/>
        <v>7620.9932828896026</v>
      </c>
      <c r="Y755" s="32">
        <f t="shared" ca="1" si="153"/>
        <v>0</v>
      </c>
    </row>
    <row r="756" spans="1:25">
      <c r="A756" s="5">
        <v>39471</v>
      </c>
      <c r="B756" s="4">
        <v>7639.23</v>
      </c>
      <c r="C756" s="4">
        <v>7653.08</v>
      </c>
      <c r="D756" s="4">
        <v>7412.97</v>
      </c>
      <c r="E756" s="4">
        <v>7517.05</v>
      </c>
      <c r="F756" s="4">
        <v>5326400</v>
      </c>
      <c r="G756" s="8">
        <f t="shared" si="155"/>
        <v>230.82999999999993</v>
      </c>
      <c r="H756" s="8">
        <f t="shared" si="154"/>
        <v>-122.17999999999938</v>
      </c>
      <c r="I756" s="20">
        <f t="shared" ca="1" si="147"/>
        <v>0</v>
      </c>
      <c r="J756" s="8">
        <f t="shared" ca="1" si="148"/>
        <v>-2</v>
      </c>
      <c r="K756" s="8">
        <f t="shared" ca="1" si="149"/>
        <v>-217.30000000000109</v>
      </c>
      <c r="L756" s="8">
        <f t="shared" ca="1" si="150"/>
        <v>5452.2400000000034</v>
      </c>
      <c r="M756" s="9">
        <f ca="1">AVERAGE(E756:OFFSET(E756,-M$5+1,0))</f>
        <v>7971.4989999999989</v>
      </c>
      <c r="N756" s="9">
        <f ca="1">AVERAGE(E756:OFFSET(E756,-N$5+1,0))</f>
        <v>8082.4449999999979</v>
      </c>
      <c r="O756" s="9">
        <f t="shared" ca="1" si="151"/>
        <v>0</v>
      </c>
      <c r="P756" s="14">
        <f t="shared" si="156"/>
        <v>1.4559282196430483</v>
      </c>
      <c r="Q756" s="15">
        <f ca="1">STDEV(P756:OFFSET(P756,-$Q$5+1,0))</f>
        <v>2.839914417476646</v>
      </c>
      <c r="R756" s="15">
        <f ca="1">STDEV(P756:OFFSET(P756,-$R$5+1,0))</f>
        <v>2.0758582129962306</v>
      </c>
      <c r="S756" s="18">
        <f t="shared" si="143"/>
        <v>240.10999999999967</v>
      </c>
      <c r="T756" s="18">
        <f t="shared" si="144"/>
        <v>244.68000000000029</v>
      </c>
      <c r="U756" s="18">
        <f t="shared" si="152"/>
        <v>268.42930956854684</v>
      </c>
      <c r="V756" s="33">
        <f ca="1">AVERAGE(E756:OFFSET(E756,-V$5+1,0))</f>
        <v>7978.8285714285712</v>
      </c>
      <c r="W756" s="33">
        <f t="shared" ca="1" si="145"/>
        <v>8381.4725357813913</v>
      </c>
      <c r="X756" s="33">
        <f t="shared" ca="1" si="146"/>
        <v>7576.184607075751</v>
      </c>
      <c r="Y756" s="32">
        <f t="shared" ca="1" si="153"/>
        <v>0</v>
      </c>
    </row>
    <row r="757" spans="1:25">
      <c r="A757" s="5">
        <v>39472</v>
      </c>
      <c r="B757" s="4">
        <v>7648.29</v>
      </c>
      <c r="C757" s="4">
        <v>7739.59</v>
      </c>
      <c r="D757" s="4">
        <v>7648.29</v>
      </c>
      <c r="E757" s="4">
        <v>7739.59</v>
      </c>
      <c r="F757" s="4">
        <v>4640400</v>
      </c>
      <c r="G757" s="8">
        <f t="shared" si="155"/>
        <v>131.23999999999978</v>
      </c>
      <c r="H757" s="8">
        <f t="shared" si="154"/>
        <v>91.300000000000182</v>
      </c>
      <c r="I757" s="20">
        <f t="shared" ca="1" si="147"/>
        <v>0</v>
      </c>
      <c r="J757" s="8">
        <f t="shared" ca="1" si="148"/>
        <v>-2</v>
      </c>
      <c r="K757" s="8">
        <f t="shared" ca="1" si="149"/>
        <v>-445.07999999999993</v>
      </c>
      <c r="L757" s="8">
        <f t="shared" ca="1" si="150"/>
        <v>5007.1600000000035</v>
      </c>
      <c r="M757" s="9">
        <f ca="1">AVERAGE(E757:OFFSET(E757,-M$5+1,0))</f>
        <v>7942.5269999999991</v>
      </c>
      <c r="N757" s="9">
        <f ca="1">AVERAGE(E757:OFFSET(E757,-N$5+1,0))</f>
        <v>8053.7384999999977</v>
      </c>
      <c r="O757" s="9">
        <f t="shared" ca="1" si="151"/>
        <v>0</v>
      </c>
      <c r="P757" s="14">
        <f t="shared" si="156"/>
        <v>2.9174940859424847</v>
      </c>
      <c r="Q757" s="15">
        <f ca="1">STDEV(P757:OFFSET(P757,-$Q$5+1,0))</f>
        <v>3.0630940206863775</v>
      </c>
      <c r="R757" s="15">
        <f ca="1">STDEV(P757:OFFSET(P757,-$R$5+1,0))</f>
        <v>2.1049432393800203</v>
      </c>
      <c r="S757" s="18">
        <f t="shared" ref="S757:S820" si="157">C757-D757</f>
        <v>91.300000000000182</v>
      </c>
      <c r="T757" s="18">
        <f t="shared" ref="T757:T820" si="158">MAX(C757,E756)-MIN(D757,E756)</f>
        <v>222.53999999999996</v>
      </c>
      <c r="U757" s="18">
        <f t="shared" si="152"/>
        <v>262.31073495940723</v>
      </c>
      <c r="V757" s="33">
        <f ca="1">AVERAGE(E757:OFFSET(E757,-V$5+1,0))</f>
        <v>7968.5585714285708</v>
      </c>
      <c r="W757" s="33">
        <f t="shared" ref="W757:W820" ca="1" si="159">V757+W$5*U757</f>
        <v>8362.0246738676815</v>
      </c>
      <c r="X757" s="33">
        <f t="shared" ref="X757:X820" ca="1" si="160">V757-W$5*U757</f>
        <v>7575.09246898946</v>
      </c>
      <c r="Y757" s="32">
        <f t="shared" ca="1" si="153"/>
        <v>0</v>
      </c>
    </row>
    <row r="758" spans="1:25">
      <c r="A758" s="5">
        <v>39475</v>
      </c>
      <c r="B758" s="4">
        <v>7678.81</v>
      </c>
      <c r="C758" s="4">
        <v>7705.61</v>
      </c>
      <c r="D758" s="4">
        <v>7478.2</v>
      </c>
      <c r="E758" s="4">
        <v>7485.79</v>
      </c>
      <c r="F758" s="4">
        <v>3969400</v>
      </c>
      <c r="G758" s="8">
        <f t="shared" si="155"/>
        <v>-60.779999999999745</v>
      </c>
      <c r="H758" s="8">
        <f t="shared" si="154"/>
        <v>-193.02000000000044</v>
      </c>
      <c r="I758" s="20">
        <f t="shared" ref="I758:I821" ca="1" si="161">Y758</f>
        <v>-1</v>
      </c>
      <c r="J758" s="8">
        <f t="shared" ref="J758:J821" ca="1" si="162">IF((J757+I757)&gt;=J$5,J$5,IF((J757+I757)&lt;=J$7,J$7,J757+I757))</f>
        <v>-2</v>
      </c>
      <c r="K758" s="8">
        <f t="shared" ref="K758:K821" ca="1" si="163">J757*G758+J758*H758</f>
        <v>507.60000000000036</v>
      </c>
      <c r="L758" s="8">
        <f t="shared" ref="L758:L821" ca="1" si="164">L757+K758</f>
        <v>5514.7600000000039</v>
      </c>
      <c r="M758" s="9">
        <f ca="1">AVERAGE(E758:OFFSET(E758,-M$5+1,0))</f>
        <v>7873.7649999999994</v>
      </c>
      <c r="N758" s="9">
        <f ca="1">AVERAGE(E758:OFFSET(E758,-N$5+1,0))</f>
        <v>8008.1804999999995</v>
      </c>
      <c r="O758" s="9">
        <f t="shared" ref="O758:O821" ca="1" si="165">IF(AND(M757&lt;=N757,M758&gt;N758),1,IF(AND(M757&gt;=N757,M758&lt;N758),-1,0))</f>
        <v>0</v>
      </c>
      <c r="P758" s="14">
        <f t="shared" si="156"/>
        <v>-3.3342157898016125</v>
      </c>
      <c r="Q758" s="15">
        <f ca="1">STDEV(P758:OFFSET(P758,-$Q$5+1,0))</f>
        <v>3.0916308565053012</v>
      </c>
      <c r="R758" s="15">
        <f ca="1">STDEV(P758:OFFSET(P758,-$R$5+1,0))</f>
        <v>2.1390634565361166</v>
      </c>
      <c r="S758" s="18">
        <f t="shared" si="157"/>
        <v>227.40999999999985</v>
      </c>
      <c r="T758" s="18">
        <f t="shared" si="158"/>
        <v>261.39000000000033</v>
      </c>
      <c r="U758" s="18">
        <f t="shared" ref="U758:U821" si="166">$U$5*T758+(1-$U$5)*U757</f>
        <v>262.187970298153</v>
      </c>
      <c r="V758" s="33">
        <f ca="1">AVERAGE(E758:OFFSET(E758,-V$5+1,0))</f>
        <v>7934.4785714285708</v>
      </c>
      <c r="W758" s="33">
        <f t="shared" ca="1" si="159"/>
        <v>8327.7605268757998</v>
      </c>
      <c r="X758" s="33">
        <f t="shared" ca="1" si="160"/>
        <v>7541.196615981341</v>
      </c>
      <c r="Y758" s="32">
        <f t="shared" ref="Y758:Y821" ca="1" si="167">IF(AND(E757&gt;X757,E758&lt;X758),-1,IF(AND(E757&lt;W757,E758&gt;W758),1,0))</f>
        <v>-1</v>
      </c>
    </row>
    <row r="759" spans="1:25">
      <c r="A759" s="5">
        <v>39476</v>
      </c>
      <c r="B759" s="4">
        <v>7593.71</v>
      </c>
      <c r="C759" s="4">
        <v>7603.38</v>
      </c>
      <c r="D759" s="4">
        <v>7447.44</v>
      </c>
      <c r="E759" s="4">
        <v>7576.42</v>
      </c>
      <c r="F759" s="4">
        <v>3867400</v>
      </c>
      <c r="G759" s="8">
        <f t="shared" si="155"/>
        <v>107.92000000000007</v>
      </c>
      <c r="H759" s="8">
        <f t="shared" si="154"/>
        <v>-17.289999999999964</v>
      </c>
      <c r="I759" s="20">
        <f t="shared" ca="1" si="161"/>
        <v>0</v>
      </c>
      <c r="J759" s="8">
        <f t="shared" ca="1" si="162"/>
        <v>-3</v>
      </c>
      <c r="K759" s="8">
        <f t="shared" ca="1" si="163"/>
        <v>-163.97000000000025</v>
      </c>
      <c r="L759" s="8">
        <f t="shared" ca="1" si="164"/>
        <v>5350.7900000000036</v>
      </c>
      <c r="M759" s="9">
        <f ca="1">AVERAGE(E759:OFFSET(E759,-M$5+1,0))</f>
        <v>7788.5229999999992</v>
      </c>
      <c r="N759" s="9">
        <f ca="1">AVERAGE(E759:OFFSET(E759,-N$5+1,0))</f>
        <v>7961.6875</v>
      </c>
      <c r="O759" s="9">
        <f t="shared" ca="1" si="165"/>
        <v>0</v>
      </c>
      <c r="P759" s="14">
        <f t="shared" si="156"/>
        <v>1.2034235848763508</v>
      </c>
      <c r="Q759" s="15">
        <f ca="1">STDEV(P759:OFFSET(P759,-$Q$5+1,0))</f>
        <v>2.8743592181815467</v>
      </c>
      <c r="R759" s="15">
        <f ca="1">STDEV(P759:OFFSET(P759,-$R$5+1,0))</f>
        <v>2.1525373297631716</v>
      </c>
      <c r="S759" s="18">
        <f t="shared" si="157"/>
        <v>155.94000000000051</v>
      </c>
      <c r="T759" s="18">
        <f t="shared" si="158"/>
        <v>155.94000000000051</v>
      </c>
      <c r="U759" s="18">
        <f t="shared" si="166"/>
        <v>248.02157425839934</v>
      </c>
      <c r="V759" s="33">
        <f ca="1">AVERAGE(E759:OFFSET(E759,-V$5+1,0))</f>
        <v>7898.1471428571413</v>
      </c>
      <c r="W759" s="33">
        <f t="shared" ca="1" si="159"/>
        <v>8270.1795042447411</v>
      </c>
      <c r="X759" s="33">
        <f t="shared" ca="1" si="160"/>
        <v>7526.1147814695423</v>
      </c>
      <c r="Y759" s="32">
        <f t="shared" ca="1" si="167"/>
        <v>0</v>
      </c>
    </row>
    <row r="760" spans="1:25">
      <c r="A760" s="5">
        <v>39477</v>
      </c>
      <c r="B760" s="4">
        <v>7604.29</v>
      </c>
      <c r="C760" s="4">
        <v>7667.07</v>
      </c>
      <c r="D760" s="4">
        <v>7507.52</v>
      </c>
      <c r="E760" s="4">
        <v>7543.5</v>
      </c>
      <c r="F760" s="4">
        <v>4061000</v>
      </c>
      <c r="G760" s="8">
        <f t="shared" si="155"/>
        <v>27.869999999999891</v>
      </c>
      <c r="H760" s="8">
        <f t="shared" si="154"/>
        <v>-60.789999999999964</v>
      </c>
      <c r="I760" s="20">
        <f t="shared" ca="1" si="161"/>
        <v>0</v>
      </c>
      <c r="J760" s="8">
        <f t="shared" ca="1" si="162"/>
        <v>-3</v>
      </c>
      <c r="K760" s="8">
        <f t="shared" ca="1" si="163"/>
        <v>98.760000000000218</v>
      </c>
      <c r="L760" s="8">
        <f t="shared" ca="1" si="164"/>
        <v>5449.5500000000038</v>
      </c>
      <c r="M760" s="9">
        <f ca="1">AVERAGE(E760:OFFSET(E760,-M$5+1,0))</f>
        <v>7724.9189999999999</v>
      </c>
      <c r="N760" s="9">
        <f ca="1">AVERAGE(E760:OFFSET(E760,-N$5+1,0))</f>
        <v>7922.7100000000009</v>
      </c>
      <c r="O760" s="9">
        <f t="shared" ca="1" si="165"/>
        <v>0</v>
      </c>
      <c r="P760" s="14">
        <f t="shared" si="156"/>
        <v>-0.43545272751201414</v>
      </c>
      <c r="Q760" s="15">
        <f ca="1">STDEV(P760:OFFSET(P760,-$Q$5+1,0))</f>
        <v>2.79578582831825</v>
      </c>
      <c r="R760" s="15">
        <f ca="1">STDEV(P760:OFFSET(P760,-$R$5+1,0))</f>
        <v>2.1452573335219713</v>
      </c>
      <c r="S760" s="18">
        <f t="shared" si="157"/>
        <v>159.54999999999927</v>
      </c>
      <c r="T760" s="18">
        <f t="shared" si="158"/>
        <v>159.54999999999927</v>
      </c>
      <c r="U760" s="18">
        <f t="shared" si="166"/>
        <v>236.22536435727932</v>
      </c>
      <c r="V760" s="33">
        <f ca="1">AVERAGE(E760:OFFSET(E760,-V$5+1,0))</f>
        <v>7861.4492857142841</v>
      </c>
      <c r="W760" s="33">
        <f t="shared" ca="1" si="159"/>
        <v>8215.7873322502037</v>
      </c>
      <c r="X760" s="33">
        <f t="shared" ca="1" si="160"/>
        <v>7507.1112391783654</v>
      </c>
      <c r="Y760" s="32">
        <f t="shared" ca="1" si="167"/>
        <v>0</v>
      </c>
    </row>
    <row r="761" spans="1:25">
      <c r="A761" s="5">
        <v>39478</v>
      </c>
      <c r="B761" s="4">
        <v>7528.18</v>
      </c>
      <c r="C761" s="4">
        <v>7579.43</v>
      </c>
      <c r="D761" s="4">
        <v>7400.74</v>
      </c>
      <c r="E761" s="4">
        <v>7521.13</v>
      </c>
      <c r="F761" s="4">
        <v>4342600</v>
      </c>
      <c r="G761" s="8">
        <f t="shared" si="155"/>
        <v>-15.319999999999709</v>
      </c>
      <c r="H761" s="8">
        <f t="shared" si="154"/>
        <v>-7.0500000000001819</v>
      </c>
      <c r="I761" s="20">
        <f t="shared" ca="1" si="161"/>
        <v>0</v>
      </c>
      <c r="J761" s="8">
        <f t="shared" ca="1" si="162"/>
        <v>-3</v>
      </c>
      <c r="K761" s="8">
        <f t="shared" ca="1" si="163"/>
        <v>67.109999999999673</v>
      </c>
      <c r="L761" s="8">
        <f t="shared" ca="1" si="164"/>
        <v>5516.6600000000035</v>
      </c>
      <c r="M761" s="9">
        <f ca="1">AVERAGE(E761:OFFSET(E761,-M$5+1,0))</f>
        <v>7666.8690000000006</v>
      </c>
      <c r="N761" s="9">
        <f ca="1">AVERAGE(E761:OFFSET(E761,-N$5+1,0))</f>
        <v>7889.5565000000006</v>
      </c>
      <c r="O761" s="9">
        <f t="shared" ca="1" si="165"/>
        <v>0</v>
      </c>
      <c r="P761" s="14">
        <f t="shared" si="156"/>
        <v>-0.29698726675949244</v>
      </c>
      <c r="Q761" s="15">
        <f ca="1">STDEV(P761:OFFSET(P761,-$Q$5+1,0))</f>
        <v>2.7997040529554607</v>
      </c>
      <c r="R761" s="15">
        <f ca="1">STDEV(P761:OFFSET(P761,-$R$5+1,0))</f>
        <v>2.1427767893217133</v>
      </c>
      <c r="S761" s="18">
        <f t="shared" si="157"/>
        <v>178.69000000000051</v>
      </c>
      <c r="T761" s="18">
        <f t="shared" si="158"/>
        <v>178.69000000000051</v>
      </c>
      <c r="U761" s="18">
        <f t="shared" si="166"/>
        <v>228.55398244297547</v>
      </c>
      <c r="V761" s="33">
        <f ca="1">AVERAGE(E761:OFFSET(E761,-V$5+1,0))</f>
        <v>7825.1507142857135</v>
      </c>
      <c r="W761" s="33">
        <f t="shared" ca="1" si="159"/>
        <v>8167.9816879501768</v>
      </c>
      <c r="X761" s="33">
        <f t="shared" ca="1" si="160"/>
        <v>7482.3197406212503</v>
      </c>
      <c r="Y761" s="32">
        <f t="shared" ca="1" si="167"/>
        <v>0</v>
      </c>
    </row>
    <row r="762" spans="1:25">
      <c r="A762" s="5">
        <v>39479</v>
      </c>
      <c r="B762" s="4">
        <v>7613.58</v>
      </c>
      <c r="C762" s="4">
        <v>7706.03</v>
      </c>
      <c r="D762" s="4">
        <v>7583.65</v>
      </c>
      <c r="E762" s="4">
        <v>7673.99</v>
      </c>
      <c r="F762" s="4">
        <v>4123200</v>
      </c>
      <c r="G762" s="8">
        <f t="shared" si="155"/>
        <v>92.449999999999818</v>
      </c>
      <c r="H762" s="8">
        <f t="shared" si="154"/>
        <v>60.409999999999854</v>
      </c>
      <c r="I762" s="20">
        <f t="shared" ca="1" si="161"/>
        <v>0</v>
      </c>
      <c r="J762" s="8">
        <f t="shared" ca="1" si="162"/>
        <v>-3</v>
      </c>
      <c r="K762" s="8">
        <f t="shared" ca="1" si="163"/>
        <v>-458.57999999999902</v>
      </c>
      <c r="L762" s="8">
        <f t="shared" ca="1" si="164"/>
        <v>5058.0800000000045</v>
      </c>
      <c r="M762" s="9">
        <f ca="1">AVERAGE(E762:OFFSET(E762,-M$5+1,0))</f>
        <v>7615.8029999999999</v>
      </c>
      <c r="N762" s="9">
        <f ca="1">AVERAGE(E762:OFFSET(E762,-N$5+1,0))</f>
        <v>7862.2009999999991</v>
      </c>
      <c r="O762" s="9">
        <f t="shared" ca="1" si="165"/>
        <v>0</v>
      </c>
      <c r="P762" s="14">
        <f t="shared" si="156"/>
        <v>2.0120296092133025</v>
      </c>
      <c r="Q762" s="15">
        <f ca="1">STDEV(P762:OFFSET(P762,-$Q$5+1,0))</f>
        <v>2.885428301171129</v>
      </c>
      <c r="R762" s="15">
        <f ca="1">STDEV(P762:OFFSET(P762,-$R$5+1,0))</f>
        <v>2.1737862191265864</v>
      </c>
      <c r="S762" s="18">
        <f t="shared" si="157"/>
        <v>122.38000000000011</v>
      </c>
      <c r="T762" s="18">
        <f t="shared" si="158"/>
        <v>184.89999999999964</v>
      </c>
      <c r="U762" s="18">
        <f t="shared" si="166"/>
        <v>222.73345145057868</v>
      </c>
      <c r="V762" s="33">
        <f ca="1">AVERAGE(E762:OFFSET(E762,-V$5+1,0))</f>
        <v>7789.4778571428569</v>
      </c>
      <c r="W762" s="33">
        <f t="shared" ca="1" si="159"/>
        <v>8123.5780343187253</v>
      </c>
      <c r="X762" s="33">
        <f t="shared" ca="1" si="160"/>
        <v>7455.3776799669886</v>
      </c>
      <c r="Y762" s="32">
        <f t="shared" ca="1" si="167"/>
        <v>0</v>
      </c>
    </row>
    <row r="763" spans="1:25">
      <c r="A763" s="5">
        <v>39490</v>
      </c>
      <c r="B763" s="4">
        <v>7568.3</v>
      </c>
      <c r="C763" s="4">
        <v>7619.98</v>
      </c>
      <c r="D763" s="4">
        <v>7530.37</v>
      </c>
      <c r="E763" s="4">
        <v>7553.3</v>
      </c>
      <c r="F763" s="4">
        <v>3811000</v>
      </c>
      <c r="G763" s="8">
        <f t="shared" si="155"/>
        <v>-105.6899999999996</v>
      </c>
      <c r="H763" s="8">
        <f t="shared" si="154"/>
        <v>-15</v>
      </c>
      <c r="I763" s="20">
        <f t="shared" ca="1" si="161"/>
        <v>0</v>
      </c>
      <c r="J763" s="8">
        <f t="shared" ca="1" si="162"/>
        <v>-3</v>
      </c>
      <c r="K763" s="8">
        <f t="shared" ca="1" si="163"/>
        <v>362.0699999999988</v>
      </c>
      <c r="L763" s="8">
        <f t="shared" ca="1" si="164"/>
        <v>5420.1500000000033</v>
      </c>
      <c r="M763" s="9">
        <f ca="1">AVERAGE(E763:OFFSET(E763,-M$5+1,0))</f>
        <v>7560.1130000000003</v>
      </c>
      <c r="N763" s="9">
        <f ca="1">AVERAGE(E763:OFFSET(E763,-N$5+1,0))</f>
        <v>7845.6974999999975</v>
      </c>
      <c r="O763" s="9">
        <f t="shared" ca="1" si="165"/>
        <v>0</v>
      </c>
      <c r="P763" s="14">
        <f t="shared" si="156"/>
        <v>-1.5852134863182727</v>
      </c>
      <c r="Q763" s="15">
        <f ca="1">STDEV(P763:OFFSET(P763,-$Q$5+1,0))</f>
        <v>2.9001717131563653</v>
      </c>
      <c r="R763" s="15">
        <f ca="1">STDEV(P763:OFFSET(P763,-$R$5+1,0))</f>
        <v>2.1804339130470862</v>
      </c>
      <c r="S763" s="18">
        <f t="shared" si="157"/>
        <v>89.609999999999673</v>
      </c>
      <c r="T763" s="18">
        <f t="shared" si="158"/>
        <v>143.61999999999989</v>
      </c>
      <c r="U763" s="18">
        <f t="shared" si="166"/>
        <v>212.18499125716818</v>
      </c>
      <c r="V763" s="33">
        <f ca="1">AVERAGE(E763:OFFSET(E763,-V$5+1,0))</f>
        <v>7726.9392857142866</v>
      </c>
      <c r="W763" s="33">
        <f t="shared" ca="1" si="159"/>
        <v>8045.2167726000389</v>
      </c>
      <c r="X763" s="33">
        <f t="shared" ca="1" si="160"/>
        <v>7408.6617988285343</v>
      </c>
      <c r="Y763" s="32">
        <f t="shared" ca="1" si="167"/>
        <v>0</v>
      </c>
    </row>
    <row r="764" spans="1:25">
      <c r="A764" s="5">
        <v>39491</v>
      </c>
      <c r="B764" s="4">
        <v>7644.8</v>
      </c>
      <c r="C764" s="4">
        <v>7655.89</v>
      </c>
      <c r="D764" s="4">
        <v>7533.6</v>
      </c>
      <c r="E764" s="4">
        <v>7550.55</v>
      </c>
      <c r="F764" s="4">
        <v>3561200</v>
      </c>
      <c r="G764" s="8">
        <f t="shared" si="155"/>
        <v>91.5</v>
      </c>
      <c r="H764" s="8">
        <f t="shared" si="154"/>
        <v>-94.25</v>
      </c>
      <c r="I764" s="20">
        <f t="shared" ca="1" si="161"/>
        <v>0</v>
      </c>
      <c r="J764" s="8">
        <f t="shared" ca="1" si="162"/>
        <v>-3</v>
      </c>
      <c r="K764" s="8">
        <f t="shared" ca="1" si="163"/>
        <v>8.25</v>
      </c>
      <c r="L764" s="8">
        <f t="shared" ca="1" si="164"/>
        <v>5428.4000000000033</v>
      </c>
      <c r="M764" s="9">
        <f ca="1">AVERAGE(E764:OFFSET(E764,-M$5+1,0))</f>
        <v>7556.9719999999998</v>
      </c>
      <c r="N764" s="9">
        <f ca="1">AVERAGE(E764:OFFSET(E764,-N$5+1,0))</f>
        <v>7825.079499999998</v>
      </c>
      <c r="O764" s="9">
        <f t="shared" ca="1" si="165"/>
        <v>0</v>
      </c>
      <c r="P764" s="14">
        <f t="shared" si="156"/>
        <v>-3.6414556955844071E-2</v>
      </c>
      <c r="Q764" s="15">
        <f ca="1">STDEV(P764:OFFSET(P764,-$Q$5+1,0))</f>
        <v>1.9827697267613817</v>
      </c>
      <c r="R764" s="15">
        <f ca="1">STDEV(P764:OFFSET(P764,-$R$5+1,0))</f>
        <v>2.1739419441439667</v>
      </c>
      <c r="S764" s="18">
        <f t="shared" si="157"/>
        <v>122.28999999999996</v>
      </c>
      <c r="T764" s="18">
        <f t="shared" si="158"/>
        <v>122.28999999999996</v>
      </c>
      <c r="U764" s="18">
        <f t="shared" si="166"/>
        <v>200.19899242287909</v>
      </c>
      <c r="V764" s="33">
        <f ca="1">AVERAGE(E764:OFFSET(E764,-V$5+1,0))</f>
        <v>7682.0114285714299</v>
      </c>
      <c r="W764" s="33">
        <f t="shared" ca="1" si="159"/>
        <v>7982.3099172057482</v>
      </c>
      <c r="X764" s="33">
        <f t="shared" ca="1" si="160"/>
        <v>7381.7129399371115</v>
      </c>
      <c r="Y764" s="32">
        <f t="shared" ca="1" si="167"/>
        <v>0</v>
      </c>
    </row>
    <row r="765" spans="1:25">
      <c r="A765" s="5">
        <v>39492</v>
      </c>
      <c r="B765" s="4">
        <v>7711.45</v>
      </c>
      <c r="C765" s="4">
        <v>7865.28</v>
      </c>
      <c r="D765" s="4">
        <v>7707</v>
      </c>
      <c r="E765" s="4">
        <v>7865.28</v>
      </c>
      <c r="F765" s="4">
        <v>4326600</v>
      </c>
      <c r="G765" s="8">
        <f t="shared" si="155"/>
        <v>160.89999999999964</v>
      </c>
      <c r="H765" s="8">
        <f t="shared" si="154"/>
        <v>153.82999999999993</v>
      </c>
      <c r="I765" s="20">
        <f t="shared" ca="1" si="161"/>
        <v>0</v>
      </c>
      <c r="J765" s="8">
        <f t="shared" ca="1" si="162"/>
        <v>-3</v>
      </c>
      <c r="K765" s="8">
        <f t="shared" ca="1" si="163"/>
        <v>-944.18999999999869</v>
      </c>
      <c r="L765" s="8">
        <f t="shared" ca="1" si="164"/>
        <v>4484.2100000000046</v>
      </c>
      <c r="M765" s="9">
        <f ca="1">AVERAGE(E765:OFFSET(E765,-M$5+1,0))</f>
        <v>7602.6599999999989</v>
      </c>
      <c r="N765" s="9">
        <f ca="1">AVERAGE(E765:OFFSET(E765,-N$5+1,0))</f>
        <v>7814.0904999999984</v>
      </c>
      <c r="O765" s="9">
        <f t="shared" ca="1" si="165"/>
        <v>0</v>
      </c>
      <c r="P765" s="14">
        <f t="shared" si="156"/>
        <v>4.0837728349633462</v>
      </c>
      <c r="Q765" s="15">
        <f ca="1">STDEV(P765:OFFSET(P765,-$Q$5+1,0))</f>
        <v>2.1891899103413359</v>
      </c>
      <c r="R765" s="15">
        <f ca="1">STDEV(P765:OFFSET(P765,-$R$5+1,0))</f>
        <v>2.2803253403780674</v>
      </c>
      <c r="S765" s="18">
        <f t="shared" si="157"/>
        <v>158.27999999999975</v>
      </c>
      <c r="T765" s="18">
        <f t="shared" si="158"/>
        <v>314.72999999999956</v>
      </c>
      <c r="U765" s="18">
        <f t="shared" si="166"/>
        <v>215.46979343316181</v>
      </c>
      <c r="V765" s="33">
        <f ca="1">AVERAGE(E765:OFFSET(E765,-V$5+1,0))</f>
        <v>7665.1292857142862</v>
      </c>
      <c r="W765" s="33">
        <f t="shared" ca="1" si="159"/>
        <v>7988.3339758640286</v>
      </c>
      <c r="X765" s="33">
        <f t="shared" ca="1" si="160"/>
        <v>7341.9245955645438</v>
      </c>
      <c r="Y765" s="32">
        <f t="shared" ca="1" si="167"/>
        <v>0</v>
      </c>
    </row>
    <row r="766" spans="1:25">
      <c r="A766" s="5">
        <v>39493</v>
      </c>
      <c r="B766" s="4">
        <v>7766.49</v>
      </c>
      <c r="C766" s="4">
        <v>7888.15</v>
      </c>
      <c r="D766" s="4">
        <v>7761.93</v>
      </c>
      <c r="E766" s="4">
        <v>7876.37</v>
      </c>
      <c r="F766" s="4">
        <v>3882600</v>
      </c>
      <c r="G766" s="8">
        <f t="shared" si="155"/>
        <v>-98.789999999999964</v>
      </c>
      <c r="H766" s="8">
        <f t="shared" si="154"/>
        <v>109.88000000000011</v>
      </c>
      <c r="I766" s="20">
        <f t="shared" ca="1" si="161"/>
        <v>0</v>
      </c>
      <c r="J766" s="8">
        <f t="shared" ca="1" si="162"/>
        <v>-3</v>
      </c>
      <c r="K766" s="8">
        <f t="shared" ca="1" si="163"/>
        <v>-33.270000000000437</v>
      </c>
      <c r="L766" s="8">
        <f t="shared" ca="1" si="164"/>
        <v>4450.9400000000041</v>
      </c>
      <c r="M766" s="9">
        <f ca="1">AVERAGE(E766:OFFSET(E766,-M$5+1,0))</f>
        <v>7638.5919999999996</v>
      </c>
      <c r="N766" s="9">
        <f ca="1">AVERAGE(E766:OFFSET(E766,-N$5+1,0))</f>
        <v>7805.0454999999984</v>
      </c>
      <c r="O766" s="9">
        <f t="shared" ca="1" si="165"/>
        <v>0</v>
      </c>
      <c r="P766" s="14">
        <f t="shared" si="156"/>
        <v>0.14090011955207413</v>
      </c>
      <c r="Q766" s="15">
        <f ca="1">STDEV(P766:OFFSET(P766,-$Q$5+1,0))</f>
        <v>2.1713817833621194</v>
      </c>
      <c r="R766" s="15">
        <f ca="1">STDEV(P766:OFFSET(P766,-$R$5+1,0))</f>
        <v>2.2681524443464784</v>
      </c>
      <c r="S766" s="18">
        <f t="shared" si="157"/>
        <v>126.21999999999935</v>
      </c>
      <c r="T766" s="18">
        <f t="shared" si="158"/>
        <v>126.21999999999935</v>
      </c>
      <c r="U766" s="18">
        <f t="shared" si="166"/>
        <v>203.56982097540683</v>
      </c>
      <c r="V766" s="33">
        <f ca="1">AVERAGE(E766:OFFSET(E766,-V$5+1,0))</f>
        <v>7643.1092857142858</v>
      </c>
      <c r="W766" s="33">
        <f t="shared" ca="1" si="159"/>
        <v>7948.4640171773963</v>
      </c>
      <c r="X766" s="33">
        <f t="shared" ca="1" si="160"/>
        <v>7337.7545542511753</v>
      </c>
      <c r="Y766" s="32">
        <f t="shared" ca="1" si="167"/>
        <v>0</v>
      </c>
    </row>
    <row r="767" spans="1:25">
      <c r="A767" s="5">
        <v>39497</v>
      </c>
      <c r="B767" s="4">
        <v>7985.47</v>
      </c>
      <c r="C767" s="4">
        <v>8024.41</v>
      </c>
      <c r="D767" s="4">
        <v>7932.79</v>
      </c>
      <c r="E767" s="4">
        <v>8024.41</v>
      </c>
      <c r="F767" s="4">
        <v>4502800</v>
      </c>
      <c r="G767" s="8">
        <f t="shared" si="155"/>
        <v>109.10000000000036</v>
      </c>
      <c r="H767" s="8">
        <f t="shared" si="154"/>
        <v>38.9399999999996</v>
      </c>
      <c r="I767" s="20">
        <f t="shared" ca="1" si="161"/>
        <v>1</v>
      </c>
      <c r="J767" s="8">
        <f t="shared" ca="1" si="162"/>
        <v>-3</v>
      </c>
      <c r="K767" s="8">
        <f t="shared" ca="1" si="163"/>
        <v>-444.11999999999989</v>
      </c>
      <c r="L767" s="8">
        <f t="shared" ca="1" si="164"/>
        <v>4006.8200000000043</v>
      </c>
      <c r="M767" s="9">
        <f ca="1">AVERAGE(E767:OFFSET(E767,-M$5+1,0))</f>
        <v>7667.0740000000005</v>
      </c>
      <c r="N767" s="9">
        <f ca="1">AVERAGE(E767:OFFSET(E767,-N$5+1,0))</f>
        <v>7804.8004999999994</v>
      </c>
      <c r="O767" s="9">
        <f t="shared" ca="1" si="165"/>
        <v>0</v>
      </c>
      <c r="P767" s="14">
        <f t="shared" si="156"/>
        <v>1.8621008229169214</v>
      </c>
      <c r="Q767" s="15">
        <f ca="1">STDEV(P767:OFFSET(P767,-$Q$5+1,0))</f>
        <v>2.0619286850120067</v>
      </c>
      <c r="R767" s="15">
        <f ca="1">STDEV(P767:OFFSET(P767,-$R$5+1,0))</f>
        <v>2.2200597392426142</v>
      </c>
      <c r="S767" s="18">
        <f t="shared" si="157"/>
        <v>91.619999999999891</v>
      </c>
      <c r="T767" s="18">
        <f t="shared" si="158"/>
        <v>148.03999999999996</v>
      </c>
      <c r="U767" s="18">
        <f t="shared" si="166"/>
        <v>196.16584484535258</v>
      </c>
      <c r="V767" s="33">
        <f ca="1">AVERAGE(E767:OFFSET(E767,-V$5+1,0))</f>
        <v>7636.9814285714292</v>
      </c>
      <c r="W767" s="33">
        <f t="shared" ca="1" si="159"/>
        <v>7931.2301958394582</v>
      </c>
      <c r="X767" s="33">
        <f t="shared" ca="1" si="160"/>
        <v>7342.7326613034002</v>
      </c>
      <c r="Y767" s="32">
        <f t="shared" ca="1" si="167"/>
        <v>1</v>
      </c>
    </row>
    <row r="768" spans="1:25">
      <c r="A768" s="5">
        <v>39498</v>
      </c>
      <c r="B768" s="4">
        <v>8000.12</v>
      </c>
      <c r="C768" s="4">
        <v>8040.83</v>
      </c>
      <c r="D768" s="4">
        <v>7855.48</v>
      </c>
      <c r="E768" s="4">
        <v>7894.47</v>
      </c>
      <c r="F768" s="4">
        <v>4148400</v>
      </c>
      <c r="G768" s="8">
        <f t="shared" si="155"/>
        <v>-24.289999999999964</v>
      </c>
      <c r="H768" s="8">
        <f t="shared" si="154"/>
        <v>-105.64999999999964</v>
      </c>
      <c r="I768" s="20">
        <f t="shared" ca="1" si="161"/>
        <v>0</v>
      </c>
      <c r="J768" s="8">
        <f t="shared" ca="1" si="162"/>
        <v>-2</v>
      </c>
      <c r="K768" s="8">
        <f t="shared" ca="1" si="163"/>
        <v>284.16999999999916</v>
      </c>
      <c r="L768" s="8">
        <f t="shared" ca="1" si="164"/>
        <v>4290.9900000000034</v>
      </c>
      <c r="M768" s="9">
        <f ca="1">AVERAGE(E768:OFFSET(E768,-M$5+1,0))</f>
        <v>7707.9420000000009</v>
      </c>
      <c r="N768" s="9">
        <f ca="1">AVERAGE(E768:OFFSET(E768,-N$5+1,0))</f>
        <v>7790.8535000000002</v>
      </c>
      <c r="O768" s="9">
        <f t="shared" ca="1" si="165"/>
        <v>0</v>
      </c>
      <c r="P768" s="14">
        <f t="shared" si="156"/>
        <v>-1.6325631705529915</v>
      </c>
      <c r="Q768" s="15">
        <f ca="1">STDEV(P768:OFFSET(P768,-$Q$5+1,0))</f>
        <v>1.7730300293402954</v>
      </c>
      <c r="R768" s="15">
        <f ca="1">STDEV(P768:OFFSET(P768,-$R$5+1,0))</f>
        <v>2.2306461159033772</v>
      </c>
      <c r="S768" s="18">
        <f t="shared" si="157"/>
        <v>185.35000000000036</v>
      </c>
      <c r="T768" s="18">
        <f t="shared" si="158"/>
        <v>185.35000000000036</v>
      </c>
      <c r="U768" s="18">
        <f t="shared" si="166"/>
        <v>194.72373219930563</v>
      </c>
      <c r="V768" s="33">
        <f ca="1">AVERAGE(E768:OFFSET(E768,-V$5+1,0))</f>
        <v>7659.3035714285716</v>
      </c>
      <c r="W768" s="33">
        <f t="shared" ca="1" si="159"/>
        <v>7951.3891697275303</v>
      </c>
      <c r="X768" s="33">
        <f t="shared" ca="1" si="160"/>
        <v>7367.2179731296128</v>
      </c>
      <c r="Y768" s="32">
        <f t="shared" ca="1" si="167"/>
        <v>0</v>
      </c>
    </row>
    <row r="769" spans="1:25">
      <c r="A769" s="5">
        <v>39499</v>
      </c>
      <c r="B769" s="4">
        <v>7982.35</v>
      </c>
      <c r="C769" s="4">
        <v>8085.93</v>
      </c>
      <c r="D769" s="4">
        <v>7972.13</v>
      </c>
      <c r="E769" s="4">
        <v>8085.93</v>
      </c>
      <c r="F769" s="4">
        <v>4585400</v>
      </c>
      <c r="G769" s="8">
        <f t="shared" si="155"/>
        <v>87.880000000000109</v>
      </c>
      <c r="H769" s="8">
        <f t="shared" si="154"/>
        <v>103.57999999999993</v>
      </c>
      <c r="I769" s="20">
        <f t="shared" ca="1" si="161"/>
        <v>1</v>
      </c>
      <c r="J769" s="8">
        <f t="shared" ca="1" si="162"/>
        <v>-2</v>
      </c>
      <c r="K769" s="8">
        <f t="shared" ca="1" si="163"/>
        <v>-382.92000000000007</v>
      </c>
      <c r="L769" s="8">
        <f t="shared" ca="1" si="164"/>
        <v>3908.0700000000033</v>
      </c>
      <c r="M769" s="9">
        <f ca="1">AVERAGE(E769:OFFSET(E769,-M$5+1,0))</f>
        <v>7758.8929999999991</v>
      </c>
      <c r="N769" s="9">
        <f ca="1">AVERAGE(E769:OFFSET(E769,-N$5+1,0))</f>
        <v>7773.7080000000005</v>
      </c>
      <c r="O769" s="9">
        <f t="shared" ca="1" si="165"/>
        <v>0</v>
      </c>
      <c r="P769" s="14">
        <f t="shared" si="156"/>
        <v>2.3962999884607927</v>
      </c>
      <c r="Q769" s="15">
        <f ca="1">STDEV(P769:OFFSET(P769,-$Q$5+1,0))</f>
        <v>1.8611907631550619</v>
      </c>
      <c r="R769" s="15">
        <f ca="1">STDEV(P769:OFFSET(P769,-$R$5+1,0))</f>
        <v>2.1883118122957268</v>
      </c>
      <c r="S769" s="18">
        <f t="shared" si="157"/>
        <v>113.80000000000018</v>
      </c>
      <c r="T769" s="18">
        <f t="shared" si="158"/>
        <v>191.46000000000004</v>
      </c>
      <c r="U769" s="18">
        <f t="shared" si="166"/>
        <v>194.28856790606488</v>
      </c>
      <c r="V769" s="33">
        <f ca="1">AVERAGE(E769:OFFSET(E769,-V$5+1,0))</f>
        <v>7707.6985714285711</v>
      </c>
      <c r="W769" s="33">
        <f t="shared" ca="1" si="159"/>
        <v>7999.1314232876684</v>
      </c>
      <c r="X769" s="33">
        <f t="shared" ca="1" si="160"/>
        <v>7416.2657195694737</v>
      </c>
      <c r="Y769" s="32">
        <f t="shared" ca="1" si="167"/>
        <v>1</v>
      </c>
    </row>
    <row r="770" spans="1:25">
      <c r="A770" s="5">
        <v>39500</v>
      </c>
      <c r="B770" s="4">
        <v>8013.35</v>
      </c>
      <c r="C770" s="4">
        <v>8108.71</v>
      </c>
      <c r="D770" s="4">
        <v>7986.97</v>
      </c>
      <c r="E770" s="4">
        <v>8108.71</v>
      </c>
      <c r="F770" s="4">
        <v>4923400</v>
      </c>
      <c r="G770" s="8">
        <f t="shared" si="155"/>
        <v>-72.579999999999927</v>
      </c>
      <c r="H770" s="8">
        <f t="shared" si="154"/>
        <v>95.359999999999673</v>
      </c>
      <c r="I770" s="20">
        <f t="shared" ca="1" si="161"/>
        <v>0</v>
      </c>
      <c r="J770" s="8">
        <f t="shared" ca="1" si="162"/>
        <v>-1</v>
      </c>
      <c r="K770" s="8">
        <f t="shared" ca="1" si="163"/>
        <v>49.800000000000182</v>
      </c>
      <c r="L770" s="8">
        <f t="shared" ca="1" si="164"/>
        <v>3957.8700000000035</v>
      </c>
      <c r="M770" s="9">
        <f ca="1">AVERAGE(E770:OFFSET(E770,-M$5+1,0))</f>
        <v>7815.4139999999998</v>
      </c>
      <c r="N770" s="9">
        <f ca="1">AVERAGE(E770:OFFSET(E770,-N$5+1,0))</f>
        <v>7770.1664999999994</v>
      </c>
      <c r="O770" s="9">
        <f t="shared" ca="1" si="165"/>
        <v>1</v>
      </c>
      <c r="P770" s="14">
        <f t="shared" si="156"/>
        <v>0.28132783469622097</v>
      </c>
      <c r="Q770" s="15">
        <f ca="1">STDEV(P770:OFFSET(P770,-$Q$5+1,0))</f>
        <v>1.8282170755844749</v>
      </c>
      <c r="R770" s="15">
        <f ca="1">STDEV(P770:OFFSET(P770,-$R$5+1,0))</f>
        <v>2.1876526124964397</v>
      </c>
      <c r="S770" s="18">
        <f t="shared" si="157"/>
        <v>121.73999999999978</v>
      </c>
      <c r="T770" s="18">
        <f t="shared" si="158"/>
        <v>121.73999999999978</v>
      </c>
      <c r="U770" s="18">
        <f t="shared" si="166"/>
        <v>184.61542551858955</v>
      </c>
      <c r="V770" s="33">
        <f ca="1">AVERAGE(E770:OFFSET(E770,-V$5+1,0))</f>
        <v>7749.9600000000009</v>
      </c>
      <c r="W770" s="33">
        <f t="shared" ca="1" si="159"/>
        <v>8026.8831382778853</v>
      </c>
      <c r="X770" s="33">
        <f t="shared" ca="1" si="160"/>
        <v>7473.0368617221166</v>
      </c>
      <c r="Y770" s="32">
        <f t="shared" ca="1" si="167"/>
        <v>0</v>
      </c>
    </row>
    <row r="771" spans="1:25">
      <c r="A771" s="5">
        <v>39503</v>
      </c>
      <c r="B771" s="4">
        <v>8228.92</v>
      </c>
      <c r="C771" s="4">
        <v>8307.75</v>
      </c>
      <c r="D771" s="4">
        <v>8228.92</v>
      </c>
      <c r="E771" s="4">
        <v>8286.31</v>
      </c>
      <c r="F771" s="4">
        <v>6325000</v>
      </c>
      <c r="G771" s="8">
        <f t="shared" si="155"/>
        <v>120.21000000000004</v>
      </c>
      <c r="H771" s="8">
        <f t="shared" si="154"/>
        <v>57.389999999999418</v>
      </c>
      <c r="I771" s="20">
        <f t="shared" ca="1" si="161"/>
        <v>0</v>
      </c>
      <c r="J771" s="8">
        <f t="shared" ca="1" si="162"/>
        <v>-1</v>
      </c>
      <c r="K771" s="8">
        <f t="shared" ca="1" si="163"/>
        <v>-177.59999999999945</v>
      </c>
      <c r="L771" s="8">
        <f t="shared" ca="1" si="164"/>
        <v>3780.2700000000041</v>
      </c>
      <c r="M771" s="9">
        <f ca="1">AVERAGE(E771:OFFSET(E771,-M$5+1,0))</f>
        <v>7891.9319999999989</v>
      </c>
      <c r="N771" s="9">
        <f ca="1">AVERAGE(E771:OFFSET(E771,-N$5+1,0))</f>
        <v>7779.4004999999988</v>
      </c>
      <c r="O771" s="9">
        <f t="shared" ca="1" si="165"/>
        <v>0</v>
      </c>
      <c r="P771" s="14">
        <f t="shared" si="156"/>
        <v>2.1665962868244555</v>
      </c>
      <c r="Q771" s="15">
        <f ca="1">STDEV(P771:OFFSET(P771,-$Q$5+1,0))</f>
        <v>1.8415093435430234</v>
      </c>
      <c r="R771" s="15">
        <f ca="1">STDEV(P771:OFFSET(P771,-$R$5+1,0))</f>
        <v>2.1754980897874039</v>
      </c>
      <c r="S771" s="18">
        <f t="shared" si="157"/>
        <v>78.829999999999927</v>
      </c>
      <c r="T771" s="18">
        <f t="shared" si="158"/>
        <v>199.03999999999996</v>
      </c>
      <c r="U771" s="18">
        <f t="shared" si="166"/>
        <v>186.53870211611095</v>
      </c>
      <c r="V771" s="33">
        <f ca="1">AVERAGE(E771:OFFSET(E771,-V$5+1,0))</f>
        <v>7789.0114285714299</v>
      </c>
      <c r="W771" s="33">
        <f t="shared" ca="1" si="159"/>
        <v>8068.819481745596</v>
      </c>
      <c r="X771" s="33">
        <f t="shared" ca="1" si="160"/>
        <v>7509.2033753972637</v>
      </c>
      <c r="Y771" s="32">
        <f t="shared" ca="1" si="167"/>
        <v>0</v>
      </c>
    </row>
    <row r="772" spans="1:25">
      <c r="A772" s="5">
        <v>39504</v>
      </c>
      <c r="B772" s="4">
        <v>8379.5499999999993</v>
      </c>
      <c r="C772" s="4">
        <v>8386.5400000000009</v>
      </c>
      <c r="D772" s="4">
        <v>8258.8700000000008</v>
      </c>
      <c r="E772" s="4">
        <v>8307.67</v>
      </c>
      <c r="F772" s="4">
        <v>6403800</v>
      </c>
      <c r="G772" s="8">
        <f t="shared" si="155"/>
        <v>93.239999999999782</v>
      </c>
      <c r="H772" s="8">
        <f t="shared" ref="H772:H835" si="168">E772-B772</f>
        <v>-71.8799999999992</v>
      </c>
      <c r="I772" s="20">
        <f t="shared" ca="1" si="161"/>
        <v>0</v>
      </c>
      <c r="J772" s="8">
        <f t="shared" ca="1" si="162"/>
        <v>-1</v>
      </c>
      <c r="K772" s="8">
        <f t="shared" ca="1" si="163"/>
        <v>-21.360000000000582</v>
      </c>
      <c r="L772" s="8">
        <f t="shared" ca="1" si="164"/>
        <v>3758.9100000000035</v>
      </c>
      <c r="M772" s="9">
        <f ca="1">AVERAGE(E772:OFFSET(E772,-M$5+1,0))</f>
        <v>7955.3</v>
      </c>
      <c r="N772" s="9">
        <f ca="1">AVERAGE(E772:OFFSET(E772,-N$5+1,0))</f>
        <v>7785.5514999999996</v>
      </c>
      <c r="O772" s="9">
        <f t="shared" ca="1" si="165"/>
        <v>0</v>
      </c>
      <c r="P772" s="14">
        <f t="shared" si="156"/>
        <v>0.25744290154957095</v>
      </c>
      <c r="Q772" s="15">
        <f ca="1">STDEV(P772:OFFSET(P772,-$Q$5+1,0))</f>
        <v>1.814464931226244</v>
      </c>
      <c r="R772" s="15">
        <f ca="1">STDEV(P772:OFFSET(P772,-$R$5+1,0))</f>
        <v>2.1496596777993906</v>
      </c>
      <c r="S772" s="18">
        <f t="shared" si="157"/>
        <v>127.67000000000007</v>
      </c>
      <c r="T772" s="18">
        <f t="shared" si="158"/>
        <v>127.67000000000007</v>
      </c>
      <c r="U772" s="18">
        <f t="shared" si="166"/>
        <v>178.68954183396283</v>
      </c>
      <c r="V772" s="33">
        <f ca="1">AVERAGE(E772:OFFSET(E772,-V$5+1,0))</f>
        <v>7847.7171428571437</v>
      </c>
      <c r="W772" s="33">
        <f t="shared" ca="1" si="159"/>
        <v>8115.7514556080878</v>
      </c>
      <c r="X772" s="33">
        <f t="shared" ca="1" si="160"/>
        <v>7579.6828301061996</v>
      </c>
      <c r="Y772" s="32">
        <f t="shared" ca="1" si="167"/>
        <v>0</v>
      </c>
    </row>
    <row r="773" spans="1:25">
      <c r="A773" s="5">
        <v>39505</v>
      </c>
      <c r="B773" s="4">
        <v>8401.1200000000008</v>
      </c>
      <c r="C773" s="4">
        <v>8462.08</v>
      </c>
      <c r="D773" s="4">
        <v>8362.94</v>
      </c>
      <c r="E773" s="4">
        <v>8462.08</v>
      </c>
      <c r="F773" s="4">
        <v>6403600</v>
      </c>
      <c r="G773" s="8">
        <f t="shared" ref="G773:G836" si="169">B773-E772</f>
        <v>93.450000000000728</v>
      </c>
      <c r="H773" s="8">
        <f t="shared" si="168"/>
        <v>60.959999999999127</v>
      </c>
      <c r="I773" s="20">
        <f t="shared" ca="1" si="161"/>
        <v>0</v>
      </c>
      <c r="J773" s="8">
        <f t="shared" ca="1" si="162"/>
        <v>-1</v>
      </c>
      <c r="K773" s="8">
        <f t="shared" ca="1" si="163"/>
        <v>-154.40999999999985</v>
      </c>
      <c r="L773" s="8">
        <f t="shared" ca="1" si="164"/>
        <v>3604.5000000000036</v>
      </c>
      <c r="M773" s="9">
        <f ca="1">AVERAGE(E773:OFFSET(E773,-M$5+1,0))</f>
        <v>8046.1779999999999</v>
      </c>
      <c r="N773" s="9">
        <f ca="1">AVERAGE(E773:OFFSET(E773,-N$5+1,0))</f>
        <v>7803.1455000000014</v>
      </c>
      <c r="O773" s="9">
        <f t="shared" ca="1" si="165"/>
        <v>0</v>
      </c>
      <c r="P773" s="14">
        <f t="shared" ref="P773:P836" si="170">100*LN(E773/E772)</f>
        <v>1.8415821809074233</v>
      </c>
      <c r="Q773" s="15">
        <f ca="1">STDEV(P773:OFFSET(P773,-$Q$5+1,0))</f>
        <v>1.6294841291318958</v>
      </c>
      <c r="R773" s="15">
        <f ca="1">STDEV(P773:OFFSET(P773,-$R$5+1,0))</f>
        <v>2.1616746699758438</v>
      </c>
      <c r="S773" s="18">
        <f t="shared" si="157"/>
        <v>99.139999999999418</v>
      </c>
      <c r="T773" s="18">
        <f t="shared" si="158"/>
        <v>154.40999999999985</v>
      </c>
      <c r="U773" s="18">
        <f t="shared" si="166"/>
        <v>175.45226958943442</v>
      </c>
      <c r="V773" s="33">
        <f ca="1">AVERAGE(E773:OFFSET(E773,-V$5+1,0))</f>
        <v>7910.9785714285708</v>
      </c>
      <c r="W773" s="33">
        <f t="shared" ca="1" si="159"/>
        <v>8174.1569758127225</v>
      </c>
      <c r="X773" s="33">
        <f t="shared" ca="1" si="160"/>
        <v>7647.8001670444191</v>
      </c>
      <c r="Y773" s="32">
        <f t="shared" ca="1" si="167"/>
        <v>0</v>
      </c>
    </row>
    <row r="774" spans="1:25">
      <c r="A774" s="5">
        <v>39507</v>
      </c>
      <c r="B774" s="4">
        <v>8367.4500000000007</v>
      </c>
      <c r="C774" s="4">
        <v>8473.7099999999991</v>
      </c>
      <c r="D774" s="4">
        <v>8367.4500000000007</v>
      </c>
      <c r="E774" s="4">
        <v>8412.76</v>
      </c>
      <c r="F774" s="4">
        <v>5924600</v>
      </c>
      <c r="G774" s="8">
        <f t="shared" si="169"/>
        <v>-94.6299999999992</v>
      </c>
      <c r="H774" s="8">
        <f t="shared" si="168"/>
        <v>45.309999999999491</v>
      </c>
      <c r="I774" s="20">
        <f t="shared" ca="1" si="161"/>
        <v>0</v>
      </c>
      <c r="J774" s="8">
        <f t="shared" ca="1" si="162"/>
        <v>-1</v>
      </c>
      <c r="K774" s="8">
        <f t="shared" ca="1" si="163"/>
        <v>49.319999999999709</v>
      </c>
      <c r="L774" s="8">
        <f t="shared" ca="1" si="164"/>
        <v>3653.8200000000033</v>
      </c>
      <c r="M774" s="9">
        <f ca="1">AVERAGE(E774:OFFSET(E774,-M$5+1,0))</f>
        <v>8132.3989999999994</v>
      </c>
      <c r="N774" s="9">
        <f ca="1">AVERAGE(E774:OFFSET(E774,-N$5+1,0))</f>
        <v>7844.6855000000014</v>
      </c>
      <c r="O774" s="9">
        <f t="shared" ca="1" si="165"/>
        <v>0</v>
      </c>
      <c r="P774" s="14">
        <f t="shared" si="170"/>
        <v>-0.58454054004116185</v>
      </c>
      <c r="Q774" s="15">
        <f ca="1">STDEV(P774:OFFSET(P774,-$Q$5+1,0))</f>
        <v>1.6816903194888924</v>
      </c>
      <c r="R774" s="15">
        <f ca="1">STDEV(P774:OFFSET(P774,-$R$5+1,0))</f>
        <v>2.1332661416905876</v>
      </c>
      <c r="S774" s="18">
        <f t="shared" si="157"/>
        <v>106.2599999999984</v>
      </c>
      <c r="T774" s="18">
        <f t="shared" si="158"/>
        <v>106.2599999999984</v>
      </c>
      <c r="U774" s="18">
        <f t="shared" si="166"/>
        <v>166.22663364417627</v>
      </c>
      <c r="V774" s="33">
        <f ca="1">AVERAGE(E774:OFFSET(E774,-V$5+1,0))</f>
        <v>7973.068571428571</v>
      </c>
      <c r="W774" s="33">
        <f t="shared" ca="1" si="159"/>
        <v>8222.4085218948348</v>
      </c>
      <c r="X774" s="33">
        <f t="shared" ca="1" si="160"/>
        <v>7723.7286209623062</v>
      </c>
      <c r="Y774" s="32">
        <f t="shared" ca="1" si="167"/>
        <v>0</v>
      </c>
    </row>
    <row r="775" spans="1:25">
      <c r="A775" s="5">
        <v>39510</v>
      </c>
      <c r="B775" s="4">
        <v>8213.7000000000007</v>
      </c>
      <c r="C775" s="4">
        <v>8265.85</v>
      </c>
      <c r="D775" s="4">
        <v>8147.27</v>
      </c>
      <c r="E775" s="4">
        <v>8262.8700000000008</v>
      </c>
      <c r="F775" s="4">
        <v>5371400</v>
      </c>
      <c r="G775" s="8">
        <f t="shared" si="169"/>
        <v>-199.05999999999949</v>
      </c>
      <c r="H775" s="8">
        <f t="shared" si="168"/>
        <v>49.170000000000073</v>
      </c>
      <c r="I775" s="20">
        <f t="shared" ca="1" si="161"/>
        <v>0</v>
      </c>
      <c r="J775" s="8">
        <f t="shared" ca="1" si="162"/>
        <v>-1</v>
      </c>
      <c r="K775" s="8">
        <f t="shared" ca="1" si="163"/>
        <v>149.88999999999942</v>
      </c>
      <c r="L775" s="8">
        <f t="shared" ca="1" si="164"/>
        <v>3803.7100000000028</v>
      </c>
      <c r="M775" s="9">
        <f ca="1">AVERAGE(E775:OFFSET(E775,-M$5+1,0))</f>
        <v>8172.1579999999985</v>
      </c>
      <c r="N775" s="9">
        <f ca="1">AVERAGE(E775:OFFSET(E775,-N$5+1,0))</f>
        <v>7887.4089999999997</v>
      </c>
      <c r="O775" s="9">
        <f t="shared" ca="1" si="165"/>
        <v>0</v>
      </c>
      <c r="P775" s="14">
        <f t="shared" si="170"/>
        <v>-1.7977616071972273</v>
      </c>
      <c r="Q775" s="15">
        <f ca="1">STDEV(P775:OFFSET(P775,-$Q$5+1,0))</f>
        <v>1.5372252735225009</v>
      </c>
      <c r="R775" s="15">
        <f ca="1">STDEV(P775:OFFSET(P775,-$R$5+1,0))</f>
        <v>2.1531772526643</v>
      </c>
      <c r="S775" s="18">
        <f t="shared" si="157"/>
        <v>118.57999999999993</v>
      </c>
      <c r="T775" s="18">
        <f t="shared" si="158"/>
        <v>265.48999999999978</v>
      </c>
      <c r="U775" s="18">
        <f t="shared" si="166"/>
        <v>179.46174915828607</v>
      </c>
      <c r="V775" s="33">
        <f ca="1">AVERAGE(E775:OFFSET(E775,-V$5+1,0))</f>
        <v>8026.0499999999984</v>
      </c>
      <c r="W775" s="33">
        <f t="shared" ca="1" si="159"/>
        <v>8295.2426237374275</v>
      </c>
      <c r="X775" s="33">
        <f t="shared" ca="1" si="160"/>
        <v>7756.8573762625692</v>
      </c>
      <c r="Y775" s="32">
        <f t="shared" ca="1" si="167"/>
        <v>0</v>
      </c>
    </row>
    <row r="776" spans="1:25">
      <c r="A776" s="5">
        <v>39511</v>
      </c>
      <c r="B776" s="4">
        <v>8279.02</v>
      </c>
      <c r="C776" s="4">
        <v>8471.07</v>
      </c>
      <c r="D776" s="4">
        <v>8279.02</v>
      </c>
      <c r="E776" s="4">
        <v>8470.11</v>
      </c>
      <c r="F776" s="4">
        <v>6154200</v>
      </c>
      <c r="G776" s="8">
        <f t="shared" si="169"/>
        <v>16.149999999999636</v>
      </c>
      <c r="H776" s="8">
        <f t="shared" si="168"/>
        <v>191.09000000000015</v>
      </c>
      <c r="I776" s="20">
        <f t="shared" ca="1" si="161"/>
        <v>1</v>
      </c>
      <c r="J776" s="8">
        <f t="shared" ca="1" si="162"/>
        <v>-1</v>
      </c>
      <c r="K776" s="8">
        <f t="shared" ca="1" si="163"/>
        <v>-207.23999999999978</v>
      </c>
      <c r="L776" s="8">
        <f t="shared" ca="1" si="164"/>
        <v>3596.470000000003</v>
      </c>
      <c r="M776" s="9">
        <f ca="1">AVERAGE(E776:OFFSET(E776,-M$5+1,0))</f>
        <v>8231.5319999999992</v>
      </c>
      <c r="N776" s="9">
        <f ca="1">AVERAGE(E776:OFFSET(E776,-N$5+1,0))</f>
        <v>7935.0619999999999</v>
      </c>
      <c r="O776" s="9">
        <f t="shared" ca="1" si="165"/>
        <v>0</v>
      </c>
      <c r="P776" s="14">
        <f t="shared" si="170"/>
        <v>2.4771510782036543</v>
      </c>
      <c r="Q776" s="15">
        <f ca="1">STDEV(P776:OFFSET(P776,-$Q$5+1,0))</f>
        <v>1.6510596307654195</v>
      </c>
      <c r="R776" s="15">
        <f ca="1">STDEV(P776:OFFSET(P776,-$R$5+1,0))</f>
        <v>2.1874218600233721</v>
      </c>
      <c r="S776" s="18">
        <f t="shared" si="157"/>
        <v>192.04999999999927</v>
      </c>
      <c r="T776" s="18">
        <f t="shared" si="158"/>
        <v>208.19999999999891</v>
      </c>
      <c r="U776" s="18">
        <f t="shared" si="166"/>
        <v>183.29351593718113</v>
      </c>
      <c r="V776" s="33">
        <f ca="1">AVERAGE(E776:OFFSET(E776,-V$5+1,0))</f>
        <v>8082.9157142857139</v>
      </c>
      <c r="W776" s="33">
        <f t="shared" ca="1" si="159"/>
        <v>8357.8559881914862</v>
      </c>
      <c r="X776" s="33">
        <f t="shared" ca="1" si="160"/>
        <v>7807.9754403799425</v>
      </c>
      <c r="Y776" s="32">
        <f t="shared" ca="1" si="167"/>
        <v>1</v>
      </c>
    </row>
    <row r="777" spans="1:25">
      <c r="A777" s="5">
        <v>39512</v>
      </c>
      <c r="B777" s="4">
        <v>8493.9699999999993</v>
      </c>
      <c r="C777" s="4">
        <v>8559.59</v>
      </c>
      <c r="D777" s="4">
        <v>8439.35</v>
      </c>
      <c r="E777" s="4">
        <v>8483.9500000000007</v>
      </c>
      <c r="F777" s="4">
        <v>6387800</v>
      </c>
      <c r="G777" s="8">
        <f t="shared" si="169"/>
        <v>23.859999999998763</v>
      </c>
      <c r="H777" s="8">
        <f t="shared" si="168"/>
        <v>-10.019999999998618</v>
      </c>
      <c r="I777" s="20">
        <f t="shared" ca="1" si="161"/>
        <v>0</v>
      </c>
      <c r="J777" s="8">
        <f t="shared" ca="1" si="162"/>
        <v>0</v>
      </c>
      <c r="K777" s="8">
        <f t="shared" ca="1" si="163"/>
        <v>-23.859999999998763</v>
      </c>
      <c r="L777" s="8">
        <f t="shared" ca="1" si="164"/>
        <v>3572.6100000000042</v>
      </c>
      <c r="M777" s="9">
        <f ca="1">AVERAGE(E777:OFFSET(E777,-M$5+1,0))</f>
        <v>8277.4860000000008</v>
      </c>
      <c r="N777" s="9">
        <f ca="1">AVERAGE(E777:OFFSET(E777,-N$5+1,0))</f>
        <v>7972.2800000000016</v>
      </c>
      <c r="O777" s="9">
        <f t="shared" ca="1" si="165"/>
        <v>0</v>
      </c>
      <c r="P777" s="14">
        <f t="shared" si="170"/>
        <v>0.1632647645962646</v>
      </c>
      <c r="Q777" s="15">
        <f ca="1">STDEV(P777:OFFSET(P777,-$Q$5+1,0))</f>
        <v>1.6081016066349789</v>
      </c>
      <c r="R777" s="15">
        <f ca="1">STDEV(P777:OFFSET(P777,-$R$5+1,0))</f>
        <v>2.1675794225911447</v>
      </c>
      <c r="S777" s="18">
        <f t="shared" si="157"/>
        <v>120.23999999999978</v>
      </c>
      <c r="T777" s="18">
        <f t="shared" si="158"/>
        <v>120.23999999999978</v>
      </c>
      <c r="U777" s="18">
        <f t="shared" si="166"/>
        <v>174.88638047889029</v>
      </c>
      <c r="V777" s="33">
        <f ca="1">AVERAGE(E777:OFFSET(E777,-V$5+1,0))</f>
        <v>8149.3907142857133</v>
      </c>
      <c r="W777" s="33">
        <f t="shared" ca="1" si="159"/>
        <v>8411.7202850040485</v>
      </c>
      <c r="X777" s="33">
        <f t="shared" ca="1" si="160"/>
        <v>7887.0611435673782</v>
      </c>
      <c r="Y777" s="32">
        <f t="shared" ca="1" si="167"/>
        <v>0</v>
      </c>
    </row>
    <row r="778" spans="1:25">
      <c r="A778" s="5">
        <v>39513</v>
      </c>
      <c r="B778" s="4">
        <v>8559.08</v>
      </c>
      <c r="C778" s="4">
        <v>8658.64</v>
      </c>
      <c r="D778" s="4">
        <v>8526.3700000000008</v>
      </c>
      <c r="E778" s="4">
        <v>8658.64</v>
      </c>
      <c r="F778" s="4">
        <v>6635600</v>
      </c>
      <c r="G778" s="8">
        <f t="shared" si="169"/>
        <v>75.1299999999992</v>
      </c>
      <c r="H778" s="8">
        <f t="shared" si="168"/>
        <v>99.559999999999491</v>
      </c>
      <c r="I778" s="20">
        <f t="shared" ca="1" si="161"/>
        <v>0</v>
      </c>
      <c r="J778" s="8">
        <f t="shared" ca="1" si="162"/>
        <v>0</v>
      </c>
      <c r="K778" s="8">
        <f t="shared" ca="1" si="163"/>
        <v>0</v>
      </c>
      <c r="L778" s="8">
        <f t="shared" ca="1" si="164"/>
        <v>3572.6100000000042</v>
      </c>
      <c r="M778" s="9">
        <f ca="1">AVERAGE(E778:OFFSET(E778,-M$5+1,0))</f>
        <v>8353.9030000000002</v>
      </c>
      <c r="N778" s="9">
        <f ca="1">AVERAGE(E778:OFFSET(E778,-N$5+1,0))</f>
        <v>8030.9225000000006</v>
      </c>
      <c r="O778" s="9">
        <f t="shared" ca="1" si="165"/>
        <v>0</v>
      </c>
      <c r="P778" s="14">
        <f t="shared" si="170"/>
        <v>2.0381523123172576</v>
      </c>
      <c r="Q778" s="15">
        <f ca="1">STDEV(P778:OFFSET(P778,-$Q$5+1,0))</f>
        <v>1.4654164464346564</v>
      </c>
      <c r="R778" s="15">
        <f ca="1">STDEV(P778:OFFSET(P778,-$R$5+1,0))</f>
        <v>2.1854216711797894</v>
      </c>
      <c r="S778" s="18">
        <f t="shared" si="157"/>
        <v>132.26999999999862</v>
      </c>
      <c r="T778" s="18">
        <f t="shared" si="158"/>
        <v>174.68999999999869</v>
      </c>
      <c r="U778" s="18">
        <f t="shared" si="166"/>
        <v>174.86019641503808</v>
      </c>
      <c r="V778" s="33">
        <f ca="1">AVERAGE(E778:OFFSET(E778,-V$5+1,0))</f>
        <v>8228.5399999999991</v>
      </c>
      <c r="W778" s="33">
        <f t="shared" ca="1" si="159"/>
        <v>8490.8302946225558</v>
      </c>
      <c r="X778" s="33">
        <f t="shared" ca="1" si="160"/>
        <v>7966.2497053774423</v>
      </c>
      <c r="Y778" s="32">
        <f t="shared" ca="1" si="167"/>
        <v>0</v>
      </c>
    </row>
    <row r="779" spans="1:25">
      <c r="A779" s="5">
        <v>39514</v>
      </c>
      <c r="B779" s="4">
        <v>8537.24</v>
      </c>
      <c r="C779" s="4">
        <v>8624.65</v>
      </c>
      <c r="D779" s="4">
        <v>8513.24</v>
      </c>
      <c r="E779" s="4">
        <v>8531.3799999999992</v>
      </c>
      <c r="F779" s="4">
        <v>6186600</v>
      </c>
      <c r="G779" s="8">
        <f t="shared" si="169"/>
        <v>-121.39999999999964</v>
      </c>
      <c r="H779" s="8">
        <f t="shared" si="168"/>
        <v>-5.8600000000005821</v>
      </c>
      <c r="I779" s="20">
        <f t="shared" ca="1" si="161"/>
        <v>0</v>
      </c>
      <c r="J779" s="8">
        <f t="shared" ca="1" si="162"/>
        <v>0</v>
      </c>
      <c r="K779" s="8">
        <f t="shared" ca="1" si="163"/>
        <v>0</v>
      </c>
      <c r="L779" s="8">
        <f t="shared" ca="1" si="164"/>
        <v>3572.6100000000042</v>
      </c>
      <c r="M779" s="9">
        <f ca="1">AVERAGE(E779:OFFSET(E779,-M$5+1,0))</f>
        <v>8398.4480000000003</v>
      </c>
      <c r="N779" s="9">
        <f ca="1">AVERAGE(E779:OFFSET(E779,-N$5+1,0))</f>
        <v>8078.670500000002</v>
      </c>
      <c r="O779" s="9">
        <f t="shared" ca="1" si="165"/>
        <v>0</v>
      </c>
      <c r="P779" s="14">
        <f t="shared" si="170"/>
        <v>-1.48065359973822</v>
      </c>
      <c r="Q779" s="15">
        <f ca="1">STDEV(P779:OFFSET(P779,-$Q$5+1,0))</f>
        <v>1.5433818246652768</v>
      </c>
      <c r="R779" s="15">
        <f ca="1">STDEV(P779:OFFSET(P779,-$R$5+1,0))</f>
        <v>2.1898297721819802</v>
      </c>
      <c r="S779" s="18">
        <f t="shared" si="157"/>
        <v>111.40999999999985</v>
      </c>
      <c r="T779" s="18">
        <f t="shared" si="158"/>
        <v>145.39999999999964</v>
      </c>
      <c r="U779" s="18">
        <f t="shared" si="166"/>
        <v>170.93217022636631</v>
      </c>
      <c r="V779" s="33">
        <f ca="1">AVERAGE(E779:OFFSET(E779,-V$5+1,0))</f>
        <v>8276.1185714285712</v>
      </c>
      <c r="W779" s="33">
        <f t="shared" ca="1" si="159"/>
        <v>8532.5168267681202</v>
      </c>
      <c r="X779" s="33">
        <f t="shared" ca="1" si="160"/>
        <v>8019.7203160890222</v>
      </c>
      <c r="Y779" s="32">
        <f t="shared" ca="1" si="167"/>
        <v>0</v>
      </c>
    </row>
    <row r="780" spans="1:25">
      <c r="A780" s="5">
        <v>39517</v>
      </c>
      <c r="B780" s="4">
        <v>8500.81</v>
      </c>
      <c r="C780" s="4">
        <v>8507.2900000000009</v>
      </c>
      <c r="D780" s="4">
        <v>8286.57</v>
      </c>
      <c r="E780" s="4">
        <v>8299.3700000000008</v>
      </c>
      <c r="F780" s="4">
        <v>5125200</v>
      </c>
      <c r="G780" s="8">
        <f t="shared" si="169"/>
        <v>-30.569999999999709</v>
      </c>
      <c r="H780" s="8">
        <f t="shared" si="168"/>
        <v>-201.43999999999869</v>
      </c>
      <c r="I780" s="20">
        <f t="shared" ca="1" si="161"/>
        <v>0</v>
      </c>
      <c r="J780" s="8">
        <f t="shared" ca="1" si="162"/>
        <v>0</v>
      </c>
      <c r="K780" s="8">
        <f t="shared" ca="1" si="163"/>
        <v>0</v>
      </c>
      <c r="L780" s="8">
        <f t="shared" ca="1" si="164"/>
        <v>3572.6100000000042</v>
      </c>
      <c r="M780" s="9">
        <f ca="1">AVERAGE(E780:OFFSET(E780,-M$5+1,0))</f>
        <v>8417.5139999999992</v>
      </c>
      <c r="N780" s="9">
        <f ca="1">AVERAGE(E780:OFFSET(E780,-N$5+1,0))</f>
        <v>8116.4639999999981</v>
      </c>
      <c r="O780" s="9">
        <f t="shared" ca="1" si="165"/>
        <v>0</v>
      </c>
      <c r="P780" s="14">
        <f t="shared" si="170"/>
        <v>-2.7571522057103235</v>
      </c>
      <c r="Q780" s="15">
        <f ca="1">STDEV(P780:OFFSET(P780,-$Q$5+1,0))</f>
        <v>1.8647776523525663</v>
      </c>
      <c r="R780" s="15">
        <f ca="1">STDEV(P780:OFFSET(P780,-$R$5+1,0))</f>
        <v>2.2065109734436441</v>
      </c>
      <c r="S780" s="18">
        <f t="shared" si="157"/>
        <v>220.72000000000116</v>
      </c>
      <c r="T780" s="18">
        <f t="shared" si="158"/>
        <v>244.80999999999949</v>
      </c>
      <c r="U780" s="18">
        <f t="shared" si="166"/>
        <v>180.78254752951739</v>
      </c>
      <c r="V780" s="33">
        <f ca="1">AVERAGE(E780:OFFSET(E780,-V$5+1,0))</f>
        <v>8306.3328571428556</v>
      </c>
      <c r="W780" s="33">
        <f t="shared" ca="1" si="159"/>
        <v>8577.506678437132</v>
      </c>
      <c r="X780" s="33">
        <f t="shared" ca="1" si="160"/>
        <v>8035.1590358485792</v>
      </c>
      <c r="Y780" s="32">
        <f t="shared" ca="1" si="167"/>
        <v>0</v>
      </c>
    </row>
    <row r="781" spans="1:25">
      <c r="A781" s="5">
        <v>39518</v>
      </c>
      <c r="B781" s="4">
        <v>8206.74</v>
      </c>
      <c r="C781" s="4">
        <v>8381.6</v>
      </c>
      <c r="D781" s="4">
        <v>8206.74</v>
      </c>
      <c r="E781" s="4">
        <v>8381.6</v>
      </c>
      <c r="F781" s="4">
        <v>4787000</v>
      </c>
      <c r="G781" s="8">
        <f t="shared" si="169"/>
        <v>-92.630000000001019</v>
      </c>
      <c r="H781" s="8">
        <f t="shared" si="168"/>
        <v>174.86000000000058</v>
      </c>
      <c r="I781" s="20">
        <f t="shared" ca="1" si="161"/>
        <v>0</v>
      </c>
      <c r="J781" s="8">
        <f t="shared" ca="1" si="162"/>
        <v>0</v>
      </c>
      <c r="K781" s="8">
        <f t="shared" ca="1" si="163"/>
        <v>0</v>
      </c>
      <c r="L781" s="8">
        <f t="shared" ca="1" si="164"/>
        <v>3572.6100000000042</v>
      </c>
      <c r="M781" s="9">
        <f ca="1">AVERAGE(E781:OFFSET(E781,-M$5+1,0))</f>
        <v>8427.0430000000015</v>
      </c>
      <c r="N781" s="9">
        <f ca="1">AVERAGE(E781:OFFSET(E781,-N$5+1,0))</f>
        <v>8159.4874999999984</v>
      </c>
      <c r="O781" s="9">
        <f t="shared" ca="1" si="165"/>
        <v>0</v>
      </c>
      <c r="P781" s="14">
        <f t="shared" si="170"/>
        <v>0.98592187493487859</v>
      </c>
      <c r="Q781" s="15">
        <f ca="1">STDEV(P781:OFFSET(P781,-$Q$5+1,0))</f>
        <v>1.7633258106235019</v>
      </c>
      <c r="R781" s="15">
        <f ca="1">STDEV(P781:OFFSET(P781,-$R$5+1,0))</f>
        <v>2.1948702641239288</v>
      </c>
      <c r="S781" s="18">
        <f t="shared" si="157"/>
        <v>174.86000000000058</v>
      </c>
      <c r="T781" s="18">
        <f t="shared" si="158"/>
        <v>174.86000000000058</v>
      </c>
      <c r="U781" s="18">
        <f t="shared" si="166"/>
        <v>179.99287452558181</v>
      </c>
      <c r="V781" s="33">
        <f ca="1">AVERAGE(E781:OFFSET(E781,-V$5+1,0))</f>
        <v>8331.846428571429</v>
      </c>
      <c r="W781" s="33">
        <f t="shared" ca="1" si="159"/>
        <v>8601.835740359802</v>
      </c>
      <c r="X781" s="33">
        <f t="shared" ca="1" si="160"/>
        <v>8061.857116783056</v>
      </c>
      <c r="Y781" s="32">
        <f t="shared" ca="1" si="167"/>
        <v>0</v>
      </c>
    </row>
    <row r="782" spans="1:25">
      <c r="A782" s="5">
        <v>39519</v>
      </c>
      <c r="B782" s="4">
        <v>8577.85</v>
      </c>
      <c r="C782" s="4">
        <v>8577.85</v>
      </c>
      <c r="D782" s="4">
        <v>8424.1</v>
      </c>
      <c r="E782" s="4">
        <v>8435.2999999999993</v>
      </c>
      <c r="F782" s="4">
        <v>5224600</v>
      </c>
      <c r="G782" s="8">
        <f t="shared" si="169"/>
        <v>196.25</v>
      </c>
      <c r="H782" s="8">
        <f t="shared" si="168"/>
        <v>-142.55000000000109</v>
      </c>
      <c r="I782" s="20">
        <f t="shared" ca="1" si="161"/>
        <v>0</v>
      </c>
      <c r="J782" s="8">
        <f t="shared" ca="1" si="162"/>
        <v>0</v>
      </c>
      <c r="K782" s="8">
        <f t="shared" ca="1" si="163"/>
        <v>0</v>
      </c>
      <c r="L782" s="8">
        <f t="shared" ca="1" si="164"/>
        <v>3572.6100000000042</v>
      </c>
      <c r="M782" s="9">
        <f ca="1">AVERAGE(E782:OFFSET(E782,-M$5+1,0))</f>
        <v>8439.8060000000005</v>
      </c>
      <c r="N782" s="9">
        <f ca="1">AVERAGE(E782:OFFSET(E782,-N$5+1,0))</f>
        <v>8197.5529999999981</v>
      </c>
      <c r="O782" s="9">
        <f t="shared" ca="1" si="165"/>
        <v>0</v>
      </c>
      <c r="P782" s="14">
        <f t="shared" si="170"/>
        <v>0.6386454402512175</v>
      </c>
      <c r="Q782" s="15">
        <f ca="1">STDEV(P782:OFFSET(P782,-$Q$5+1,0))</f>
        <v>1.7708675494898178</v>
      </c>
      <c r="R782" s="15">
        <f ca="1">STDEV(P782:OFFSET(P782,-$R$5+1,0))</f>
        <v>2.1959337314460052</v>
      </c>
      <c r="S782" s="18">
        <f t="shared" si="157"/>
        <v>153.75</v>
      </c>
      <c r="T782" s="18">
        <f t="shared" si="158"/>
        <v>196.25</v>
      </c>
      <c r="U782" s="18">
        <f t="shared" si="166"/>
        <v>182.16049125550424</v>
      </c>
      <c r="V782" s="33">
        <f ca="1">AVERAGE(E782:OFFSET(E782,-V$5+1,0))</f>
        <v>8370.4771428571439</v>
      </c>
      <c r="W782" s="33">
        <f t="shared" ca="1" si="159"/>
        <v>8643.7178797403994</v>
      </c>
      <c r="X782" s="33">
        <f t="shared" ca="1" si="160"/>
        <v>8097.2364059738875</v>
      </c>
      <c r="Y782" s="32">
        <f t="shared" ca="1" si="167"/>
        <v>0</v>
      </c>
    </row>
    <row r="783" spans="1:25">
      <c r="A783" s="5">
        <v>39520</v>
      </c>
      <c r="B783" s="4">
        <v>8408.4599999999991</v>
      </c>
      <c r="C783" s="4">
        <v>8447.98</v>
      </c>
      <c r="D783" s="4">
        <v>8198.77</v>
      </c>
      <c r="E783" s="4">
        <v>8210.99</v>
      </c>
      <c r="F783" s="4">
        <v>4257000</v>
      </c>
      <c r="G783" s="8">
        <f t="shared" si="169"/>
        <v>-26.840000000000146</v>
      </c>
      <c r="H783" s="8">
        <f t="shared" si="168"/>
        <v>-197.46999999999935</v>
      </c>
      <c r="I783" s="20">
        <f t="shared" ca="1" si="161"/>
        <v>0</v>
      </c>
      <c r="J783" s="8">
        <f t="shared" ca="1" si="162"/>
        <v>0</v>
      </c>
      <c r="K783" s="8">
        <f t="shared" ca="1" si="163"/>
        <v>0</v>
      </c>
      <c r="L783" s="8">
        <f t="shared" ca="1" si="164"/>
        <v>3572.6100000000042</v>
      </c>
      <c r="M783" s="9">
        <f ca="1">AVERAGE(E783:OFFSET(E783,-M$5+1,0))</f>
        <v>8414.6970000000019</v>
      </c>
      <c r="N783" s="9">
        <f ca="1">AVERAGE(E783:OFFSET(E783,-N$5+1,0))</f>
        <v>8230.4374999999982</v>
      </c>
      <c r="O783" s="9">
        <f t="shared" ca="1" si="165"/>
        <v>0</v>
      </c>
      <c r="P783" s="14">
        <f t="shared" si="170"/>
        <v>-2.6951780611676104</v>
      </c>
      <c r="Q783" s="15">
        <f ca="1">STDEV(P783:OFFSET(P783,-$Q$5+1,0))</f>
        <v>1.8684944960662779</v>
      </c>
      <c r="R783" s="15">
        <f ca="1">STDEV(P783:OFFSET(P783,-$R$5+1,0))</f>
        <v>2.1332589857351993</v>
      </c>
      <c r="S783" s="18">
        <f t="shared" si="157"/>
        <v>249.20999999999913</v>
      </c>
      <c r="T783" s="18">
        <f t="shared" si="158"/>
        <v>249.20999999999913</v>
      </c>
      <c r="U783" s="18">
        <f t="shared" si="166"/>
        <v>191.10042575477024</v>
      </c>
      <c r="V783" s="33">
        <f ca="1">AVERAGE(E783:OFFSET(E783,-V$5+1,0))</f>
        <v>8379.4100000000017</v>
      </c>
      <c r="W783" s="33">
        <f t="shared" ca="1" si="159"/>
        <v>8666.0606386321579</v>
      </c>
      <c r="X783" s="33">
        <f t="shared" ca="1" si="160"/>
        <v>8092.7593613678464</v>
      </c>
      <c r="Y783" s="32">
        <f t="shared" ca="1" si="167"/>
        <v>0</v>
      </c>
    </row>
    <row r="784" spans="1:25">
      <c r="A784" s="5">
        <v>39521</v>
      </c>
      <c r="B784" s="4">
        <v>8293.1200000000008</v>
      </c>
      <c r="C784" s="4">
        <v>8315.23</v>
      </c>
      <c r="D784" s="4">
        <v>8120.49</v>
      </c>
      <c r="E784" s="4">
        <v>8161.39</v>
      </c>
      <c r="F784" s="4">
        <v>4559200</v>
      </c>
      <c r="G784" s="8">
        <f t="shared" si="169"/>
        <v>82.130000000001019</v>
      </c>
      <c r="H784" s="8">
        <f t="shared" si="168"/>
        <v>-131.73000000000047</v>
      </c>
      <c r="I784" s="20">
        <f t="shared" ca="1" si="161"/>
        <v>0</v>
      </c>
      <c r="J784" s="8">
        <f t="shared" ca="1" si="162"/>
        <v>0</v>
      </c>
      <c r="K784" s="8">
        <f t="shared" ca="1" si="163"/>
        <v>0</v>
      </c>
      <c r="L784" s="8">
        <f t="shared" ca="1" si="164"/>
        <v>3572.6100000000042</v>
      </c>
      <c r="M784" s="9">
        <f ca="1">AVERAGE(E784:OFFSET(E784,-M$5+1,0))</f>
        <v>8389.5600000000013</v>
      </c>
      <c r="N784" s="9">
        <f ca="1">AVERAGE(E784:OFFSET(E784,-N$5+1,0))</f>
        <v>8260.9794999999995</v>
      </c>
      <c r="O784" s="9">
        <f t="shared" ca="1" si="165"/>
        <v>0</v>
      </c>
      <c r="P784" s="14">
        <f t="shared" si="170"/>
        <v>-0.60590032409285677</v>
      </c>
      <c r="Q784" s="15">
        <f ca="1">STDEV(P784:OFFSET(P784,-$Q$5+1,0))</f>
        <v>1.8688665398871589</v>
      </c>
      <c r="R784" s="15">
        <f ca="1">STDEV(P784:OFFSET(P784,-$R$5+1,0))</f>
        <v>2.1309875451986295</v>
      </c>
      <c r="S784" s="18">
        <f t="shared" si="157"/>
        <v>194.73999999999978</v>
      </c>
      <c r="T784" s="18">
        <f t="shared" si="158"/>
        <v>194.73999999999978</v>
      </c>
      <c r="U784" s="18">
        <f t="shared" si="166"/>
        <v>191.58570232080086</v>
      </c>
      <c r="V784" s="33">
        <f ca="1">AVERAGE(E784:OFFSET(E784,-V$5+1,0))</f>
        <v>8383.1728571428575</v>
      </c>
      <c r="W784" s="33">
        <f t="shared" ca="1" si="159"/>
        <v>8670.5514106240589</v>
      </c>
      <c r="X784" s="33">
        <f t="shared" ca="1" si="160"/>
        <v>8095.7943036616562</v>
      </c>
      <c r="Y784" s="32">
        <f t="shared" ca="1" si="167"/>
        <v>0</v>
      </c>
    </row>
    <row r="785" spans="1:25">
      <c r="A785" s="5">
        <v>39524</v>
      </c>
      <c r="B785" s="4">
        <v>8041.31</v>
      </c>
      <c r="C785" s="4">
        <v>8053.08</v>
      </c>
      <c r="D785" s="4">
        <v>7900.8</v>
      </c>
      <c r="E785" s="4">
        <v>8005.46</v>
      </c>
      <c r="F785" s="4">
        <v>4595400</v>
      </c>
      <c r="G785" s="8">
        <f t="shared" si="169"/>
        <v>-120.07999999999993</v>
      </c>
      <c r="H785" s="8">
        <f t="shared" si="168"/>
        <v>-35.850000000000364</v>
      </c>
      <c r="I785" s="20">
        <f t="shared" ca="1" si="161"/>
        <v>-1</v>
      </c>
      <c r="J785" s="8">
        <f t="shared" ca="1" si="162"/>
        <v>0</v>
      </c>
      <c r="K785" s="8">
        <f t="shared" ca="1" si="163"/>
        <v>0</v>
      </c>
      <c r="L785" s="8">
        <f t="shared" ca="1" si="164"/>
        <v>3572.6100000000042</v>
      </c>
      <c r="M785" s="9">
        <f ca="1">AVERAGE(E785:OFFSET(E785,-M$5+1,0))</f>
        <v>8363.8190000000013</v>
      </c>
      <c r="N785" s="9">
        <f ca="1">AVERAGE(E785:OFFSET(E785,-N$5+1,0))</f>
        <v>8267.9884999999977</v>
      </c>
      <c r="O785" s="9">
        <f t="shared" ca="1" si="165"/>
        <v>0</v>
      </c>
      <c r="P785" s="14">
        <f t="shared" si="170"/>
        <v>-1.929068872389812</v>
      </c>
      <c r="Q785" s="15">
        <f ca="1">STDEV(P785:OFFSET(P785,-$Q$5+1,0))</f>
        <v>1.8809551552483978</v>
      </c>
      <c r="R785" s="15">
        <f ca="1">STDEV(P785:OFFSET(P785,-$R$5+1,0))</f>
        <v>2.1401776709161795</v>
      </c>
      <c r="S785" s="18">
        <f t="shared" si="157"/>
        <v>152.27999999999975</v>
      </c>
      <c r="T785" s="18">
        <f t="shared" si="158"/>
        <v>260.59000000000015</v>
      </c>
      <c r="U785" s="18">
        <f t="shared" si="166"/>
        <v>200.7862753446941</v>
      </c>
      <c r="V785" s="33">
        <f ca="1">AVERAGE(E785:OFFSET(E785,-V$5+1,0))</f>
        <v>8363.1121428571441</v>
      </c>
      <c r="W785" s="33">
        <f t="shared" ca="1" si="159"/>
        <v>8664.2915558741861</v>
      </c>
      <c r="X785" s="33">
        <f t="shared" ca="1" si="160"/>
        <v>8061.9327298401031</v>
      </c>
      <c r="Y785" s="32">
        <f t="shared" ca="1" si="167"/>
        <v>-1</v>
      </c>
    </row>
    <row r="786" spans="1:25">
      <c r="A786" s="5">
        <v>39525</v>
      </c>
      <c r="B786" s="4">
        <v>8039.29</v>
      </c>
      <c r="C786" s="4">
        <v>8082.57</v>
      </c>
      <c r="D786" s="4">
        <v>7955.48</v>
      </c>
      <c r="E786" s="4">
        <v>8057.82</v>
      </c>
      <c r="F786" s="4">
        <v>4114800</v>
      </c>
      <c r="G786" s="8">
        <f t="shared" si="169"/>
        <v>33.829999999999927</v>
      </c>
      <c r="H786" s="8">
        <f t="shared" si="168"/>
        <v>18.529999999999745</v>
      </c>
      <c r="I786" s="20">
        <f t="shared" ca="1" si="161"/>
        <v>0</v>
      </c>
      <c r="J786" s="8">
        <f t="shared" ca="1" si="162"/>
        <v>-1</v>
      </c>
      <c r="K786" s="8">
        <f t="shared" ca="1" si="163"/>
        <v>-18.529999999999745</v>
      </c>
      <c r="L786" s="8">
        <f t="shared" ca="1" si="164"/>
        <v>3554.0800000000045</v>
      </c>
      <c r="M786" s="9">
        <f ca="1">AVERAGE(E786:OFFSET(E786,-M$5+1,0))</f>
        <v>8322.590000000002</v>
      </c>
      <c r="N786" s="9">
        <f ca="1">AVERAGE(E786:OFFSET(E786,-N$5+1,0))</f>
        <v>8277.0609999999997</v>
      </c>
      <c r="O786" s="9">
        <f t="shared" ca="1" si="165"/>
        <v>0</v>
      </c>
      <c r="P786" s="14">
        <f t="shared" si="170"/>
        <v>0.65192395878862963</v>
      </c>
      <c r="Q786" s="15">
        <f ca="1">STDEV(P786:OFFSET(P786,-$Q$5+1,0))</f>
        <v>1.6546973696076264</v>
      </c>
      <c r="R786" s="15">
        <f ca="1">STDEV(P786:OFFSET(P786,-$R$5+1,0))</f>
        <v>2.1421591312326367</v>
      </c>
      <c r="S786" s="18">
        <f t="shared" si="157"/>
        <v>127.09000000000015</v>
      </c>
      <c r="T786" s="18">
        <f t="shared" si="158"/>
        <v>127.09000000000015</v>
      </c>
      <c r="U786" s="18">
        <f t="shared" si="166"/>
        <v>190.9601052987349</v>
      </c>
      <c r="V786" s="33">
        <f ca="1">AVERAGE(E786:OFFSET(E786,-V$5+1,0))</f>
        <v>8345.265714285717</v>
      </c>
      <c r="W786" s="33">
        <f t="shared" ca="1" si="159"/>
        <v>8631.7058722338188</v>
      </c>
      <c r="X786" s="33">
        <f t="shared" ca="1" si="160"/>
        <v>8058.8255563376142</v>
      </c>
      <c r="Y786" s="32">
        <f t="shared" ca="1" si="167"/>
        <v>0</v>
      </c>
    </row>
    <row r="787" spans="1:25">
      <c r="A787" s="5">
        <v>39526</v>
      </c>
      <c r="B787" s="4">
        <v>8215.7999999999993</v>
      </c>
      <c r="C787" s="4">
        <v>8233.4699999999993</v>
      </c>
      <c r="D787" s="4">
        <v>8142.73</v>
      </c>
      <c r="E787" s="4">
        <v>8179.35</v>
      </c>
      <c r="F787" s="4">
        <v>4831800</v>
      </c>
      <c r="G787" s="8">
        <f t="shared" si="169"/>
        <v>157.97999999999956</v>
      </c>
      <c r="H787" s="8">
        <f t="shared" si="168"/>
        <v>-36.449999999998909</v>
      </c>
      <c r="I787" s="20">
        <f t="shared" ca="1" si="161"/>
        <v>0</v>
      </c>
      <c r="J787" s="8">
        <f t="shared" ca="1" si="162"/>
        <v>-1</v>
      </c>
      <c r="K787" s="8">
        <f t="shared" ca="1" si="163"/>
        <v>-121.53000000000065</v>
      </c>
      <c r="L787" s="8">
        <f t="shared" ca="1" si="164"/>
        <v>3432.5500000000038</v>
      </c>
      <c r="M787" s="9">
        <f ca="1">AVERAGE(E787:OFFSET(E787,-M$5+1,0))</f>
        <v>8292.1299999999992</v>
      </c>
      <c r="N787" s="9">
        <f ca="1">AVERAGE(E787:OFFSET(E787,-N$5+1,0))</f>
        <v>8284.8080000000009</v>
      </c>
      <c r="O787" s="9">
        <f t="shared" ca="1" si="165"/>
        <v>0</v>
      </c>
      <c r="P787" s="14">
        <f t="shared" si="170"/>
        <v>1.4969636884172322</v>
      </c>
      <c r="Q787" s="15">
        <f ca="1">STDEV(P787:OFFSET(P787,-$Q$5+1,0))</f>
        <v>1.7641372942450828</v>
      </c>
      <c r="R787" s="15">
        <f ca="1">STDEV(P787:OFFSET(P787,-$R$5+1,0))</f>
        <v>2.1543001326472986</v>
      </c>
      <c r="S787" s="18">
        <f t="shared" si="157"/>
        <v>90.739999999999782</v>
      </c>
      <c r="T787" s="18">
        <f t="shared" si="158"/>
        <v>175.64999999999964</v>
      </c>
      <c r="U787" s="18">
        <f t="shared" si="166"/>
        <v>188.91875792557022</v>
      </c>
      <c r="V787" s="33">
        <f ca="1">AVERAGE(E787:OFFSET(E787,-V$5+1,0))</f>
        <v>8325.0707142857154</v>
      </c>
      <c r="W787" s="33">
        <f t="shared" ca="1" si="159"/>
        <v>8608.448851174071</v>
      </c>
      <c r="X787" s="33">
        <f t="shared" ca="1" si="160"/>
        <v>8041.6925773973599</v>
      </c>
      <c r="Y787" s="32">
        <f t="shared" ca="1" si="167"/>
        <v>0</v>
      </c>
    </row>
    <row r="788" spans="1:25">
      <c r="A788" s="5">
        <v>39527</v>
      </c>
      <c r="B788" s="4">
        <v>8151.53</v>
      </c>
      <c r="C788" s="4">
        <v>8343.3799999999992</v>
      </c>
      <c r="D788" s="4">
        <v>8124.67</v>
      </c>
      <c r="E788" s="4">
        <v>8337.6200000000008</v>
      </c>
      <c r="F788" s="4">
        <v>5514200</v>
      </c>
      <c r="G788" s="8">
        <f t="shared" si="169"/>
        <v>-27.820000000000618</v>
      </c>
      <c r="H788" s="8">
        <f t="shared" si="168"/>
        <v>186.09000000000106</v>
      </c>
      <c r="I788" s="20">
        <f t="shared" ca="1" si="161"/>
        <v>0</v>
      </c>
      <c r="J788" s="8">
        <f t="shared" ca="1" si="162"/>
        <v>-1</v>
      </c>
      <c r="K788" s="8">
        <f t="shared" ca="1" si="163"/>
        <v>-158.27000000000044</v>
      </c>
      <c r="L788" s="8">
        <f t="shared" ca="1" si="164"/>
        <v>3274.2800000000034</v>
      </c>
      <c r="M788" s="9">
        <f ca="1">AVERAGE(E788:OFFSET(E788,-M$5+1,0))</f>
        <v>8260.0280000000002</v>
      </c>
      <c r="N788" s="9">
        <f ca="1">AVERAGE(E788:OFFSET(E788,-N$5+1,0))</f>
        <v>8306.9655000000021</v>
      </c>
      <c r="O788" s="9">
        <f t="shared" ca="1" si="165"/>
        <v>-1</v>
      </c>
      <c r="P788" s="14">
        <f t="shared" si="170"/>
        <v>1.9165118587078991</v>
      </c>
      <c r="Q788" s="15">
        <f ca="1">STDEV(P788:OFFSET(P788,-$Q$5+1,0))</f>
        <v>1.7460477542417898</v>
      </c>
      <c r="R788" s="15">
        <f ca="1">STDEV(P788:OFFSET(P788,-$R$5+1,0))</f>
        <v>2.1572486974656755</v>
      </c>
      <c r="S788" s="18">
        <f t="shared" si="157"/>
        <v>218.70999999999913</v>
      </c>
      <c r="T788" s="18">
        <f t="shared" si="158"/>
        <v>218.70999999999913</v>
      </c>
      <c r="U788" s="18">
        <f t="shared" si="166"/>
        <v>192.8909235354941</v>
      </c>
      <c r="V788" s="33">
        <f ca="1">AVERAGE(E788:OFFSET(E788,-V$5+1,0))</f>
        <v>8319.7035714285721</v>
      </c>
      <c r="W788" s="33">
        <f t="shared" ca="1" si="159"/>
        <v>8609.0399567318127</v>
      </c>
      <c r="X788" s="33">
        <f t="shared" ca="1" si="160"/>
        <v>8030.3671861253306</v>
      </c>
      <c r="Y788" s="32">
        <f t="shared" ca="1" si="167"/>
        <v>0</v>
      </c>
    </row>
    <row r="789" spans="1:25">
      <c r="A789" s="5">
        <v>39528</v>
      </c>
      <c r="B789" s="4">
        <v>8453.56</v>
      </c>
      <c r="C789" s="4">
        <v>8539.91</v>
      </c>
      <c r="D789" s="4">
        <v>8412.52</v>
      </c>
      <c r="E789" s="4">
        <v>8524.99</v>
      </c>
      <c r="F789" s="4">
        <v>6460000</v>
      </c>
      <c r="G789" s="8">
        <f t="shared" si="169"/>
        <v>115.93999999999869</v>
      </c>
      <c r="H789" s="8">
        <f t="shared" si="168"/>
        <v>71.430000000000291</v>
      </c>
      <c r="I789" s="20">
        <f t="shared" ca="1" si="161"/>
        <v>0</v>
      </c>
      <c r="J789" s="8">
        <f t="shared" ca="1" si="162"/>
        <v>-1</v>
      </c>
      <c r="K789" s="8">
        <f t="shared" ca="1" si="163"/>
        <v>-187.36999999999898</v>
      </c>
      <c r="L789" s="8">
        <f t="shared" ca="1" si="164"/>
        <v>3086.9100000000044</v>
      </c>
      <c r="M789" s="9">
        <f ca="1">AVERAGE(E789:OFFSET(E789,-M$5+1,0))</f>
        <v>8259.3889999999992</v>
      </c>
      <c r="N789" s="9">
        <f ca="1">AVERAGE(E789:OFFSET(E789,-N$5+1,0))</f>
        <v>8328.9185000000016</v>
      </c>
      <c r="O789" s="9">
        <f t="shared" ca="1" si="165"/>
        <v>0</v>
      </c>
      <c r="P789" s="14">
        <f t="shared" si="170"/>
        <v>2.222404620659959</v>
      </c>
      <c r="Q789" s="15">
        <f ca="1">STDEV(P789:OFFSET(P789,-$Q$5+1,0))</f>
        <v>1.8741412445283192</v>
      </c>
      <c r="R789" s="15">
        <f ca="1">STDEV(P789:OFFSET(P789,-$R$5+1,0))</f>
        <v>2.1305545471838756</v>
      </c>
      <c r="S789" s="18">
        <f t="shared" si="157"/>
        <v>127.38999999999942</v>
      </c>
      <c r="T789" s="18">
        <f t="shared" si="158"/>
        <v>202.28999999999905</v>
      </c>
      <c r="U789" s="18">
        <f t="shared" si="166"/>
        <v>194.14413373076141</v>
      </c>
      <c r="V789" s="33">
        <f ca="1">AVERAGE(E789:OFFSET(E789,-V$5+1,0))</f>
        <v>8338.4264285714289</v>
      </c>
      <c r="W789" s="33">
        <f t="shared" ca="1" si="159"/>
        <v>8629.6426291675707</v>
      </c>
      <c r="X789" s="33">
        <f t="shared" ca="1" si="160"/>
        <v>8047.2102279752871</v>
      </c>
      <c r="Y789" s="32">
        <f t="shared" ca="1" si="167"/>
        <v>0</v>
      </c>
    </row>
    <row r="790" spans="1:25">
      <c r="A790" s="5">
        <v>39531</v>
      </c>
      <c r="B790" s="4">
        <v>9049.23</v>
      </c>
      <c r="C790" s="4">
        <v>9049.23</v>
      </c>
      <c r="D790" s="4">
        <v>8781.02</v>
      </c>
      <c r="E790" s="4">
        <v>8865.35</v>
      </c>
      <c r="F790" s="4">
        <v>8697000</v>
      </c>
      <c r="G790" s="8">
        <f t="shared" si="169"/>
        <v>524.23999999999978</v>
      </c>
      <c r="H790" s="8">
        <f t="shared" si="168"/>
        <v>-183.8799999999992</v>
      </c>
      <c r="I790" s="20">
        <f t="shared" ca="1" si="161"/>
        <v>1</v>
      </c>
      <c r="J790" s="8">
        <f t="shared" ca="1" si="162"/>
        <v>-1</v>
      </c>
      <c r="K790" s="8">
        <f t="shared" ca="1" si="163"/>
        <v>-340.36000000000058</v>
      </c>
      <c r="L790" s="8">
        <f t="shared" ca="1" si="164"/>
        <v>2746.5500000000038</v>
      </c>
      <c r="M790" s="9">
        <f ca="1">AVERAGE(E790:OFFSET(E790,-M$5+1,0))</f>
        <v>8315.987000000001</v>
      </c>
      <c r="N790" s="9">
        <f ca="1">AVERAGE(E790:OFFSET(E790,-N$5+1,0))</f>
        <v>8366.7505000000001</v>
      </c>
      <c r="O790" s="9">
        <f t="shared" ca="1" si="165"/>
        <v>0</v>
      </c>
      <c r="P790" s="14">
        <f t="shared" si="170"/>
        <v>3.9148569703919245</v>
      </c>
      <c r="Q790" s="15">
        <f ca="1">STDEV(P790:OFFSET(P790,-$Q$5+1,0))</f>
        <v>1.9715836527490793</v>
      </c>
      <c r="R790" s="15">
        <f ca="1">STDEV(P790:OFFSET(P790,-$R$5+1,0))</f>
        <v>2.1587918942154873</v>
      </c>
      <c r="S790" s="18">
        <f t="shared" si="157"/>
        <v>268.20999999999913</v>
      </c>
      <c r="T790" s="18">
        <f t="shared" si="158"/>
        <v>524.23999999999978</v>
      </c>
      <c r="U790" s="18">
        <f t="shared" si="166"/>
        <v>238.15691589999318</v>
      </c>
      <c r="V790" s="33">
        <f ca="1">AVERAGE(E790:OFFSET(E790,-V$5+1,0))</f>
        <v>8366.6578571428599</v>
      </c>
      <c r="W790" s="33">
        <f t="shared" ca="1" si="159"/>
        <v>8723.8932309928496</v>
      </c>
      <c r="X790" s="33">
        <f t="shared" ca="1" si="160"/>
        <v>8009.4224832928703</v>
      </c>
      <c r="Y790" s="32">
        <f t="shared" ca="1" si="167"/>
        <v>1</v>
      </c>
    </row>
    <row r="791" spans="1:25">
      <c r="A791" s="5">
        <v>39532</v>
      </c>
      <c r="B791" s="4">
        <v>8853.7800000000007</v>
      </c>
      <c r="C791" s="4">
        <v>8899.26</v>
      </c>
      <c r="D791" s="4">
        <v>8761.01</v>
      </c>
      <c r="E791" s="4">
        <v>8795.09</v>
      </c>
      <c r="F791" s="4">
        <v>6914000</v>
      </c>
      <c r="G791" s="8">
        <f t="shared" si="169"/>
        <v>-11.569999999999709</v>
      </c>
      <c r="H791" s="8">
        <f t="shared" si="168"/>
        <v>-58.690000000000509</v>
      </c>
      <c r="I791" s="20">
        <f t="shared" ca="1" si="161"/>
        <v>0</v>
      </c>
      <c r="J791" s="8">
        <f t="shared" ca="1" si="162"/>
        <v>0</v>
      </c>
      <c r="K791" s="8">
        <f t="shared" ca="1" si="163"/>
        <v>11.569999999999709</v>
      </c>
      <c r="L791" s="8">
        <f t="shared" ca="1" si="164"/>
        <v>2758.1200000000035</v>
      </c>
      <c r="M791" s="9">
        <f ca="1">AVERAGE(E791:OFFSET(E791,-M$5+1,0))</f>
        <v>8357.3359999999993</v>
      </c>
      <c r="N791" s="9">
        <f ca="1">AVERAGE(E791:OFFSET(E791,-N$5+1,0))</f>
        <v>8392.1895000000004</v>
      </c>
      <c r="O791" s="9">
        <f t="shared" ca="1" si="165"/>
        <v>0</v>
      </c>
      <c r="P791" s="14">
        <f t="shared" si="170"/>
        <v>-0.79568086281388251</v>
      </c>
      <c r="Q791" s="15">
        <f ca="1">STDEV(P791:OFFSET(P791,-$Q$5+1,0))</f>
        <v>2.0187622645722105</v>
      </c>
      <c r="R791" s="15">
        <f ca="1">STDEV(P791:OFFSET(P791,-$R$5+1,0))</f>
        <v>2.1567213522321045</v>
      </c>
      <c r="S791" s="18">
        <f t="shared" si="157"/>
        <v>138.25</v>
      </c>
      <c r="T791" s="18">
        <f t="shared" si="158"/>
        <v>138.25</v>
      </c>
      <c r="U791" s="18">
        <f t="shared" si="166"/>
        <v>224.83599377999411</v>
      </c>
      <c r="V791" s="33">
        <f ca="1">AVERAGE(E791:OFFSET(E791,-V$5+1,0))</f>
        <v>8388.8821428571428</v>
      </c>
      <c r="W791" s="33">
        <f t="shared" ca="1" si="159"/>
        <v>8726.136133527134</v>
      </c>
      <c r="X791" s="33">
        <f t="shared" ca="1" si="160"/>
        <v>8051.6281521871515</v>
      </c>
      <c r="Y791" s="32">
        <f t="shared" ca="1" si="167"/>
        <v>0</v>
      </c>
    </row>
    <row r="792" spans="1:25">
      <c r="A792" s="5">
        <v>39533</v>
      </c>
      <c r="B792" s="4">
        <v>8776.19</v>
      </c>
      <c r="C792" s="4">
        <v>8842.52</v>
      </c>
      <c r="D792" s="4">
        <v>8712.39</v>
      </c>
      <c r="E792" s="4">
        <v>8768.02</v>
      </c>
      <c r="F792" s="4">
        <v>6933600</v>
      </c>
      <c r="G792" s="8">
        <f t="shared" si="169"/>
        <v>-18.899999999999636</v>
      </c>
      <c r="H792" s="8">
        <f t="shared" si="168"/>
        <v>-8.1700000000000728</v>
      </c>
      <c r="I792" s="20">
        <f t="shared" ca="1" si="161"/>
        <v>0</v>
      </c>
      <c r="J792" s="8">
        <f t="shared" ca="1" si="162"/>
        <v>0</v>
      </c>
      <c r="K792" s="8">
        <f t="shared" ca="1" si="163"/>
        <v>0</v>
      </c>
      <c r="L792" s="8">
        <f t="shared" ca="1" si="164"/>
        <v>2758.1200000000035</v>
      </c>
      <c r="M792" s="9">
        <f ca="1">AVERAGE(E792:OFFSET(E792,-M$5+1,0))</f>
        <v>8390.6080000000002</v>
      </c>
      <c r="N792" s="9">
        <f ca="1">AVERAGE(E792:OFFSET(E792,-N$5+1,0))</f>
        <v>8415.2070000000003</v>
      </c>
      <c r="O792" s="9">
        <f t="shared" ca="1" si="165"/>
        <v>0</v>
      </c>
      <c r="P792" s="14">
        <f t="shared" si="170"/>
        <v>-0.30825999991890535</v>
      </c>
      <c r="Q792" s="15">
        <f ca="1">STDEV(P792:OFFSET(P792,-$Q$5+1,0))</f>
        <v>2.0327338872576242</v>
      </c>
      <c r="R792" s="15">
        <f ca="1">STDEV(P792:OFFSET(P792,-$R$5+1,0))</f>
        <v>2.1540850117807491</v>
      </c>
      <c r="S792" s="18">
        <f t="shared" si="157"/>
        <v>130.13000000000102</v>
      </c>
      <c r="T792" s="18">
        <f t="shared" si="158"/>
        <v>130.13000000000102</v>
      </c>
      <c r="U792" s="18">
        <f t="shared" si="166"/>
        <v>212.2085279426617</v>
      </c>
      <c r="V792" s="33">
        <f ca="1">AVERAGE(E792:OFFSET(E792,-V$5+1,0))</f>
        <v>8396.6950000000015</v>
      </c>
      <c r="W792" s="33">
        <f t="shared" ca="1" si="159"/>
        <v>8715.0077919139949</v>
      </c>
      <c r="X792" s="33">
        <f t="shared" ca="1" si="160"/>
        <v>8078.3822080860091</v>
      </c>
      <c r="Y792" s="32">
        <f t="shared" ca="1" si="167"/>
        <v>0</v>
      </c>
    </row>
    <row r="793" spans="1:25">
      <c r="A793" s="5">
        <v>39534</v>
      </c>
      <c r="B793" s="4">
        <v>8698.16</v>
      </c>
      <c r="C793" s="4">
        <v>8708.92</v>
      </c>
      <c r="D793" s="4">
        <v>8559.1</v>
      </c>
      <c r="E793" s="4">
        <v>8605.9500000000007</v>
      </c>
      <c r="F793" s="4">
        <v>6124400</v>
      </c>
      <c r="G793" s="8">
        <f t="shared" si="169"/>
        <v>-69.860000000000582</v>
      </c>
      <c r="H793" s="8">
        <f t="shared" si="168"/>
        <v>-92.209999999999127</v>
      </c>
      <c r="I793" s="20">
        <f t="shared" ca="1" si="161"/>
        <v>0</v>
      </c>
      <c r="J793" s="8">
        <f t="shared" ca="1" si="162"/>
        <v>0</v>
      </c>
      <c r="K793" s="8">
        <f t="shared" ca="1" si="163"/>
        <v>0</v>
      </c>
      <c r="L793" s="8">
        <f t="shared" ca="1" si="164"/>
        <v>2758.1200000000035</v>
      </c>
      <c r="M793" s="9">
        <f ca="1">AVERAGE(E793:OFFSET(E793,-M$5+1,0))</f>
        <v>8430.1039999999994</v>
      </c>
      <c r="N793" s="9">
        <f ca="1">AVERAGE(E793:OFFSET(E793,-N$5+1,0))</f>
        <v>8422.4004999999997</v>
      </c>
      <c r="O793" s="9">
        <f t="shared" ca="1" si="165"/>
        <v>1</v>
      </c>
      <c r="P793" s="14">
        <f t="shared" si="170"/>
        <v>-1.8657186725495334</v>
      </c>
      <c r="Q793" s="15">
        <f ca="1">STDEV(P793:OFFSET(P793,-$Q$5+1,0))</f>
        <v>1.9059678138945411</v>
      </c>
      <c r="R793" s="15">
        <f ca="1">STDEV(P793:OFFSET(P793,-$R$5+1,0))</f>
        <v>2.1715771590237805</v>
      </c>
      <c r="S793" s="18">
        <f t="shared" si="157"/>
        <v>149.81999999999971</v>
      </c>
      <c r="T793" s="18">
        <f t="shared" si="158"/>
        <v>208.92000000000007</v>
      </c>
      <c r="U793" s="18">
        <f t="shared" si="166"/>
        <v>211.77005755030683</v>
      </c>
      <c r="V793" s="33">
        <f ca="1">AVERAGE(E793:OFFSET(E793,-V$5+1,0))</f>
        <v>8402.0214285714283</v>
      </c>
      <c r="W793" s="33">
        <f t="shared" ca="1" si="159"/>
        <v>8719.676514896888</v>
      </c>
      <c r="X793" s="33">
        <f t="shared" ca="1" si="160"/>
        <v>8084.3663422459676</v>
      </c>
      <c r="Y793" s="32">
        <f t="shared" ca="1" si="167"/>
        <v>0</v>
      </c>
    </row>
    <row r="794" spans="1:25">
      <c r="A794" s="5">
        <v>39535</v>
      </c>
      <c r="B794" s="4">
        <v>8591.91</v>
      </c>
      <c r="C794" s="4">
        <v>8668.2199999999993</v>
      </c>
      <c r="D794" s="4">
        <v>8564.0300000000007</v>
      </c>
      <c r="E794" s="4">
        <v>8623.48</v>
      </c>
      <c r="F794" s="4">
        <v>5444200</v>
      </c>
      <c r="G794" s="8">
        <f t="shared" si="169"/>
        <v>-14.040000000000873</v>
      </c>
      <c r="H794" s="8">
        <f t="shared" si="168"/>
        <v>31.569999999999709</v>
      </c>
      <c r="I794" s="20">
        <f t="shared" ca="1" si="161"/>
        <v>0</v>
      </c>
      <c r="J794" s="8">
        <f t="shared" ca="1" si="162"/>
        <v>0</v>
      </c>
      <c r="K794" s="8">
        <f t="shared" ca="1" si="163"/>
        <v>0</v>
      </c>
      <c r="L794" s="8">
        <f t="shared" ca="1" si="164"/>
        <v>2758.1200000000035</v>
      </c>
      <c r="M794" s="9">
        <f ca="1">AVERAGE(E794:OFFSET(E794,-M$5+1,0))</f>
        <v>8476.3129999999983</v>
      </c>
      <c r="N794" s="9">
        <f ca="1">AVERAGE(E794:OFFSET(E794,-N$5+1,0))</f>
        <v>8432.9364999999998</v>
      </c>
      <c r="O794" s="9">
        <f t="shared" ca="1" si="165"/>
        <v>0</v>
      </c>
      <c r="P794" s="14">
        <f t="shared" si="170"/>
        <v>0.20348910032415207</v>
      </c>
      <c r="Q794" s="15">
        <f ca="1">STDEV(P794:OFFSET(P794,-$Q$5+1,0))</f>
        <v>1.8720960835148295</v>
      </c>
      <c r="R794" s="15">
        <f ca="1">STDEV(P794:OFFSET(P794,-$R$5+1,0))</f>
        <v>1.8628094653248937</v>
      </c>
      <c r="S794" s="18">
        <f t="shared" si="157"/>
        <v>104.18999999999869</v>
      </c>
      <c r="T794" s="18">
        <f t="shared" si="158"/>
        <v>104.18999999999869</v>
      </c>
      <c r="U794" s="18">
        <f t="shared" si="166"/>
        <v>197.42604987693241</v>
      </c>
      <c r="V794" s="33">
        <f ca="1">AVERAGE(E794:OFFSET(E794,-V$5+1,0))</f>
        <v>8425.1721428571436</v>
      </c>
      <c r="W794" s="33">
        <f t="shared" ca="1" si="159"/>
        <v>8721.3112176725426</v>
      </c>
      <c r="X794" s="33">
        <f t="shared" ca="1" si="160"/>
        <v>8129.0330680417446</v>
      </c>
      <c r="Y794" s="32">
        <f t="shared" ca="1" si="167"/>
        <v>0</v>
      </c>
    </row>
    <row r="795" spans="1:25">
      <c r="A795" s="5">
        <v>39538</v>
      </c>
      <c r="B795" s="4">
        <v>8605.9</v>
      </c>
      <c r="C795" s="4">
        <v>8627.5300000000007</v>
      </c>
      <c r="D795" s="4">
        <v>8499.0300000000007</v>
      </c>
      <c r="E795" s="4">
        <v>8572.59</v>
      </c>
      <c r="F795" s="4">
        <v>4984600</v>
      </c>
      <c r="G795" s="8">
        <f t="shared" si="169"/>
        <v>-17.579999999999927</v>
      </c>
      <c r="H795" s="8">
        <f t="shared" si="168"/>
        <v>-33.309999999999491</v>
      </c>
      <c r="I795" s="20">
        <f t="shared" ca="1" si="161"/>
        <v>0</v>
      </c>
      <c r="J795" s="8">
        <f t="shared" ca="1" si="162"/>
        <v>0</v>
      </c>
      <c r="K795" s="8">
        <f t="shared" ca="1" si="163"/>
        <v>0</v>
      </c>
      <c r="L795" s="8">
        <f t="shared" ca="1" si="164"/>
        <v>2758.1200000000035</v>
      </c>
      <c r="M795" s="9">
        <f ca="1">AVERAGE(E795:OFFSET(E795,-M$5+1,0))</f>
        <v>8533.0259999999998</v>
      </c>
      <c r="N795" s="9">
        <f ca="1">AVERAGE(E795:OFFSET(E795,-N$5+1,0))</f>
        <v>8448.4225000000024</v>
      </c>
      <c r="O795" s="9">
        <f t="shared" ca="1" si="165"/>
        <v>0</v>
      </c>
      <c r="P795" s="14">
        <f t="shared" si="170"/>
        <v>-0.59188115152106879</v>
      </c>
      <c r="Q795" s="15">
        <f ca="1">STDEV(P795:OFFSET(P795,-$Q$5+1,0))</f>
        <v>1.7165861417385033</v>
      </c>
      <c r="R795" s="15">
        <f ca="1">STDEV(P795:OFFSET(P795,-$R$5+1,0))</f>
        <v>1.8196668855226106</v>
      </c>
      <c r="S795" s="18">
        <f t="shared" si="157"/>
        <v>128.5</v>
      </c>
      <c r="T795" s="18">
        <f t="shared" si="158"/>
        <v>128.5</v>
      </c>
      <c r="U795" s="18">
        <f t="shared" si="166"/>
        <v>188.23590989334141</v>
      </c>
      <c r="V795" s="33">
        <f ca="1">AVERAGE(E795:OFFSET(E795,-V$5+1,0))</f>
        <v>8438.8142857142848</v>
      </c>
      <c r="W795" s="33">
        <f t="shared" ca="1" si="159"/>
        <v>8721.1681505542965</v>
      </c>
      <c r="X795" s="33">
        <f t="shared" ca="1" si="160"/>
        <v>8156.460420874273</v>
      </c>
      <c r="Y795" s="32">
        <f t="shared" ca="1" si="167"/>
        <v>0</v>
      </c>
    </row>
    <row r="796" spans="1:25">
      <c r="A796" s="5">
        <v>39539</v>
      </c>
      <c r="B796" s="4">
        <v>8593.2000000000007</v>
      </c>
      <c r="C796" s="4">
        <v>8608.9500000000007</v>
      </c>
      <c r="D796" s="4">
        <v>8419.7199999999993</v>
      </c>
      <c r="E796" s="4">
        <v>8419.7199999999993</v>
      </c>
      <c r="F796" s="4">
        <v>5053400</v>
      </c>
      <c r="G796" s="8">
        <f t="shared" si="169"/>
        <v>20.610000000000582</v>
      </c>
      <c r="H796" s="8">
        <f t="shared" si="168"/>
        <v>-173.48000000000138</v>
      </c>
      <c r="I796" s="20">
        <f t="shared" ca="1" si="161"/>
        <v>0</v>
      </c>
      <c r="J796" s="8">
        <f t="shared" ca="1" si="162"/>
        <v>0</v>
      </c>
      <c r="K796" s="8">
        <f t="shared" ca="1" si="163"/>
        <v>0</v>
      </c>
      <c r="L796" s="8">
        <f t="shared" ca="1" si="164"/>
        <v>2758.1200000000035</v>
      </c>
      <c r="M796" s="9">
        <f ca="1">AVERAGE(E796:OFFSET(E796,-M$5+1,0))</f>
        <v>8569.2159999999985</v>
      </c>
      <c r="N796" s="9">
        <f ca="1">AVERAGE(E796:OFFSET(E796,-N$5+1,0))</f>
        <v>8445.9030000000021</v>
      </c>
      <c r="O796" s="9">
        <f t="shared" ca="1" si="165"/>
        <v>0</v>
      </c>
      <c r="P796" s="14">
        <f t="shared" si="170"/>
        <v>-1.7993330442957625</v>
      </c>
      <c r="Q796" s="15">
        <f ca="1">STDEV(P796:OFFSET(P796,-$Q$5+1,0))</f>
        <v>1.8881890119607756</v>
      </c>
      <c r="R796" s="15">
        <f ca="1">STDEV(P796:OFFSET(P796,-$R$5+1,0))</f>
        <v>1.842273432990108</v>
      </c>
      <c r="S796" s="18">
        <f t="shared" si="157"/>
        <v>189.23000000000138</v>
      </c>
      <c r="T796" s="18">
        <f t="shared" si="158"/>
        <v>189.23000000000138</v>
      </c>
      <c r="U796" s="18">
        <f t="shared" si="166"/>
        <v>188.36845524089608</v>
      </c>
      <c r="V796" s="33">
        <f ca="1">AVERAGE(E796:OFFSET(E796,-V$5+1,0))</f>
        <v>8437.7014285714286</v>
      </c>
      <c r="W796" s="33">
        <f t="shared" ca="1" si="159"/>
        <v>8720.2541114327723</v>
      </c>
      <c r="X796" s="33">
        <f t="shared" ca="1" si="160"/>
        <v>8155.1487457100848</v>
      </c>
      <c r="Y796" s="32">
        <f t="shared" ca="1" si="167"/>
        <v>0</v>
      </c>
    </row>
    <row r="797" spans="1:25">
      <c r="A797" s="5">
        <v>39540</v>
      </c>
      <c r="B797" s="4">
        <v>8578.59</v>
      </c>
      <c r="C797" s="4">
        <v>8619.7800000000007</v>
      </c>
      <c r="D797" s="4">
        <v>8519.67</v>
      </c>
      <c r="E797" s="4">
        <v>8605.32</v>
      </c>
      <c r="F797" s="4">
        <v>5023400</v>
      </c>
      <c r="G797" s="8">
        <f t="shared" si="169"/>
        <v>158.8700000000008</v>
      </c>
      <c r="H797" s="8">
        <f t="shared" si="168"/>
        <v>26.729999999999563</v>
      </c>
      <c r="I797" s="20">
        <f t="shared" ca="1" si="161"/>
        <v>0</v>
      </c>
      <c r="J797" s="8">
        <f t="shared" ca="1" si="162"/>
        <v>0</v>
      </c>
      <c r="K797" s="8">
        <f t="shared" ca="1" si="163"/>
        <v>0</v>
      </c>
      <c r="L797" s="8">
        <f t="shared" ca="1" si="164"/>
        <v>2758.1200000000035</v>
      </c>
      <c r="M797" s="9">
        <f ca="1">AVERAGE(E797:OFFSET(E797,-M$5+1,0))</f>
        <v>8611.8130000000001</v>
      </c>
      <c r="N797" s="9">
        <f ca="1">AVERAGE(E797:OFFSET(E797,-N$5+1,0))</f>
        <v>8451.9715000000015</v>
      </c>
      <c r="O797" s="9">
        <f t="shared" ca="1" si="165"/>
        <v>0</v>
      </c>
      <c r="P797" s="14">
        <f t="shared" si="170"/>
        <v>2.1804043109104443</v>
      </c>
      <c r="Q797" s="15">
        <f ca="1">STDEV(P797:OFFSET(P797,-$Q$5+1,0))</f>
        <v>1.9423168912883462</v>
      </c>
      <c r="R797" s="15">
        <f ca="1">STDEV(P797:OFFSET(P797,-$R$5+1,0))</f>
        <v>1.81878822422891</v>
      </c>
      <c r="S797" s="18">
        <f t="shared" si="157"/>
        <v>100.11000000000058</v>
      </c>
      <c r="T797" s="18">
        <f t="shared" si="158"/>
        <v>200.06000000000131</v>
      </c>
      <c r="U797" s="18">
        <f t="shared" si="166"/>
        <v>189.92732787544344</v>
      </c>
      <c r="V797" s="33">
        <f ca="1">AVERAGE(E797:OFFSET(E797,-V$5+1,0))</f>
        <v>8465.8678571428572</v>
      </c>
      <c r="W797" s="33">
        <f t="shared" ca="1" si="159"/>
        <v>8750.7588489560221</v>
      </c>
      <c r="X797" s="33">
        <f t="shared" ca="1" si="160"/>
        <v>8180.9768653296924</v>
      </c>
      <c r="Y797" s="32">
        <f t="shared" ca="1" si="167"/>
        <v>0</v>
      </c>
    </row>
    <row r="798" spans="1:25">
      <c r="A798" s="5">
        <v>39541</v>
      </c>
      <c r="B798" s="4">
        <v>8593.85</v>
      </c>
      <c r="C798" s="4">
        <v>8621.59</v>
      </c>
      <c r="D798" s="4">
        <v>8555.6200000000008</v>
      </c>
      <c r="E798" s="4">
        <v>8596.34</v>
      </c>
      <c r="F798" s="4">
        <v>4691600</v>
      </c>
      <c r="G798" s="8">
        <f t="shared" si="169"/>
        <v>-11.469999999999345</v>
      </c>
      <c r="H798" s="8">
        <f t="shared" si="168"/>
        <v>2.4899999999997817</v>
      </c>
      <c r="I798" s="20">
        <f t="shared" ca="1" si="161"/>
        <v>0</v>
      </c>
      <c r="J798" s="8">
        <f t="shared" ca="1" si="162"/>
        <v>0</v>
      </c>
      <c r="K798" s="8">
        <f t="shared" ca="1" si="163"/>
        <v>0</v>
      </c>
      <c r="L798" s="8">
        <f t="shared" ca="1" si="164"/>
        <v>2758.1200000000035</v>
      </c>
      <c r="M798" s="9">
        <f ca="1">AVERAGE(E798:OFFSET(E798,-M$5+1,0))</f>
        <v>8637.6849999999977</v>
      </c>
      <c r="N798" s="9">
        <f ca="1">AVERAGE(E798:OFFSET(E798,-N$5+1,0))</f>
        <v>8448.8564999999999</v>
      </c>
      <c r="O798" s="9">
        <f t="shared" ca="1" si="165"/>
        <v>0</v>
      </c>
      <c r="P798" s="14">
        <f t="shared" si="170"/>
        <v>-0.10440853749892388</v>
      </c>
      <c r="Q798" s="15">
        <f ca="1">STDEV(P798:OFFSET(P798,-$Q$5+1,0))</f>
        <v>1.8836956768165429</v>
      </c>
      <c r="R798" s="15">
        <f ca="1">STDEV(P798:OFFSET(P798,-$R$5+1,0))</f>
        <v>1.7241306645255896</v>
      </c>
      <c r="S798" s="18">
        <f t="shared" si="157"/>
        <v>65.969999999999345</v>
      </c>
      <c r="T798" s="18">
        <f t="shared" si="158"/>
        <v>65.969999999999345</v>
      </c>
      <c r="U798" s="18">
        <f t="shared" si="166"/>
        <v>173.39968415871755</v>
      </c>
      <c r="V798" s="33">
        <f ca="1">AVERAGE(E798:OFFSET(E798,-V$5+1,0))</f>
        <v>8496.9357142857134</v>
      </c>
      <c r="W798" s="33">
        <f t="shared" ca="1" si="159"/>
        <v>8757.03524052379</v>
      </c>
      <c r="X798" s="33">
        <f t="shared" ca="1" si="160"/>
        <v>8236.8361880476368</v>
      </c>
      <c r="Y798" s="32">
        <f t="shared" ca="1" si="167"/>
        <v>0</v>
      </c>
    </row>
    <row r="799" spans="1:25">
      <c r="A799" s="5">
        <v>39545</v>
      </c>
      <c r="B799" s="4">
        <v>8638.6299999999992</v>
      </c>
      <c r="C799" s="4">
        <v>8729.7900000000009</v>
      </c>
      <c r="D799" s="4">
        <v>8619.99</v>
      </c>
      <c r="E799" s="4">
        <v>8729.7900000000009</v>
      </c>
      <c r="F799" s="4">
        <v>4730800</v>
      </c>
      <c r="G799" s="8">
        <f t="shared" si="169"/>
        <v>42.289999999999054</v>
      </c>
      <c r="H799" s="8">
        <f t="shared" si="168"/>
        <v>91.160000000001673</v>
      </c>
      <c r="I799" s="20">
        <f t="shared" ca="1" si="161"/>
        <v>0</v>
      </c>
      <c r="J799" s="8">
        <f t="shared" ca="1" si="162"/>
        <v>0</v>
      </c>
      <c r="K799" s="8">
        <f t="shared" ca="1" si="163"/>
        <v>0</v>
      </c>
      <c r="L799" s="8">
        <f t="shared" ca="1" si="164"/>
        <v>2758.1200000000035</v>
      </c>
      <c r="M799" s="9">
        <f ca="1">AVERAGE(E799:OFFSET(E799,-M$5+1,0))</f>
        <v>8658.1649999999991</v>
      </c>
      <c r="N799" s="9">
        <f ca="1">AVERAGE(E799:OFFSET(E799,-N$5+1,0))</f>
        <v>8458.777</v>
      </c>
      <c r="O799" s="9">
        <f t="shared" ca="1" si="165"/>
        <v>0</v>
      </c>
      <c r="P799" s="14">
        <f t="shared" si="170"/>
        <v>1.540478330071805</v>
      </c>
      <c r="Q799" s="15">
        <f ca="1">STDEV(P799:OFFSET(P799,-$Q$5+1,0))</f>
        <v>1.8177840434681047</v>
      </c>
      <c r="R799" s="15">
        <f ca="1">STDEV(P799:OFFSET(P799,-$R$5+1,0))</f>
        <v>1.7292455486059175</v>
      </c>
      <c r="S799" s="18">
        <f t="shared" si="157"/>
        <v>109.80000000000109</v>
      </c>
      <c r="T799" s="18">
        <f t="shared" si="158"/>
        <v>133.45000000000073</v>
      </c>
      <c r="U799" s="18">
        <f t="shared" si="166"/>
        <v>168.07305960422198</v>
      </c>
      <c r="V799" s="33">
        <f ca="1">AVERAGE(E799:OFFSET(E799,-V$5+1,0))</f>
        <v>8548.6735714285714</v>
      </c>
      <c r="W799" s="33">
        <f t="shared" ca="1" si="159"/>
        <v>8800.7831608349043</v>
      </c>
      <c r="X799" s="33">
        <f t="shared" ca="1" si="160"/>
        <v>8296.5639820222386</v>
      </c>
      <c r="Y799" s="32">
        <f t="shared" ca="1" si="167"/>
        <v>0</v>
      </c>
    </row>
    <row r="800" spans="1:25">
      <c r="A800" s="5">
        <v>39546</v>
      </c>
      <c r="B800" s="4">
        <v>8717.06</v>
      </c>
      <c r="C800" s="4">
        <v>8725.69</v>
      </c>
      <c r="D800" s="4">
        <v>8672.85</v>
      </c>
      <c r="E800" s="4">
        <v>8672.85</v>
      </c>
      <c r="F800" s="4">
        <v>4826000</v>
      </c>
      <c r="G800" s="8">
        <f t="shared" si="169"/>
        <v>-12.730000000001382</v>
      </c>
      <c r="H800" s="8">
        <f t="shared" si="168"/>
        <v>-44.209999999999127</v>
      </c>
      <c r="I800" s="20">
        <f t="shared" ca="1" si="161"/>
        <v>0</v>
      </c>
      <c r="J800" s="8">
        <f t="shared" ca="1" si="162"/>
        <v>0</v>
      </c>
      <c r="K800" s="8">
        <f t="shared" ca="1" si="163"/>
        <v>0</v>
      </c>
      <c r="L800" s="8">
        <f t="shared" ca="1" si="164"/>
        <v>2758.1200000000035</v>
      </c>
      <c r="M800" s="9">
        <f ca="1">AVERAGE(E800:OFFSET(E800,-M$5+1,0))</f>
        <v>8638.9150000000027</v>
      </c>
      <c r="N800" s="9">
        <f ca="1">AVERAGE(E800:OFFSET(E800,-N$5+1,0))</f>
        <v>8477.4510000000009</v>
      </c>
      <c r="O800" s="9">
        <f t="shared" ca="1" si="165"/>
        <v>0</v>
      </c>
      <c r="P800" s="14">
        <f t="shared" si="170"/>
        <v>-0.65438580802244439</v>
      </c>
      <c r="Q800" s="15">
        <f ca="1">STDEV(P800:OFFSET(P800,-$Q$5+1,0))</f>
        <v>1.2876677762005184</v>
      </c>
      <c r="R800" s="15">
        <f ca="1">STDEV(P800:OFFSET(P800,-$R$5+1,0))</f>
        <v>1.732153207249657</v>
      </c>
      <c r="S800" s="18">
        <f t="shared" si="157"/>
        <v>52.840000000000146</v>
      </c>
      <c r="T800" s="18">
        <f t="shared" si="158"/>
        <v>56.940000000000509</v>
      </c>
      <c r="U800" s="18">
        <f t="shared" si="166"/>
        <v>153.25531832365914</v>
      </c>
      <c r="V800" s="33">
        <f ca="1">AVERAGE(E800:OFFSET(E800,-V$5+1,0))</f>
        <v>8592.6042857142857</v>
      </c>
      <c r="W800" s="33">
        <f t="shared" ca="1" si="159"/>
        <v>8822.487263199775</v>
      </c>
      <c r="X800" s="33">
        <f t="shared" ca="1" si="160"/>
        <v>8362.7213082287963</v>
      </c>
      <c r="Y800" s="32">
        <f t="shared" ca="1" si="167"/>
        <v>0</v>
      </c>
    </row>
    <row r="801" spans="1:25">
      <c r="A801" s="5">
        <v>39547</v>
      </c>
      <c r="B801" s="4">
        <v>8684.66</v>
      </c>
      <c r="C801" s="4">
        <v>8759.75</v>
      </c>
      <c r="D801" s="4">
        <v>8628.6200000000008</v>
      </c>
      <c r="E801" s="4">
        <v>8667.93</v>
      </c>
      <c r="F801" s="4">
        <v>5174000</v>
      </c>
      <c r="G801" s="8">
        <f t="shared" si="169"/>
        <v>11.809999999999491</v>
      </c>
      <c r="H801" s="8">
        <f t="shared" si="168"/>
        <v>-16.729999999999563</v>
      </c>
      <c r="I801" s="20">
        <f t="shared" ca="1" si="161"/>
        <v>0</v>
      </c>
      <c r="J801" s="8">
        <f t="shared" ca="1" si="162"/>
        <v>0</v>
      </c>
      <c r="K801" s="8">
        <f t="shared" ca="1" si="163"/>
        <v>0</v>
      </c>
      <c r="L801" s="8">
        <f t="shared" ca="1" si="164"/>
        <v>2758.1200000000035</v>
      </c>
      <c r="M801" s="9">
        <f ca="1">AVERAGE(E801:OFFSET(E801,-M$5+1,0))</f>
        <v>8626.1989999999987</v>
      </c>
      <c r="N801" s="9">
        <f ca="1">AVERAGE(E801:OFFSET(E801,-N$5+1,0))</f>
        <v>8491.7674999999999</v>
      </c>
      <c r="O801" s="9">
        <f t="shared" ca="1" si="165"/>
        <v>0</v>
      </c>
      <c r="P801" s="14">
        <f t="shared" si="170"/>
        <v>-5.6744853830330719E-2</v>
      </c>
      <c r="Q801" s="15">
        <f ca="1">STDEV(P801:OFFSET(P801,-$Q$5+1,0))</f>
        <v>1.2720386402127217</v>
      </c>
      <c r="R801" s="15">
        <f ca="1">STDEV(P801:OFFSET(P801,-$R$5+1,0))</f>
        <v>1.7302721566525563</v>
      </c>
      <c r="S801" s="18">
        <f t="shared" si="157"/>
        <v>131.1299999999992</v>
      </c>
      <c r="T801" s="18">
        <f t="shared" si="158"/>
        <v>131.1299999999992</v>
      </c>
      <c r="U801" s="18">
        <f t="shared" si="166"/>
        <v>150.3052758805045</v>
      </c>
      <c r="V801" s="33">
        <f ca="1">AVERAGE(E801:OFFSET(E801,-V$5+1,0))</f>
        <v>8627.5028571428575</v>
      </c>
      <c r="W801" s="33">
        <f t="shared" ca="1" si="159"/>
        <v>8852.9607709636148</v>
      </c>
      <c r="X801" s="33">
        <f t="shared" ca="1" si="160"/>
        <v>8402.0449433221002</v>
      </c>
      <c r="Y801" s="32">
        <f t="shared" ca="1" si="167"/>
        <v>0</v>
      </c>
    </row>
    <row r="802" spans="1:25">
      <c r="A802" s="5">
        <v>39548</v>
      </c>
      <c r="B802" s="4">
        <v>8682.1</v>
      </c>
      <c r="C802" s="4">
        <v>8829.4</v>
      </c>
      <c r="D802" s="4">
        <v>8681.89</v>
      </c>
      <c r="E802" s="4">
        <v>8829.4</v>
      </c>
      <c r="F802" s="4">
        <v>4983000</v>
      </c>
      <c r="G802" s="8">
        <f t="shared" si="169"/>
        <v>14.170000000000073</v>
      </c>
      <c r="H802" s="8">
        <f t="shared" si="168"/>
        <v>147.29999999999927</v>
      </c>
      <c r="I802" s="20">
        <f t="shared" ca="1" si="161"/>
        <v>0</v>
      </c>
      <c r="J802" s="8">
        <f t="shared" ca="1" si="162"/>
        <v>0</v>
      </c>
      <c r="K802" s="8">
        <f t="shared" ca="1" si="163"/>
        <v>0</v>
      </c>
      <c r="L802" s="8">
        <f t="shared" ca="1" si="164"/>
        <v>2758.1200000000035</v>
      </c>
      <c r="M802" s="9">
        <f ca="1">AVERAGE(E802:OFFSET(E802,-M$5+1,0))</f>
        <v>8632.3369999999995</v>
      </c>
      <c r="N802" s="9">
        <f ca="1">AVERAGE(E802:OFFSET(E802,-N$5+1,0))</f>
        <v>8511.4724999999999</v>
      </c>
      <c r="O802" s="9">
        <f t="shared" ca="1" si="165"/>
        <v>0</v>
      </c>
      <c r="P802" s="14">
        <f t="shared" si="170"/>
        <v>1.8457054176436223</v>
      </c>
      <c r="Q802" s="15">
        <f ca="1">STDEV(P802:OFFSET(P802,-$Q$5+1,0))</f>
        <v>1.4156968537161705</v>
      </c>
      <c r="R802" s="15">
        <f ca="1">STDEV(P802:OFFSET(P802,-$R$5+1,0))</f>
        <v>1.7263829075151624</v>
      </c>
      <c r="S802" s="18">
        <f t="shared" si="157"/>
        <v>147.51000000000022</v>
      </c>
      <c r="T802" s="18">
        <f t="shared" si="158"/>
        <v>161.46999999999935</v>
      </c>
      <c r="U802" s="18">
        <f t="shared" si="166"/>
        <v>151.79390576310382</v>
      </c>
      <c r="V802" s="33">
        <f ca="1">AVERAGE(E802:OFFSET(E802,-V$5+1,0))</f>
        <v>8662.6299999999992</v>
      </c>
      <c r="W802" s="33">
        <f t="shared" ca="1" si="159"/>
        <v>8890.3208586446544</v>
      </c>
      <c r="X802" s="33">
        <f t="shared" ca="1" si="160"/>
        <v>8434.939141355344</v>
      </c>
      <c r="Y802" s="32">
        <f t="shared" ca="1" si="167"/>
        <v>0</v>
      </c>
    </row>
    <row r="803" spans="1:25">
      <c r="A803" s="5">
        <v>39549</v>
      </c>
      <c r="B803" s="4">
        <v>8872.65</v>
      </c>
      <c r="C803" s="4">
        <v>8937.1200000000008</v>
      </c>
      <c r="D803" s="4">
        <v>8840.0400000000009</v>
      </c>
      <c r="E803" s="4">
        <v>8909.58</v>
      </c>
      <c r="F803" s="4">
        <v>7167000</v>
      </c>
      <c r="G803" s="8">
        <f t="shared" si="169"/>
        <v>43.25</v>
      </c>
      <c r="H803" s="8">
        <f t="shared" si="168"/>
        <v>36.930000000000291</v>
      </c>
      <c r="I803" s="20">
        <f t="shared" ca="1" si="161"/>
        <v>1</v>
      </c>
      <c r="J803" s="8">
        <f t="shared" ca="1" si="162"/>
        <v>0</v>
      </c>
      <c r="K803" s="8">
        <f t="shared" ca="1" si="163"/>
        <v>0</v>
      </c>
      <c r="L803" s="8">
        <f t="shared" ca="1" si="164"/>
        <v>2758.1200000000035</v>
      </c>
      <c r="M803" s="9">
        <f ca="1">AVERAGE(E803:OFFSET(E803,-M$5+1,0))</f>
        <v>8662.6999999999989</v>
      </c>
      <c r="N803" s="9">
        <f ca="1">AVERAGE(E803:OFFSET(E803,-N$5+1,0))</f>
        <v>8546.4019999999982</v>
      </c>
      <c r="O803" s="9">
        <f t="shared" ca="1" si="165"/>
        <v>0</v>
      </c>
      <c r="P803" s="14">
        <f t="shared" si="170"/>
        <v>0.90400401872714564</v>
      </c>
      <c r="Q803" s="15">
        <f ca="1">STDEV(P803:OFFSET(P803,-$Q$5+1,0))</f>
        <v>1.2570036871937109</v>
      </c>
      <c r="R803" s="15">
        <f ca="1">STDEV(P803:OFFSET(P803,-$R$5+1,0))</f>
        <v>1.6994672448928034</v>
      </c>
      <c r="S803" s="18">
        <f t="shared" si="157"/>
        <v>97.079999999999927</v>
      </c>
      <c r="T803" s="18">
        <f t="shared" si="158"/>
        <v>107.72000000000116</v>
      </c>
      <c r="U803" s="18">
        <f t="shared" si="166"/>
        <v>145.91738499469014</v>
      </c>
      <c r="V803" s="33">
        <f ca="1">AVERAGE(E803:OFFSET(E803,-V$5+1,0))</f>
        <v>8690.1007142857143</v>
      </c>
      <c r="W803" s="33">
        <f t="shared" ca="1" si="159"/>
        <v>8908.9767917777499</v>
      </c>
      <c r="X803" s="33">
        <f t="shared" ca="1" si="160"/>
        <v>8471.2246367936787</v>
      </c>
      <c r="Y803" s="32">
        <f t="shared" ca="1" si="167"/>
        <v>1</v>
      </c>
    </row>
    <row r="804" spans="1:25">
      <c r="A804" s="5">
        <v>39552</v>
      </c>
      <c r="B804" s="4">
        <v>8877.4699999999993</v>
      </c>
      <c r="C804" s="4">
        <v>8928.8700000000008</v>
      </c>
      <c r="D804" s="4">
        <v>8839.1200000000008</v>
      </c>
      <c r="E804" s="4">
        <v>8892.68</v>
      </c>
      <c r="F804" s="4">
        <v>6673800</v>
      </c>
      <c r="G804" s="8">
        <f t="shared" si="169"/>
        <v>-32.110000000000582</v>
      </c>
      <c r="H804" s="8">
        <f t="shared" si="168"/>
        <v>15.210000000000946</v>
      </c>
      <c r="I804" s="20">
        <f t="shared" ca="1" si="161"/>
        <v>0</v>
      </c>
      <c r="J804" s="8">
        <f t="shared" ca="1" si="162"/>
        <v>1</v>
      </c>
      <c r="K804" s="8">
        <f t="shared" ca="1" si="163"/>
        <v>15.210000000000946</v>
      </c>
      <c r="L804" s="8">
        <f t="shared" ca="1" si="164"/>
        <v>2773.3300000000045</v>
      </c>
      <c r="M804" s="9">
        <f ca="1">AVERAGE(E804:OFFSET(E804,-M$5+1,0))</f>
        <v>8689.6200000000008</v>
      </c>
      <c r="N804" s="9">
        <f ca="1">AVERAGE(E804:OFFSET(E804,-N$5+1,0))</f>
        <v>8582.9664999999986</v>
      </c>
      <c r="O804" s="9">
        <f t="shared" ca="1" si="165"/>
        <v>0</v>
      </c>
      <c r="P804" s="14">
        <f t="shared" si="170"/>
        <v>-0.18986359121578261</v>
      </c>
      <c r="Q804" s="15">
        <f ca="1">STDEV(P804:OFFSET(P804,-$Q$5+1,0))</f>
        <v>1.2680899330634552</v>
      </c>
      <c r="R804" s="15">
        <f ca="1">STDEV(P804:OFFSET(P804,-$R$5+1,0))</f>
        <v>1.7006801509917997</v>
      </c>
      <c r="S804" s="18">
        <f t="shared" si="157"/>
        <v>89.75</v>
      </c>
      <c r="T804" s="18">
        <f t="shared" si="158"/>
        <v>89.75</v>
      </c>
      <c r="U804" s="18">
        <f t="shared" si="166"/>
        <v>138.42840032873144</v>
      </c>
      <c r="V804" s="33">
        <f ca="1">AVERAGE(E804:OFFSET(E804,-V$5+1,0))</f>
        <v>8692.0528571428586</v>
      </c>
      <c r="W804" s="33">
        <f t="shared" ca="1" si="159"/>
        <v>8899.6954576359549</v>
      </c>
      <c r="X804" s="33">
        <f t="shared" ca="1" si="160"/>
        <v>8484.4102566497622</v>
      </c>
      <c r="Y804" s="32">
        <f t="shared" ca="1" si="167"/>
        <v>0</v>
      </c>
    </row>
    <row r="805" spans="1:25">
      <c r="A805" s="5">
        <v>39553</v>
      </c>
      <c r="B805" s="4">
        <v>8931.08</v>
      </c>
      <c r="C805" s="4">
        <v>8951.56</v>
      </c>
      <c r="D805" s="4">
        <v>8885.32</v>
      </c>
      <c r="E805" s="4">
        <v>8924.7800000000007</v>
      </c>
      <c r="F805" s="4">
        <v>6236200</v>
      </c>
      <c r="G805" s="8">
        <f t="shared" si="169"/>
        <v>38.399999999999636</v>
      </c>
      <c r="H805" s="8">
        <f t="shared" si="168"/>
        <v>-6.2999999999992724</v>
      </c>
      <c r="I805" s="20">
        <f t="shared" ca="1" si="161"/>
        <v>1</v>
      </c>
      <c r="J805" s="8">
        <f t="shared" ca="1" si="162"/>
        <v>1</v>
      </c>
      <c r="K805" s="8">
        <f t="shared" ca="1" si="163"/>
        <v>32.100000000000364</v>
      </c>
      <c r="L805" s="8">
        <f t="shared" ca="1" si="164"/>
        <v>2805.4300000000048</v>
      </c>
      <c r="M805" s="9">
        <f ca="1">AVERAGE(E805:OFFSET(E805,-M$5+1,0))</f>
        <v>8724.8389999999981</v>
      </c>
      <c r="N805" s="9">
        <f ca="1">AVERAGE(E805:OFFSET(E805,-N$5+1,0))</f>
        <v>8628.932499999999</v>
      </c>
      <c r="O805" s="9">
        <f t="shared" ca="1" si="165"/>
        <v>0</v>
      </c>
      <c r="P805" s="14">
        <f t="shared" si="170"/>
        <v>0.36032110895567226</v>
      </c>
      <c r="Q805" s="15">
        <f ca="1">STDEV(P805:OFFSET(P805,-$Q$5+1,0))</f>
        <v>1.2281828758384576</v>
      </c>
      <c r="R805" s="15">
        <f ca="1">STDEV(P805:OFFSET(P805,-$R$5+1,0))</f>
        <v>1.5928700754252598</v>
      </c>
      <c r="S805" s="18">
        <f t="shared" si="157"/>
        <v>66.239999999999782</v>
      </c>
      <c r="T805" s="18">
        <f t="shared" si="158"/>
        <v>66.239999999999782</v>
      </c>
      <c r="U805" s="18">
        <f t="shared" si="166"/>
        <v>128.80328028490055</v>
      </c>
      <c r="V805" s="33">
        <f ca="1">AVERAGE(E805:OFFSET(E805,-V$5+1,0))</f>
        <v>8701.3164285714283</v>
      </c>
      <c r="W805" s="33">
        <f t="shared" ca="1" si="159"/>
        <v>8894.52134899878</v>
      </c>
      <c r="X805" s="33">
        <f t="shared" ca="1" si="160"/>
        <v>8508.1115081440767</v>
      </c>
      <c r="Y805" s="32">
        <f t="shared" ca="1" si="167"/>
        <v>1</v>
      </c>
    </row>
    <row r="806" spans="1:25">
      <c r="A806" s="5">
        <v>39554</v>
      </c>
      <c r="B806" s="4">
        <v>9007.6299999999992</v>
      </c>
      <c r="C806" s="4">
        <v>9068.9699999999993</v>
      </c>
      <c r="D806" s="4">
        <v>8981.91</v>
      </c>
      <c r="E806" s="4">
        <v>9066.0400000000009</v>
      </c>
      <c r="F806" s="4">
        <v>7499400</v>
      </c>
      <c r="G806" s="8">
        <f t="shared" si="169"/>
        <v>82.849999999998545</v>
      </c>
      <c r="H806" s="8">
        <f t="shared" si="168"/>
        <v>58.410000000001673</v>
      </c>
      <c r="I806" s="20">
        <f t="shared" ca="1" si="161"/>
        <v>0</v>
      </c>
      <c r="J806" s="8">
        <f t="shared" ca="1" si="162"/>
        <v>2</v>
      </c>
      <c r="K806" s="8">
        <f t="shared" ca="1" si="163"/>
        <v>199.67000000000189</v>
      </c>
      <c r="L806" s="8">
        <f t="shared" ca="1" si="164"/>
        <v>3005.1000000000067</v>
      </c>
      <c r="M806" s="9">
        <f ca="1">AVERAGE(E806:OFFSET(E806,-M$5+1,0))</f>
        <v>8789.4710000000014</v>
      </c>
      <c r="N806" s="9">
        <f ca="1">AVERAGE(E806:OFFSET(E806,-N$5+1,0))</f>
        <v>8679.343499999999</v>
      </c>
      <c r="O806" s="9">
        <f t="shared" ca="1" si="165"/>
        <v>0</v>
      </c>
      <c r="P806" s="14">
        <f t="shared" si="170"/>
        <v>1.5703887096102591</v>
      </c>
      <c r="Q806" s="15">
        <f ca="1">STDEV(P806:OFFSET(P806,-$Q$5+1,0))</f>
        <v>0.99752459910506597</v>
      </c>
      <c r="R806" s="15">
        <f ca="1">STDEV(P806:OFFSET(P806,-$R$5+1,0))</f>
        <v>1.6048332627772801</v>
      </c>
      <c r="S806" s="18">
        <f t="shared" si="157"/>
        <v>87.059999999999491</v>
      </c>
      <c r="T806" s="18">
        <f t="shared" si="158"/>
        <v>144.18999999999869</v>
      </c>
      <c r="U806" s="18">
        <f t="shared" si="166"/>
        <v>130.85484291358031</v>
      </c>
      <c r="V806" s="33">
        <f ca="1">AVERAGE(E806:OFFSET(E806,-V$5+1,0))</f>
        <v>8722.6035714285717</v>
      </c>
      <c r="W806" s="33">
        <f t="shared" ca="1" si="159"/>
        <v>8918.8858357989429</v>
      </c>
      <c r="X806" s="33">
        <f t="shared" ca="1" si="160"/>
        <v>8526.3213070582005</v>
      </c>
      <c r="Y806" s="32">
        <f t="shared" ca="1" si="167"/>
        <v>0</v>
      </c>
    </row>
    <row r="807" spans="1:25">
      <c r="A807" s="5">
        <v>39555</v>
      </c>
      <c r="B807" s="4">
        <v>9185.58</v>
      </c>
      <c r="C807" s="4">
        <v>9194.86</v>
      </c>
      <c r="D807" s="4">
        <v>9063.69</v>
      </c>
      <c r="E807" s="4">
        <v>9090.43</v>
      </c>
      <c r="F807" s="4">
        <v>8117200</v>
      </c>
      <c r="G807" s="8">
        <f t="shared" si="169"/>
        <v>119.53999999999905</v>
      </c>
      <c r="H807" s="8">
        <f t="shared" si="168"/>
        <v>-95.149999999999636</v>
      </c>
      <c r="I807" s="20">
        <f t="shared" ca="1" si="161"/>
        <v>0</v>
      </c>
      <c r="J807" s="8">
        <f t="shared" ca="1" si="162"/>
        <v>2</v>
      </c>
      <c r="K807" s="8">
        <f t="shared" ca="1" si="163"/>
        <v>48.779999999998836</v>
      </c>
      <c r="L807" s="8">
        <f t="shared" ca="1" si="164"/>
        <v>3053.8800000000056</v>
      </c>
      <c r="M807" s="9">
        <f ca="1">AVERAGE(E807:OFFSET(E807,-M$5+1,0))</f>
        <v>8837.982</v>
      </c>
      <c r="N807" s="9">
        <f ca="1">AVERAGE(E807:OFFSET(E807,-N$5+1,0))</f>
        <v>8724.8974999999991</v>
      </c>
      <c r="O807" s="9">
        <f t="shared" ca="1" si="165"/>
        <v>0</v>
      </c>
      <c r="P807" s="14">
        <f t="shared" si="170"/>
        <v>0.26866472029784944</v>
      </c>
      <c r="Q807" s="15">
        <f ca="1">STDEV(P807:OFFSET(P807,-$Q$5+1,0))</f>
        <v>0.86511704440093906</v>
      </c>
      <c r="R807" s="15">
        <f ca="1">STDEV(P807:OFFSET(P807,-$R$5+1,0))</f>
        <v>1.5860458677668348</v>
      </c>
      <c r="S807" s="18">
        <f t="shared" si="157"/>
        <v>131.17000000000007</v>
      </c>
      <c r="T807" s="18">
        <f t="shared" si="158"/>
        <v>131.17000000000007</v>
      </c>
      <c r="U807" s="18">
        <f t="shared" si="166"/>
        <v>130.89686385843629</v>
      </c>
      <c r="V807" s="33">
        <f ca="1">AVERAGE(E807:OFFSET(E807,-V$5+1,0))</f>
        <v>8757.2092857142852</v>
      </c>
      <c r="W807" s="33">
        <f t="shared" ca="1" si="159"/>
        <v>8953.5545815019395</v>
      </c>
      <c r="X807" s="33">
        <f t="shared" ca="1" si="160"/>
        <v>8560.8639899266309</v>
      </c>
      <c r="Y807" s="32">
        <f t="shared" ca="1" si="167"/>
        <v>0</v>
      </c>
    </row>
    <row r="808" spans="1:25">
      <c r="A808" s="5">
        <v>39556</v>
      </c>
      <c r="B808" s="4">
        <v>9092.93</v>
      </c>
      <c r="C808" s="4">
        <v>9123.07</v>
      </c>
      <c r="D808" s="4">
        <v>9025.01</v>
      </c>
      <c r="E808" s="4">
        <v>9074.34</v>
      </c>
      <c r="F808" s="4">
        <v>6308800</v>
      </c>
      <c r="G808" s="8">
        <f t="shared" si="169"/>
        <v>2.5</v>
      </c>
      <c r="H808" s="8">
        <f t="shared" si="168"/>
        <v>-18.590000000000146</v>
      </c>
      <c r="I808" s="20">
        <f t="shared" ca="1" si="161"/>
        <v>0</v>
      </c>
      <c r="J808" s="8">
        <f t="shared" ca="1" si="162"/>
        <v>2</v>
      </c>
      <c r="K808" s="8">
        <f t="shared" ca="1" si="163"/>
        <v>-32.180000000000291</v>
      </c>
      <c r="L808" s="8">
        <f t="shared" ca="1" si="164"/>
        <v>3021.7000000000053</v>
      </c>
      <c r="M808" s="9">
        <f ca="1">AVERAGE(E808:OFFSET(E808,-M$5+1,0))</f>
        <v>8885.7820000000011</v>
      </c>
      <c r="N808" s="9">
        <f ca="1">AVERAGE(E808:OFFSET(E808,-N$5+1,0))</f>
        <v>8761.7334999999985</v>
      </c>
      <c r="O808" s="9">
        <f t="shared" ca="1" si="165"/>
        <v>0</v>
      </c>
      <c r="P808" s="14">
        <f t="shared" si="170"/>
        <v>-0.17715615675961749</v>
      </c>
      <c r="Q808" s="15">
        <f ca="1">STDEV(P808:OFFSET(P808,-$Q$5+1,0))</f>
        <v>0.87149892291959563</v>
      </c>
      <c r="R808" s="15">
        <f ca="1">STDEV(P808:OFFSET(P808,-$R$5+1,0))</f>
        <v>1.5567190240993818</v>
      </c>
      <c r="S808" s="18">
        <f t="shared" si="157"/>
        <v>98.059999999999491</v>
      </c>
      <c r="T808" s="18">
        <f t="shared" si="158"/>
        <v>98.059999999999491</v>
      </c>
      <c r="U808" s="18">
        <f t="shared" si="166"/>
        <v>126.51861534397806</v>
      </c>
      <c r="V808" s="33">
        <f ca="1">AVERAGE(E808:OFFSET(E808,-V$5+1,0))</f>
        <v>8789.4135714285712</v>
      </c>
      <c r="W808" s="33">
        <f t="shared" ca="1" si="159"/>
        <v>8979.191494444538</v>
      </c>
      <c r="X808" s="33">
        <f t="shared" ca="1" si="160"/>
        <v>8599.6356484126045</v>
      </c>
      <c r="Y808" s="32">
        <f t="shared" ca="1" si="167"/>
        <v>0</v>
      </c>
    </row>
    <row r="809" spans="1:25">
      <c r="A809" s="5">
        <v>39559</v>
      </c>
      <c r="B809" s="4">
        <v>9156.77</v>
      </c>
      <c r="C809" s="4">
        <v>9160.1</v>
      </c>
      <c r="D809" s="4">
        <v>9047.66</v>
      </c>
      <c r="E809" s="4">
        <v>9083.32</v>
      </c>
      <c r="F809" s="4">
        <v>6144600</v>
      </c>
      <c r="G809" s="8">
        <f t="shared" si="169"/>
        <v>82.430000000000291</v>
      </c>
      <c r="H809" s="8">
        <f t="shared" si="168"/>
        <v>-73.450000000000728</v>
      </c>
      <c r="I809" s="20">
        <f t="shared" ca="1" si="161"/>
        <v>0</v>
      </c>
      <c r="J809" s="8">
        <f t="shared" ca="1" si="162"/>
        <v>2</v>
      </c>
      <c r="K809" s="8">
        <f t="shared" ca="1" si="163"/>
        <v>17.959999999999127</v>
      </c>
      <c r="L809" s="8">
        <f t="shared" ca="1" si="164"/>
        <v>3039.6600000000044</v>
      </c>
      <c r="M809" s="9">
        <f ca="1">AVERAGE(E809:OFFSET(E809,-M$5+1,0))</f>
        <v>8921.1350000000002</v>
      </c>
      <c r="N809" s="9">
        <f ca="1">AVERAGE(E809:OFFSET(E809,-N$5+1,0))</f>
        <v>8789.65</v>
      </c>
      <c r="O809" s="9">
        <f t="shared" ca="1" si="165"/>
        <v>0</v>
      </c>
      <c r="P809" s="14">
        <f t="shared" si="170"/>
        <v>9.8911431672696337E-2</v>
      </c>
      <c r="Q809" s="15">
        <f ca="1">STDEV(P809:OFFSET(P809,-$Q$5+1,0))</f>
        <v>0.80447873253525448</v>
      </c>
      <c r="R809" s="15">
        <f ca="1">STDEV(P809:OFFSET(P809,-$R$5+1,0))</f>
        <v>1.521193572445219</v>
      </c>
      <c r="S809" s="18">
        <f t="shared" si="157"/>
        <v>112.44000000000051</v>
      </c>
      <c r="T809" s="18">
        <f t="shared" si="158"/>
        <v>112.44000000000051</v>
      </c>
      <c r="U809" s="18">
        <f t="shared" si="166"/>
        <v>124.64146663144771</v>
      </c>
      <c r="V809" s="33">
        <f ca="1">AVERAGE(E809:OFFSET(E809,-V$5+1,0))</f>
        <v>8825.8942857142847</v>
      </c>
      <c r="W809" s="33">
        <f t="shared" ca="1" si="159"/>
        <v>9012.8564856614557</v>
      </c>
      <c r="X809" s="33">
        <f t="shared" ca="1" si="160"/>
        <v>8638.9320857671137</v>
      </c>
      <c r="Y809" s="32">
        <f t="shared" ca="1" si="167"/>
        <v>0</v>
      </c>
    </row>
    <row r="810" spans="1:25">
      <c r="A810" s="5">
        <v>39560</v>
      </c>
      <c r="B810" s="4">
        <v>9067.9</v>
      </c>
      <c r="C810" s="4">
        <v>9081.2900000000009</v>
      </c>
      <c r="D810" s="4">
        <v>8997.02</v>
      </c>
      <c r="E810" s="4">
        <v>9037.25</v>
      </c>
      <c r="F810" s="4">
        <v>5248000</v>
      </c>
      <c r="G810" s="8">
        <f t="shared" si="169"/>
        <v>-15.420000000000073</v>
      </c>
      <c r="H810" s="8">
        <f t="shared" si="168"/>
        <v>-30.649999999999636</v>
      </c>
      <c r="I810" s="20">
        <f t="shared" ca="1" si="161"/>
        <v>0</v>
      </c>
      <c r="J810" s="8">
        <f t="shared" ca="1" si="162"/>
        <v>2</v>
      </c>
      <c r="K810" s="8">
        <f t="shared" ca="1" si="163"/>
        <v>-92.139999999999418</v>
      </c>
      <c r="L810" s="8">
        <f t="shared" ca="1" si="164"/>
        <v>2947.520000000005</v>
      </c>
      <c r="M810" s="9">
        <f ca="1">AVERAGE(E810:OFFSET(E810,-M$5+1,0))</f>
        <v>8957.5750000000007</v>
      </c>
      <c r="N810" s="9">
        <f ca="1">AVERAGE(E810:OFFSET(E810,-N$5+1,0))</f>
        <v>8798.2450000000008</v>
      </c>
      <c r="O810" s="9">
        <f t="shared" ca="1" si="165"/>
        <v>0</v>
      </c>
      <c r="P810" s="14">
        <f t="shared" si="170"/>
        <v>-0.50848399651782739</v>
      </c>
      <c r="Q810" s="15">
        <f ca="1">STDEV(P810:OFFSET(P810,-$Q$5+1,0))</f>
        <v>0.78436380587737842</v>
      </c>
      <c r="R810" s="15">
        <f ca="1">STDEV(P810:OFFSET(P810,-$R$5+1,0))</f>
        <v>1.5264363804607892</v>
      </c>
      <c r="S810" s="18">
        <f t="shared" si="157"/>
        <v>84.270000000000437</v>
      </c>
      <c r="T810" s="18">
        <f t="shared" si="158"/>
        <v>86.299999999999272</v>
      </c>
      <c r="U810" s="18">
        <f t="shared" si="166"/>
        <v>119.52927108058793</v>
      </c>
      <c r="V810" s="33">
        <f ca="1">AVERAGE(E810:OFFSET(E810,-V$5+1,0))</f>
        <v>8870.0035714285732</v>
      </c>
      <c r="W810" s="33">
        <f t="shared" ca="1" si="159"/>
        <v>9049.2974780494551</v>
      </c>
      <c r="X810" s="33">
        <f t="shared" ca="1" si="160"/>
        <v>8690.7096648076913</v>
      </c>
      <c r="Y810" s="32">
        <f t="shared" ca="1" si="167"/>
        <v>0</v>
      </c>
    </row>
    <row r="811" spans="1:25">
      <c r="A811" s="5">
        <v>39561</v>
      </c>
      <c r="B811" s="4">
        <v>9032.61</v>
      </c>
      <c r="C811" s="4">
        <v>9079.43</v>
      </c>
      <c r="D811" s="4">
        <v>8951.5300000000007</v>
      </c>
      <c r="E811" s="4">
        <v>9008.49</v>
      </c>
      <c r="F811" s="4">
        <v>5812200</v>
      </c>
      <c r="G811" s="8">
        <f t="shared" si="169"/>
        <v>-4.6399999999994179</v>
      </c>
      <c r="H811" s="8">
        <f t="shared" si="168"/>
        <v>-24.1200000000008</v>
      </c>
      <c r="I811" s="20">
        <f t="shared" ca="1" si="161"/>
        <v>0</v>
      </c>
      <c r="J811" s="8">
        <f t="shared" ca="1" si="162"/>
        <v>2</v>
      </c>
      <c r="K811" s="8">
        <f t="shared" ca="1" si="163"/>
        <v>-57.520000000000437</v>
      </c>
      <c r="L811" s="8">
        <f t="shared" ca="1" si="164"/>
        <v>2890.0000000000045</v>
      </c>
      <c r="M811" s="9">
        <f ca="1">AVERAGE(E811:OFFSET(E811,-M$5+1,0))</f>
        <v>8991.6310000000012</v>
      </c>
      <c r="N811" s="9">
        <f ca="1">AVERAGE(E811:OFFSET(E811,-N$5+1,0))</f>
        <v>8808.9149999999991</v>
      </c>
      <c r="O811" s="9">
        <f t="shared" ca="1" si="165"/>
        <v>0</v>
      </c>
      <c r="P811" s="14">
        <f t="shared" si="170"/>
        <v>-0.3187458574696394</v>
      </c>
      <c r="Q811" s="15">
        <f ca="1">STDEV(P811:OFFSET(P811,-$Q$5+1,0))</f>
        <v>0.80582736428508905</v>
      </c>
      <c r="R811" s="15">
        <f ca="1">STDEV(P811:OFFSET(P811,-$R$5+1,0))</f>
        <v>1.4976101058980698</v>
      </c>
      <c r="S811" s="18">
        <f t="shared" si="157"/>
        <v>127.89999999999964</v>
      </c>
      <c r="T811" s="18">
        <f t="shared" si="158"/>
        <v>127.89999999999964</v>
      </c>
      <c r="U811" s="18">
        <f t="shared" si="166"/>
        <v>120.64536826984283</v>
      </c>
      <c r="V811" s="33">
        <f ca="1">AVERAGE(E811:OFFSET(E811,-V$5+1,0))</f>
        <v>8898.8014285714289</v>
      </c>
      <c r="W811" s="33">
        <f t="shared" ca="1" si="159"/>
        <v>9079.7694809761924</v>
      </c>
      <c r="X811" s="33">
        <f t="shared" ca="1" si="160"/>
        <v>8717.8333761666654</v>
      </c>
      <c r="Y811" s="32">
        <f t="shared" ca="1" si="167"/>
        <v>0</v>
      </c>
    </row>
    <row r="812" spans="1:25">
      <c r="A812" s="5">
        <v>39562</v>
      </c>
      <c r="B812" s="4">
        <v>9025.4699999999993</v>
      </c>
      <c r="C812" s="4">
        <v>9064.15</v>
      </c>
      <c r="D812" s="4">
        <v>8974.7900000000009</v>
      </c>
      <c r="E812" s="4">
        <v>8990.33</v>
      </c>
      <c r="F812" s="4">
        <v>5208400</v>
      </c>
      <c r="G812" s="8">
        <f t="shared" si="169"/>
        <v>16.979999999999563</v>
      </c>
      <c r="H812" s="8">
        <f t="shared" si="168"/>
        <v>-35.139999999999418</v>
      </c>
      <c r="I812" s="20">
        <f t="shared" ca="1" si="161"/>
        <v>0</v>
      </c>
      <c r="J812" s="8">
        <f t="shared" ca="1" si="162"/>
        <v>2</v>
      </c>
      <c r="K812" s="8">
        <f t="shared" ca="1" si="163"/>
        <v>-36.319999999999709</v>
      </c>
      <c r="L812" s="8">
        <f t="shared" ca="1" si="164"/>
        <v>2853.6800000000048</v>
      </c>
      <c r="M812" s="9">
        <f ca="1">AVERAGE(E812:OFFSET(E812,-M$5+1,0))</f>
        <v>9007.724000000002</v>
      </c>
      <c r="N812" s="9">
        <f ca="1">AVERAGE(E812:OFFSET(E812,-N$5+1,0))</f>
        <v>8820.0304999999989</v>
      </c>
      <c r="O812" s="9">
        <f t="shared" ca="1" si="165"/>
        <v>0</v>
      </c>
      <c r="P812" s="14">
        <f t="shared" si="170"/>
        <v>-0.2017910747730976</v>
      </c>
      <c r="Q812" s="15">
        <f ca="1">STDEV(P812:OFFSET(P812,-$Q$5+1,0))</f>
        <v>0.63571419446747901</v>
      </c>
      <c r="R812" s="15">
        <f ca="1">STDEV(P812:OFFSET(P812,-$R$5+1,0))</f>
        <v>1.4989881178058586</v>
      </c>
      <c r="S812" s="18">
        <f t="shared" si="157"/>
        <v>89.359999999998763</v>
      </c>
      <c r="T812" s="18">
        <f t="shared" si="158"/>
        <v>89.359999999998763</v>
      </c>
      <c r="U812" s="18">
        <f t="shared" si="166"/>
        <v>116.47398583386364</v>
      </c>
      <c r="V812" s="33">
        <f ca="1">AVERAGE(E812:OFFSET(E812,-V$5+1,0))</f>
        <v>8926.9435714285737</v>
      </c>
      <c r="W812" s="33">
        <f t="shared" ca="1" si="159"/>
        <v>9101.6545501793698</v>
      </c>
      <c r="X812" s="33">
        <f t="shared" ca="1" si="160"/>
        <v>8752.2325926777776</v>
      </c>
      <c r="Y812" s="32">
        <f t="shared" ca="1" si="167"/>
        <v>0</v>
      </c>
    </row>
    <row r="813" spans="1:25">
      <c r="A813" s="5">
        <v>39563</v>
      </c>
      <c r="B813" s="4">
        <v>9053.2999999999993</v>
      </c>
      <c r="C813" s="4">
        <v>9062.9699999999993</v>
      </c>
      <c r="D813" s="4">
        <v>8945.2199999999993</v>
      </c>
      <c r="E813" s="4">
        <v>8947.83</v>
      </c>
      <c r="F813" s="4">
        <v>5443800</v>
      </c>
      <c r="G813" s="8">
        <f t="shared" si="169"/>
        <v>62.969999999999345</v>
      </c>
      <c r="H813" s="8">
        <f t="shared" si="168"/>
        <v>-105.46999999999935</v>
      </c>
      <c r="I813" s="20">
        <f t="shared" ca="1" si="161"/>
        <v>0</v>
      </c>
      <c r="J813" s="8">
        <f t="shared" ca="1" si="162"/>
        <v>2</v>
      </c>
      <c r="K813" s="8">
        <f t="shared" ca="1" si="163"/>
        <v>-85</v>
      </c>
      <c r="L813" s="8">
        <f t="shared" ca="1" si="164"/>
        <v>2768.6800000000048</v>
      </c>
      <c r="M813" s="9">
        <f ca="1">AVERAGE(E813:OFFSET(E813,-M$5+1,0))</f>
        <v>9011.5490000000009</v>
      </c>
      <c r="N813" s="9">
        <f ca="1">AVERAGE(E813:OFFSET(E813,-N$5+1,0))</f>
        <v>8837.1244999999981</v>
      </c>
      <c r="O813" s="9">
        <f t="shared" ca="1" si="165"/>
        <v>0</v>
      </c>
      <c r="P813" s="14">
        <f t="shared" si="170"/>
        <v>-0.47385104740639117</v>
      </c>
      <c r="Q813" s="15">
        <f ca="1">STDEV(P813:OFFSET(P813,-$Q$5+1,0))</f>
        <v>0.61031921315784787</v>
      </c>
      <c r="R813" s="15">
        <f ca="1">STDEV(P813:OFFSET(P813,-$R$5+1,0))</f>
        <v>1.4784345664934766</v>
      </c>
      <c r="S813" s="18">
        <f t="shared" si="157"/>
        <v>117.75</v>
      </c>
      <c r="T813" s="18">
        <f t="shared" si="158"/>
        <v>117.75</v>
      </c>
      <c r="U813" s="18">
        <f t="shared" si="166"/>
        <v>116.64412105601515</v>
      </c>
      <c r="V813" s="33">
        <f ca="1">AVERAGE(E813:OFFSET(E813,-V$5+1,0))</f>
        <v>8942.5178571428587</v>
      </c>
      <c r="W813" s="33">
        <f t="shared" ca="1" si="159"/>
        <v>9117.4840387268814</v>
      </c>
      <c r="X813" s="33">
        <f t="shared" ca="1" si="160"/>
        <v>8767.551675558836</v>
      </c>
      <c r="Y813" s="32">
        <f t="shared" ca="1" si="167"/>
        <v>0</v>
      </c>
    </row>
    <row r="814" spans="1:25">
      <c r="A814" s="5">
        <v>39566</v>
      </c>
      <c r="B814" s="4">
        <v>8965.73</v>
      </c>
      <c r="C814" s="4">
        <v>9079.6</v>
      </c>
      <c r="D814" s="4">
        <v>8953.9500000000007</v>
      </c>
      <c r="E814" s="4">
        <v>9079.6</v>
      </c>
      <c r="F814" s="4">
        <v>5140800</v>
      </c>
      <c r="G814" s="8">
        <f t="shared" si="169"/>
        <v>17.899999999999636</v>
      </c>
      <c r="H814" s="8">
        <f t="shared" si="168"/>
        <v>113.8700000000008</v>
      </c>
      <c r="I814" s="20">
        <f t="shared" ca="1" si="161"/>
        <v>0</v>
      </c>
      <c r="J814" s="8">
        <f t="shared" ca="1" si="162"/>
        <v>2</v>
      </c>
      <c r="K814" s="8">
        <f t="shared" ca="1" si="163"/>
        <v>263.54000000000087</v>
      </c>
      <c r="L814" s="8">
        <f t="shared" ca="1" si="164"/>
        <v>3032.2200000000057</v>
      </c>
      <c r="M814" s="9">
        <f ca="1">AVERAGE(E814:OFFSET(E814,-M$5+1,0))</f>
        <v>9030.241</v>
      </c>
      <c r="N814" s="9">
        <f ca="1">AVERAGE(E814:OFFSET(E814,-N$5+1,0))</f>
        <v>8859.9304999999986</v>
      </c>
      <c r="O814" s="9">
        <f t="shared" ca="1" si="165"/>
        <v>0</v>
      </c>
      <c r="P814" s="14">
        <f t="shared" si="170"/>
        <v>1.4619093990921845</v>
      </c>
      <c r="Q814" s="15">
        <f ca="1">STDEV(P814:OFFSET(P814,-$Q$5+1,0))</f>
        <v>0.74827055231830919</v>
      </c>
      <c r="R814" s="15">
        <f ca="1">STDEV(P814:OFFSET(P814,-$R$5+1,0))</f>
        <v>1.4881123027657104</v>
      </c>
      <c r="S814" s="18">
        <f t="shared" si="157"/>
        <v>125.64999999999964</v>
      </c>
      <c r="T814" s="18">
        <f t="shared" si="158"/>
        <v>131.77000000000044</v>
      </c>
      <c r="U814" s="18">
        <f t="shared" si="166"/>
        <v>118.66090491521319</v>
      </c>
      <c r="V814" s="33">
        <f ca="1">AVERAGE(E814:OFFSET(E814,-V$5+1,0))</f>
        <v>8971.5714285714294</v>
      </c>
      <c r="W814" s="33">
        <f t="shared" ca="1" si="159"/>
        <v>9149.5627859442484</v>
      </c>
      <c r="X814" s="33">
        <f t="shared" ca="1" si="160"/>
        <v>8793.5800711986103</v>
      </c>
      <c r="Y814" s="32">
        <f t="shared" ca="1" si="167"/>
        <v>0</v>
      </c>
    </row>
    <row r="815" spans="1:25">
      <c r="A815" s="5">
        <v>39567</v>
      </c>
      <c r="B815" s="4">
        <v>9056.16</v>
      </c>
      <c r="C815" s="4">
        <v>9077.77</v>
      </c>
      <c r="D815" s="4">
        <v>8891.74</v>
      </c>
      <c r="E815" s="4">
        <v>8891.74</v>
      </c>
      <c r="F815" s="4">
        <v>5244800</v>
      </c>
      <c r="G815" s="8">
        <f t="shared" si="169"/>
        <v>-23.440000000000509</v>
      </c>
      <c r="H815" s="8">
        <f t="shared" si="168"/>
        <v>-164.42000000000007</v>
      </c>
      <c r="I815" s="20">
        <f t="shared" ca="1" si="161"/>
        <v>0</v>
      </c>
      <c r="J815" s="8">
        <f t="shared" ca="1" si="162"/>
        <v>2</v>
      </c>
      <c r="K815" s="8">
        <f t="shared" ca="1" si="163"/>
        <v>-375.72000000000116</v>
      </c>
      <c r="L815" s="8">
        <f t="shared" ca="1" si="164"/>
        <v>2656.5000000000045</v>
      </c>
      <c r="M815" s="9">
        <f ca="1">AVERAGE(E815:OFFSET(E815,-M$5+1,0))</f>
        <v>9026.9370000000017</v>
      </c>
      <c r="N815" s="9">
        <f ca="1">AVERAGE(E815:OFFSET(E815,-N$5+1,0))</f>
        <v>8875.8879999999972</v>
      </c>
      <c r="O815" s="9">
        <f t="shared" ca="1" si="165"/>
        <v>0</v>
      </c>
      <c r="P815" s="14">
        <f t="shared" si="170"/>
        <v>-2.0907382871032039</v>
      </c>
      <c r="Q815" s="15">
        <f ca="1">STDEV(P815:OFFSET(P815,-$Q$5+1,0))</f>
        <v>1.0381333746831145</v>
      </c>
      <c r="R815" s="15">
        <f ca="1">STDEV(P815:OFFSET(P815,-$R$5+1,0))</f>
        <v>1.4988327663612702</v>
      </c>
      <c r="S815" s="18">
        <f t="shared" si="157"/>
        <v>186.03000000000065</v>
      </c>
      <c r="T815" s="18">
        <f t="shared" si="158"/>
        <v>187.86000000000058</v>
      </c>
      <c r="U815" s="18">
        <f t="shared" si="166"/>
        <v>127.88745092651818</v>
      </c>
      <c r="V815" s="33">
        <f ca="1">AVERAGE(E815:OFFSET(E815,-V$5+1,0))</f>
        <v>8987.5578571428596</v>
      </c>
      <c r="W815" s="33">
        <f t="shared" ca="1" si="159"/>
        <v>9179.3890335326359</v>
      </c>
      <c r="X815" s="33">
        <f t="shared" ca="1" si="160"/>
        <v>8795.7266807530832</v>
      </c>
      <c r="Y815" s="32">
        <f t="shared" ca="1" si="167"/>
        <v>0</v>
      </c>
    </row>
    <row r="816" spans="1:25">
      <c r="A816" s="5">
        <v>39568</v>
      </c>
      <c r="B816" s="4">
        <v>8917.6200000000008</v>
      </c>
      <c r="C816" s="4">
        <v>8962.99</v>
      </c>
      <c r="D816" s="4">
        <v>8882.57</v>
      </c>
      <c r="E816" s="4">
        <v>8919.92</v>
      </c>
      <c r="F816" s="4">
        <v>5097200</v>
      </c>
      <c r="G816" s="8">
        <f t="shared" si="169"/>
        <v>25.880000000001019</v>
      </c>
      <c r="H816" s="8">
        <f t="shared" si="168"/>
        <v>2.2999999999992724</v>
      </c>
      <c r="I816" s="20">
        <f t="shared" ca="1" si="161"/>
        <v>0</v>
      </c>
      <c r="J816" s="8">
        <f t="shared" ca="1" si="162"/>
        <v>2</v>
      </c>
      <c r="K816" s="8">
        <f t="shared" ca="1" si="163"/>
        <v>56.360000000000582</v>
      </c>
      <c r="L816" s="8">
        <f t="shared" ca="1" si="164"/>
        <v>2712.8600000000051</v>
      </c>
      <c r="M816" s="9">
        <f ca="1">AVERAGE(E816:OFFSET(E816,-M$5+1,0))</f>
        <v>9012.3250000000007</v>
      </c>
      <c r="N816" s="9">
        <f ca="1">AVERAGE(E816:OFFSET(E816,-N$5+1,0))</f>
        <v>8900.8979999999992</v>
      </c>
      <c r="O816" s="9">
        <f t="shared" ca="1" si="165"/>
        <v>0</v>
      </c>
      <c r="P816" s="14">
        <f t="shared" si="170"/>
        <v>0.31642220334563759</v>
      </c>
      <c r="Q816" s="15">
        <f ca="1">STDEV(P816:OFFSET(P816,-$Q$5+1,0))</f>
        <v>0.88714460647881332</v>
      </c>
      <c r="R816" s="15">
        <f ca="1">STDEV(P816:OFFSET(P816,-$R$5+1,0))</f>
        <v>1.4522579171536947</v>
      </c>
      <c r="S816" s="18">
        <f t="shared" si="157"/>
        <v>80.420000000000073</v>
      </c>
      <c r="T816" s="18">
        <f t="shared" si="158"/>
        <v>80.420000000000073</v>
      </c>
      <c r="U816" s="18">
        <f t="shared" si="166"/>
        <v>121.55845746964911</v>
      </c>
      <c r="V816" s="33">
        <f ca="1">AVERAGE(E816:OFFSET(E816,-V$5+1,0))</f>
        <v>8994.0235714285736</v>
      </c>
      <c r="W816" s="33">
        <f t="shared" ca="1" si="159"/>
        <v>9176.361257633047</v>
      </c>
      <c r="X816" s="33">
        <f t="shared" ca="1" si="160"/>
        <v>8811.6858852241003</v>
      </c>
      <c r="Y816" s="32">
        <f t="shared" ca="1" si="167"/>
        <v>0</v>
      </c>
    </row>
    <row r="817" spans="1:25">
      <c r="A817" s="5">
        <v>39570</v>
      </c>
      <c r="B817" s="4">
        <v>8998.06</v>
      </c>
      <c r="C817" s="4">
        <v>9010.7099999999991</v>
      </c>
      <c r="D817" s="4">
        <v>8950.2800000000007</v>
      </c>
      <c r="E817" s="4">
        <v>8963.6299999999992</v>
      </c>
      <c r="F817" s="4">
        <v>5657600</v>
      </c>
      <c r="G817" s="8">
        <f t="shared" si="169"/>
        <v>78.139999999999418</v>
      </c>
      <c r="H817" s="8">
        <f t="shared" si="168"/>
        <v>-34.430000000000291</v>
      </c>
      <c r="I817" s="20">
        <f t="shared" ca="1" si="161"/>
        <v>0</v>
      </c>
      <c r="J817" s="8">
        <f t="shared" ca="1" si="162"/>
        <v>2</v>
      </c>
      <c r="K817" s="8">
        <f t="shared" ca="1" si="163"/>
        <v>87.419999999998254</v>
      </c>
      <c r="L817" s="8">
        <f t="shared" ca="1" si="164"/>
        <v>2800.2800000000034</v>
      </c>
      <c r="M817" s="9">
        <f ca="1">AVERAGE(E817:OFFSET(E817,-M$5+1,0))</f>
        <v>8999.6450000000004</v>
      </c>
      <c r="N817" s="9">
        <f ca="1">AVERAGE(E817:OFFSET(E817,-N$5+1,0))</f>
        <v>8918.8135000000002</v>
      </c>
      <c r="O817" s="9">
        <f t="shared" ca="1" si="165"/>
        <v>0</v>
      </c>
      <c r="P817" s="14">
        <f t="shared" si="170"/>
        <v>0.48883009289846852</v>
      </c>
      <c r="Q817" s="15">
        <f ca="1">STDEV(P817:OFFSET(P817,-$Q$5+1,0))</f>
        <v>0.90164690961775174</v>
      </c>
      <c r="R817" s="15">
        <f ca="1">STDEV(P817:OFFSET(P817,-$R$5+1,0))</f>
        <v>1.4533647035298058</v>
      </c>
      <c r="S817" s="18">
        <f t="shared" si="157"/>
        <v>60.429999999998472</v>
      </c>
      <c r="T817" s="18">
        <f t="shared" si="158"/>
        <v>90.789999999999054</v>
      </c>
      <c r="U817" s="18">
        <f t="shared" si="166"/>
        <v>117.45599647369578</v>
      </c>
      <c r="V817" s="33">
        <f ca="1">AVERAGE(E817:OFFSET(E817,-V$5+1,0))</f>
        <v>8997.8842857142863</v>
      </c>
      <c r="W817" s="33">
        <f t="shared" ca="1" si="159"/>
        <v>9174.0682804248299</v>
      </c>
      <c r="X817" s="33">
        <f t="shared" ca="1" si="160"/>
        <v>8821.7002910037427</v>
      </c>
      <c r="Y817" s="32">
        <f t="shared" ca="1" si="167"/>
        <v>0</v>
      </c>
    </row>
    <row r="818" spans="1:25">
      <c r="A818" s="5">
        <v>39573</v>
      </c>
      <c r="B818" s="4">
        <v>8968.5400000000009</v>
      </c>
      <c r="C818" s="4">
        <v>8976.2199999999993</v>
      </c>
      <c r="D818" s="4">
        <v>8814.48</v>
      </c>
      <c r="E818" s="4">
        <v>8837.07</v>
      </c>
      <c r="F818" s="4">
        <v>5174600</v>
      </c>
      <c r="G818" s="8">
        <f t="shared" si="169"/>
        <v>4.9100000000016735</v>
      </c>
      <c r="H818" s="8">
        <f t="shared" si="168"/>
        <v>-131.47000000000116</v>
      </c>
      <c r="I818" s="20">
        <f t="shared" ca="1" si="161"/>
        <v>0</v>
      </c>
      <c r="J818" s="8">
        <f t="shared" ca="1" si="162"/>
        <v>2</v>
      </c>
      <c r="K818" s="8">
        <f t="shared" ca="1" si="163"/>
        <v>-253.11999999999898</v>
      </c>
      <c r="L818" s="8">
        <f t="shared" ca="1" si="164"/>
        <v>2547.1600000000044</v>
      </c>
      <c r="M818" s="9">
        <f ca="1">AVERAGE(E818:OFFSET(E818,-M$5+1,0))</f>
        <v>8975.9179999999997</v>
      </c>
      <c r="N818" s="9">
        <f ca="1">AVERAGE(E818:OFFSET(E818,-N$5+1,0))</f>
        <v>8930.8500000000022</v>
      </c>
      <c r="O818" s="9">
        <f t="shared" ca="1" si="165"/>
        <v>0</v>
      </c>
      <c r="P818" s="14">
        <f t="shared" si="170"/>
        <v>-1.4219905126084662</v>
      </c>
      <c r="Q818" s="15">
        <f ca="1">STDEV(P818:OFFSET(P818,-$Q$5+1,0))</f>
        <v>0.98897779489807458</v>
      </c>
      <c r="R818" s="15">
        <f ca="1">STDEV(P818:OFFSET(P818,-$R$5+1,0))</f>
        <v>1.4402518590321955</v>
      </c>
      <c r="S818" s="18">
        <f t="shared" si="157"/>
        <v>161.73999999999978</v>
      </c>
      <c r="T818" s="18">
        <f t="shared" si="158"/>
        <v>161.73999999999978</v>
      </c>
      <c r="U818" s="18">
        <f t="shared" si="166"/>
        <v>123.36053027720298</v>
      </c>
      <c r="V818" s="33">
        <f ca="1">AVERAGE(E818:OFFSET(E818,-V$5+1,0))</f>
        <v>8993.9121428571434</v>
      </c>
      <c r="W818" s="33">
        <f t="shared" ca="1" si="159"/>
        <v>9178.952938272947</v>
      </c>
      <c r="X818" s="33">
        <f t="shared" ca="1" si="160"/>
        <v>8808.8713474413398</v>
      </c>
      <c r="Y818" s="32">
        <f t="shared" ca="1" si="167"/>
        <v>0</v>
      </c>
    </row>
    <row r="819" spans="1:25">
      <c r="A819" s="5">
        <v>39574</v>
      </c>
      <c r="B819" s="4">
        <v>8852.2000000000007</v>
      </c>
      <c r="C819" s="4">
        <v>8862.5</v>
      </c>
      <c r="D819" s="4">
        <v>8782.9599999999991</v>
      </c>
      <c r="E819" s="4">
        <v>8857.3700000000008</v>
      </c>
      <c r="F819" s="4">
        <v>4739600</v>
      </c>
      <c r="G819" s="8">
        <f t="shared" si="169"/>
        <v>15.130000000001019</v>
      </c>
      <c r="H819" s="8">
        <f t="shared" si="168"/>
        <v>5.1700000000000728</v>
      </c>
      <c r="I819" s="20">
        <f t="shared" ca="1" si="161"/>
        <v>0</v>
      </c>
      <c r="J819" s="8">
        <f t="shared" ca="1" si="162"/>
        <v>2</v>
      </c>
      <c r="K819" s="8">
        <f t="shared" ca="1" si="163"/>
        <v>40.600000000002183</v>
      </c>
      <c r="L819" s="8">
        <f t="shared" ca="1" si="164"/>
        <v>2587.7600000000066</v>
      </c>
      <c r="M819" s="9">
        <f ca="1">AVERAGE(E819:OFFSET(E819,-M$5+1,0))</f>
        <v>8953.3229999999985</v>
      </c>
      <c r="N819" s="9">
        <f ca="1">AVERAGE(E819:OFFSET(E819,-N$5+1,0))</f>
        <v>8937.2290000000012</v>
      </c>
      <c r="O819" s="9">
        <f t="shared" ca="1" si="165"/>
        <v>0</v>
      </c>
      <c r="P819" s="14">
        <f t="shared" si="170"/>
        <v>0.22945070775026716</v>
      </c>
      <c r="Q819" s="15">
        <f ca="1">STDEV(P819:OFFSET(P819,-$Q$5+1,0))</f>
        <v>0.99515645331503211</v>
      </c>
      <c r="R819" s="15">
        <f ca="1">STDEV(P819:OFFSET(P819,-$R$5+1,0))</f>
        <v>1.4188428055754612</v>
      </c>
      <c r="S819" s="18">
        <f t="shared" si="157"/>
        <v>79.540000000000873</v>
      </c>
      <c r="T819" s="18">
        <f t="shared" si="158"/>
        <v>79.540000000000873</v>
      </c>
      <c r="U819" s="18">
        <f t="shared" si="166"/>
        <v>117.51779290690936</v>
      </c>
      <c r="V819" s="33">
        <f ca="1">AVERAGE(E819:OFFSET(E819,-V$5+1,0))</f>
        <v>8989.0971428571447</v>
      </c>
      <c r="W819" s="33">
        <f t="shared" ca="1" si="159"/>
        <v>9165.3738322175086</v>
      </c>
      <c r="X819" s="33">
        <f t="shared" ca="1" si="160"/>
        <v>8812.8204534967808</v>
      </c>
      <c r="Y819" s="32">
        <f t="shared" ca="1" si="167"/>
        <v>0</v>
      </c>
    </row>
    <row r="820" spans="1:25">
      <c r="A820" s="5">
        <v>39575</v>
      </c>
      <c r="B820" s="4">
        <v>8919.93</v>
      </c>
      <c r="C820" s="4">
        <v>8977.9</v>
      </c>
      <c r="D820" s="4">
        <v>8902.19</v>
      </c>
      <c r="E820" s="4">
        <v>8926.34</v>
      </c>
      <c r="F820" s="4">
        <v>5208200</v>
      </c>
      <c r="G820" s="8">
        <f t="shared" si="169"/>
        <v>62.559999999999491</v>
      </c>
      <c r="H820" s="8">
        <f t="shared" si="168"/>
        <v>6.4099999999998545</v>
      </c>
      <c r="I820" s="20">
        <f t="shared" ca="1" si="161"/>
        <v>0</v>
      </c>
      <c r="J820" s="8">
        <f t="shared" ca="1" si="162"/>
        <v>2</v>
      </c>
      <c r="K820" s="8">
        <f t="shared" ca="1" si="163"/>
        <v>137.93999999999869</v>
      </c>
      <c r="L820" s="8">
        <f t="shared" ca="1" si="164"/>
        <v>2725.7000000000053</v>
      </c>
      <c r="M820" s="9">
        <f ca="1">AVERAGE(E820:OFFSET(E820,-M$5+1,0))</f>
        <v>8942.2319999999982</v>
      </c>
      <c r="N820" s="9">
        <f ca="1">AVERAGE(E820:OFFSET(E820,-N$5+1,0))</f>
        <v>8949.9035000000022</v>
      </c>
      <c r="O820" s="9">
        <f t="shared" ca="1" si="165"/>
        <v>-1</v>
      </c>
      <c r="P820" s="14">
        <f t="shared" si="170"/>
        <v>0.77565756295978694</v>
      </c>
      <c r="Q820" s="15">
        <f ca="1">STDEV(P820:OFFSET(P820,-$Q$5+1,0))</f>
        <v>1.0402009184353564</v>
      </c>
      <c r="R820" s="15">
        <f ca="1">STDEV(P820:OFFSET(P820,-$R$5+1,0))</f>
        <v>1.3448557196346509</v>
      </c>
      <c r="S820" s="18">
        <f t="shared" si="157"/>
        <v>75.709999999999127</v>
      </c>
      <c r="T820" s="18">
        <f t="shared" si="158"/>
        <v>120.52999999999884</v>
      </c>
      <c r="U820" s="18">
        <f t="shared" si="166"/>
        <v>117.91942051932129</v>
      </c>
      <c r="V820" s="33">
        <f ca="1">AVERAGE(E820:OFFSET(E820,-V$5+1,0))</f>
        <v>8979.1185714285712</v>
      </c>
      <c r="W820" s="33">
        <f t="shared" ca="1" si="159"/>
        <v>9155.9977022075527</v>
      </c>
      <c r="X820" s="33">
        <f t="shared" ca="1" si="160"/>
        <v>8802.2394406495896</v>
      </c>
      <c r="Y820" s="32">
        <f t="shared" ca="1" si="167"/>
        <v>0</v>
      </c>
    </row>
    <row r="821" spans="1:25">
      <c r="A821" s="5">
        <v>39576</v>
      </c>
      <c r="B821" s="4">
        <v>8865.73</v>
      </c>
      <c r="C821" s="4">
        <v>8880.7099999999991</v>
      </c>
      <c r="D821" s="4">
        <v>8806.99</v>
      </c>
      <c r="E821" s="4">
        <v>8866.6200000000008</v>
      </c>
      <c r="F821" s="4">
        <v>5033200</v>
      </c>
      <c r="G821" s="8">
        <f t="shared" si="169"/>
        <v>-60.610000000000582</v>
      </c>
      <c r="H821" s="8">
        <f t="shared" si="168"/>
        <v>0.89000000000123691</v>
      </c>
      <c r="I821" s="20">
        <f t="shared" ca="1" si="161"/>
        <v>0</v>
      </c>
      <c r="J821" s="8">
        <f t="shared" ca="1" si="162"/>
        <v>2</v>
      </c>
      <c r="K821" s="8">
        <f t="shared" ca="1" si="163"/>
        <v>-119.43999999999869</v>
      </c>
      <c r="L821" s="8">
        <f t="shared" ca="1" si="164"/>
        <v>2606.2600000000066</v>
      </c>
      <c r="M821" s="9">
        <f ca="1">AVERAGE(E821:OFFSET(E821,-M$5+1,0))</f>
        <v>8928.0449999999983</v>
      </c>
      <c r="N821" s="9">
        <f ca="1">AVERAGE(E821:OFFSET(E821,-N$5+1,0))</f>
        <v>8959.8380000000016</v>
      </c>
      <c r="O821" s="9">
        <f t="shared" ca="1" si="165"/>
        <v>0</v>
      </c>
      <c r="P821" s="14">
        <f t="shared" si="170"/>
        <v>-0.67127925040364633</v>
      </c>
      <c r="Q821" s="15">
        <f ca="1">STDEV(P821:OFFSET(P821,-$Q$5+1,0))</f>
        <v>1.0534433244317631</v>
      </c>
      <c r="R821" s="15">
        <f ca="1">STDEV(P821:OFFSET(P821,-$R$5+1,0))</f>
        <v>1.3449830713978916</v>
      </c>
      <c r="S821" s="18">
        <f t="shared" ref="S821:S884" si="171">C821-D821</f>
        <v>73.719999999999345</v>
      </c>
      <c r="T821" s="18">
        <f t="shared" ref="T821:T884" si="172">MAX(C821,E820)-MIN(D821,E820)</f>
        <v>119.35000000000036</v>
      </c>
      <c r="U821" s="18">
        <f t="shared" si="166"/>
        <v>118.11016445007851</v>
      </c>
      <c r="V821" s="33">
        <f ca="1">AVERAGE(E821:OFFSET(E821,-V$5+1,0))</f>
        <v>8963.1321428571428</v>
      </c>
      <c r="W821" s="33">
        <f t="shared" ref="W821:W884" ca="1" si="173">V821+W$5*U821</f>
        <v>9140.2973895322611</v>
      </c>
      <c r="X821" s="33">
        <f t="shared" ref="X821:X884" ca="1" si="174">V821-W$5*U821</f>
        <v>8785.9668961820244</v>
      </c>
      <c r="Y821" s="32">
        <f t="shared" ca="1" si="167"/>
        <v>0</v>
      </c>
    </row>
    <row r="822" spans="1:25">
      <c r="A822" s="5">
        <v>39577</v>
      </c>
      <c r="B822" s="4">
        <v>8895.0499999999993</v>
      </c>
      <c r="C822" s="4">
        <v>8896.31</v>
      </c>
      <c r="D822" s="4">
        <v>8792.39</v>
      </c>
      <c r="E822" s="4">
        <v>8792.39</v>
      </c>
      <c r="F822" s="4">
        <v>5184000</v>
      </c>
      <c r="G822" s="8">
        <f t="shared" si="169"/>
        <v>28.429999999998472</v>
      </c>
      <c r="H822" s="8">
        <f t="shared" si="168"/>
        <v>-102.65999999999985</v>
      </c>
      <c r="I822" s="20">
        <f t="shared" ref="I822:I885" ca="1" si="175">Y822</f>
        <v>0</v>
      </c>
      <c r="J822" s="8">
        <f t="shared" ref="J822:J885" ca="1" si="176">IF((J821+I821)&gt;=J$5,J$5,IF((J821+I821)&lt;=J$7,J$7,J821+I821))</f>
        <v>2</v>
      </c>
      <c r="K822" s="8">
        <f t="shared" ref="K822:K885" ca="1" si="177">J821*G822+J822*H822</f>
        <v>-148.46000000000276</v>
      </c>
      <c r="L822" s="8">
        <f t="shared" ref="L822:L885" ca="1" si="178">L821+K822</f>
        <v>2457.8000000000038</v>
      </c>
      <c r="M822" s="9">
        <f ca="1">AVERAGE(E822:OFFSET(E822,-M$5+1,0))</f>
        <v>8908.2510000000002</v>
      </c>
      <c r="N822" s="9">
        <f ca="1">AVERAGE(E822:OFFSET(E822,-N$5+1,0))</f>
        <v>8957.9874999999993</v>
      </c>
      <c r="O822" s="9">
        <f t="shared" ref="O822:O885" ca="1" si="179">IF(AND(M821&lt;=N821,M822&gt;N822),1,IF(AND(M821&gt;=N821,M822&lt;N822),-1,0))</f>
        <v>0</v>
      </c>
      <c r="P822" s="14">
        <f t="shared" si="170"/>
        <v>-0.84070893225536203</v>
      </c>
      <c r="Q822" s="15">
        <f ca="1">STDEV(P822:OFFSET(P822,-$Q$5+1,0))</f>
        <v>1.0754892786327686</v>
      </c>
      <c r="R822" s="15">
        <f ca="1">STDEV(P822:OFFSET(P822,-$R$5+1,0))</f>
        <v>1.3512626052222731</v>
      </c>
      <c r="S822" s="18">
        <f t="shared" si="171"/>
        <v>103.92000000000007</v>
      </c>
      <c r="T822" s="18">
        <f t="shared" si="172"/>
        <v>103.92000000000007</v>
      </c>
      <c r="U822" s="18">
        <f t="shared" ref="U822:U885" si="180">$U$5*T822+(1-$U$5)*U821</f>
        <v>116.2181425234014</v>
      </c>
      <c r="V822" s="33">
        <f ca="1">AVERAGE(E822:OFFSET(E822,-V$5+1,0))</f>
        <v>8942.9928571428554</v>
      </c>
      <c r="W822" s="33">
        <f t="shared" ca="1" si="173"/>
        <v>9117.3200709279572</v>
      </c>
      <c r="X822" s="33">
        <f t="shared" ca="1" si="174"/>
        <v>8768.6656433577537</v>
      </c>
      <c r="Y822" s="32">
        <f t="shared" ref="Y822:Y885" ca="1" si="181">IF(AND(E821&gt;X821,E822&lt;X822),-1,IF(AND(E821&lt;W821,E822&gt;W822),1,0))</f>
        <v>0</v>
      </c>
    </row>
    <row r="823" spans="1:25">
      <c r="A823" s="5">
        <v>39580</v>
      </c>
      <c r="B823" s="4">
        <v>8808.59</v>
      </c>
      <c r="C823" s="4">
        <v>8838.99</v>
      </c>
      <c r="D823" s="4">
        <v>8754.27</v>
      </c>
      <c r="E823" s="4">
        <v>8830.0499999999993</v>
      </c>
      <c r="F823" s="4">
        <v>4324000</v>
      </c>
      <c r="G823" s="8">
        <f t="shared" si="169"/>
        <v>16.200000000000728</v>
      </c>
      <c r="H823" s="8">
        <f t="shared" si="168"/>
        <v>21.459999999999127</v>
      </c>
      <c r="I823" s="20">
        <f t="shared" ca="1" si="175"/>
        <v>0</v>
      </c>
      <c r="J823" s="8">
        <f t="shared" ca="1" si="176"/>
        <v>2</v>
      </c>
      <c r="K823" s="8">
        <f t="shared" ca="1" si="177"/>
        <v>75.319999999999709</v>
      </c>
      <c r="L823" s="8">
        <f t="shared" ca="1" si="178"/>
        <v>2533.1200000000035</v>
      </c>
      <c r="M823" s="9">
        <f ca="1">AVERAGE(E823:OFFSET(E823,-M$5+1,0))</f>
        <v>8896.473</v>
      </c>
      <c r="N823" s="9">
        <f ca="1">AVERAGE(E823:OFFSET(E823,-N$5+1,0))</f>
        <v>8954.0109999999986</v>
      </c>
      <c r="O823" s="9">
        <f t="shared" ca="1" si="179"/>
        <v>0</v>
      </c>
      <c r="P823" s="14">
        <f t="shared" si="170"/>
        <v>0.4274102488747854</v>
      </c>
      <c r="Q823" s="15">
        <f ca="1">STDEV(P823:OFFSET(P823,-$Q$5+1,0))</f>
        <v>1.0897659007098301</v>
      </c>
      <c r="R823" s="15">
        <f ca="1">STDEV(P823:OFFSET(P823,-$R$5+1,0))</f>
        <v>1.2733774245763401</v>
      </c>
      <c r="S823" s="18">
        <f t="shared" si="171"/>
        <v>84.719999999999345</v>
      </c>
      <c r="T823" s="18">
        <f t="shared" si="172"/>
        <v>84.719999999999345</v>
      </c>
      <c r="U823" s="18">
        <f t="shared" si="180"/>
        <v>112.01839018694778</v>
      </c>
      <c r="V823" s="33">
        <f ca="1">AVERAGE(E823:OFFSET(E823,-V$5+1,0))</f>
        <v>8924.9021428571414</v>
      </c>
      <c r="W823" s="33">
        <f t="shared" ca="1" si="173"/>
        <v>9092.9297281375639</v>
      </c>
      <c r="X823" s="33">
        <f t="shared" ca="1" si="174"/>
        <v>8756.8745575767189</v>
      </c>
      <c r="Y823" s="32">
        <f t="shared" ca="1" si="181"/>
        <v>0</v>
      </c>
    </row>
    <row r="824" spans="1:25">
      <c r="A824" s="5">
        <v>39581</v>
      </c>
      <c r="B824" s="4">
        <v>8894.94</v>
      </c>
      <c r="C824" s="4">
        <v>8995.35</v>
      </c>
      <c r="D824" s="4">
        <v>8859.24</v>
      </c>
      <c r="E824" s="4">
        <v>8989.5300000000007</v>
      </c>
      <c r="F824" s="4">
        <v>4869000</v>
      </c>
      <c r="G824" s="8">
        <f t="shared" si="169"/>
        <v>64.890000000001237</v>
      </c>
      <c r="H824" s="8">
        <f t="shared" si="168"/>
        <v>94.590000000000146</v>
      </c>
      <c r="I824" s="20">
        <f t="shared" ca="1" si="175"/>
        <v>0</v>
      </c>
      <c r="J824" s="8">
        <f t="shared" ca="1" si="176"/>
        <v>2</v>
      </c>
      <c r="K824" s="8">
        <f t="shared" ca="1" si="177"/>
        <v>318.96000000000276</v>
      </c>
      <c r="L824" s="8">
        <f t="shared" ca="1" si="178"/>
        <v>2852.0800000000063</v>
      </c>
      <c r="M824" s="9">
        <f ca="1">AVERAGE(E824:OFFSET(E824,-M$5+1,0))</f>
        <v>8887.4660000000022</v>
      </c>
      <c r="N824" s="9">
        <f ca="1">AVERAGE(E824:OFFSET(E824,-N$5+1,0))</f>
        <v>8958.8534999999993</v>
      </c>
      <c r="O824" s="9">
        <f t="shared" ca="1" si="179"/>
        <v>0</v>
      </c>
      <c r="P824" s="14">
        <f t="shared" si="170"/>
        <v>1.7899889691415896</v>
      </c>
      <c r="Q824" s="15">
        <f ca="1">STDEV(P824:OFFSET(P824,-$Q$5+1,0))</f>
        <v>1.146558558944897</v>
      </c>
      <c r="R824" s="15">
        <f ca="1">STDEV(P824:OFFSET(P824,-$R$5+1,0))</f>
        <v>1.2915980817240926</v>
      </c>
      <c r="S824" s="18">
        <f t="shared" si="171"/>
        <v>136.11000000000058</v>
      </c>
      <c r="T824" s="18">
        <f t="shared" si="172"/>
        <v>165.30000000000109</v>
      </c>
      <c r="U824" s="18">
        <f t="shared" si="180"/>
        <v>119.12260482868822</v>
      </c>
      <c r="V824" s="33">
        <f ca="1">AVERAGE(E824:OFFSET(E824,-V$5+1,0))</f>
        <v>8921.4935714285693</v>
      </c>
      <c r="W824" s="33">
        <f t="shared" ca="1" si="173"/>
        <v>9100.1774786716014</v>
      </c>
      <c r="X824" s="33">
        <f t="shared" ca="1" si="174"/>
        <v>8742.8096641855373</v>
      </c>
      <c r="Y824" s="32">
        <f t="shared" ca="1" si="181"/>
        <v>0</v>
      </c>
    </row>
    <row r="825" spans="1:25">
      <c r="A825" s="5">
        <v>39582</v>
      </c>
      <c r="B825" s="4">
        <v>9038.85</v>
      </c>
      <c r="C825" s="4">
        <v>9056.7999999999993</v>
      </c>
      <c r="D825" s="4">
        <v>8994.17</v>
      </c>
      <c r="E825" s="4">
        <v>9018.42</v>
      </c>
      <c r="F825" s="4">
        <v>4821000</v>
      </c>
      <c r="G825" s="8">
        <f t="shared" si="169"/>
        <v>49.319999999999709</v>
      </c>
      <c r="H825" s="8">
        <f t="shared" si="168"/>
        <v>-20.430000000000291</v>
      </c>
      <c r="I825" s="20">
        <f t="shared" ca="1" si="175"/>
        <v>0</v>
      </c>
      <c r="J825" s="8">
        <f t="shared" ca="1" si="176"/>
        <v>2</v>
      </c>
      <c r="K825" s="8">
        <f t="shared" ca="1" si="177"/>
        <v>57.779999999998836</v>
      </c>
      <c r="L825" s="8">
        <f t="shared" ca="1" si="178"/>
        <v>2909.8600000000051</v>
      </c>
      <c r="M825" s="9">
        <f ca="1">AVERAGE(E825:OFFSET(E825,-M$5+1,0))</f>
        <v>8900.134</v>
      </c>
      <c r="N825" s="9">
        <f ca="1">AVERAGE(E825:OFFSET(E825,-N$5+1,0))</f>
        <v>8963.5355000000018</v>
      </c>
      <c r="O825" s="9">
        <f t="shared" ca="1" si="179"/>
        <v>0</v>
      </c>
      <c r="P825" s="14">
        <f t="shared" si="170"/>
        <v>0.32085856285983927</v>
      </c>
      <c r="Q825" s="15">
        <f ca="1">STDEV(P825:OFFSET(P825,-$Q$5+1,0))</f>
        <v>0.91058004863163378</v>
      </c>
      <c r="R825" s="15">
        <f ca="1">STDEV(P825:OFFSET(P825,-$R$5+1,0))</f>
        <v>1.242708523875115</v>
      </c>
      <c r="S825" s="18">
        <f t="shared" si="171"/>
        <v>62.6299999999992</v>
      </c>
      <c r="T825" s="18">
        <f t="shared" si="172"/>
        <v>67.269999999998618</v>
      </c>
      <c r="U825" s="18">
        <f t="shared" si="180"/>
        <v>112.20892418486295</v>
      </c>
      <c r="V825" s="33">
        <f ca="1">AVERAGE(E825:OFFSET(E825,-V$5+1,0))</f>
        <v>8922.2028571428564</v>
      </c>
      <c r="W825" s="33">
        <f t="shared" ca="1" si="173"/>
        <v>9090.5162434201502</v>
      </c>
      <c r="X825" s="33">
        <f t="shared" ca="1" si="174"/>
        <v>8753.8894708655625</v>
      </c>
      <c r="Y825" s="32">
        <f t="shared" ca="1" si="181"/>
        <v>0</v>
      </c>
    </row>
    <row r="826" spans="1:25">
      <c r="A826" s="5">
        <v>39583</v>
      </c>
      <c r="B826" s="4">
        <v>9093.2099999999991</v>
      </c>
      <c r="C826" s="4">
        <v>9158.9500000000007</v>
      </c>
      <c r="D826" s="4">
        <v>9087.9500000000007</v>
      </c>
      <c r="E826" s="4">
        <v>9157.18</v>
      </c>
      <c r="F826" s="4">
        <v>6043800</v>
      </c>
      <c r="G826" s="8">
        <f t="shared" si="169"/>
        <v>74.789999999999054</v>
      </c>
      <c r="H826" s="8">
        <f t="shared" si="168"/>
        <v>63.970000000001164</v>
      </c>
      <c r="I826" s="20">
        <f t="shared" ca="1" si="175"/>
        <v>1</v>
      </c>
      <c r="J826" s="8">
        <f t="shared" ca="1" si="176"/>
        <v>2</v>
      </c>
      <c r="K826" s="8">
        <f t="shared" ca="1" si="177"/>
        <v>277.52000000000044</v>
      </c>
      <c r="L826" s="8">
        <f t="shared" ca="1" si="178"/>
        <v>3187.3800000000056</v>
      </c>
      <c r="M826" s="9">
        <f ca="1">AVERAGE(E826:OFFSET(E826,-M$5+1,0))</f>
        <v>8923.86</v>
      </c>
      <c r="N826" s="9">
        <f ca="1">AVERAGE(E826:OFFSET(E826,-N$5+1,0))</f>
        <v>8968.0924999999988</v>
      </c>
      <c r="O826" s="9">
        <f t="shared" ca="1" si="179"/>
        <v>0</v>
      </c>
      <c r="P826" s="14">
        <f t="shared" si="170"/>
        <v>1.5269118591324131</v>
      </c>
      <c r="Q826" s="15">
        <f ca="1">STDEV(P826:OFFSET(P826,-$Q$5+1,0))</f>
        <v>1.0113099967417221</v>
      </c>
      <c r="R826" s="15">
        <f ca="1">STDEV(P826:OFFSET(P826,-$R$5+1,0))</f>
        <v>1.2567225970253031</v>
      </c>
      <c r="S826" s="18">
        <f t="shared" si="171"/>
        <v>71</v>
      </c>
      <c r="T826" s="18">
        <f t="shared" si="172"/>
        <v>140.53000000000065</v>
      </c>
      <c r="U826" s="18">
        <f t="shared" si="180"/>
        <v>115.98506762688132</v>
      </c>
      <c r="V826" s="33">
        <f ca="1">AVERAGE(E826:OFFSET(E826,-V$5+1,0))</f>
        <v>8934.1207142857147</v>
      </c>
      <c r="W826" s="33">
        <f t="shared" ca="1" si="173"/>
        <v>9108.0983157260362</v>
      </c>
      <c r="X826" s="33">
        <f t="shared" ca="1" si="174"/>
        <v>8760.1431128453933</v>
      </c>
      <c r="Y826" s="32">
        <f t="shared" ca="1" si="181"/>
        <v>1</v>
      </c>
    </row>
    <row r="827" spans="1:25">
      <c r="A827" s="5">
        <v>39584</v>
      </c>
      <c r="B827" s="4">
        <v>9211.2099999999991</v>
      </c>
      <c r="C827" s="4">
        <v>9241.52</v>
      </c>
      <c r="D827" s="4">
        <v>9171.39</v>
      </c>
      <c r="E827" s="4">
        <v>9197.41</v>
      </c>
      <c r="F827" s="4">
        <v>6284600</v>
      </c>
      <c r="G827" s="8">
        <f t="shared" si="169"/>
        <v>54.029999999998836</v>
      </c>
      <c r="H827" s="8">
        <f t="shared" si="168"/>
        <v>-13.799999999999272</v>
      </c>
      <c r="I827" s="20">
        <f t="shared" ca="1" si="175"/>
        <v>0</v>
      </c>
      <c r="J827" s="8">
        <f t="shared" ca="1" si="176"/>
        <v>3</v>
      </c>
      <c r="K827" s="8">
        <f t="shared" ca="1" si="177"/>
        <v>66.659999999999854</v>
      </c>
      <c r="L827" s="8">
        <f t="shared" ca="1" si="178"/>
        <v>3254.0400000000054</v>
      </c>
      <c r="M827" s="9">
        <f ca="1">AVERAGE(E827:OFFSET(E827,-M$5+1,0))</f>
        <v>8947.2380000000012</v>
      </c>
      <c r="N827" s="9">
        <f ca="1">AVERAGE(E827:OFFSET(E827,-N$5+1,0))</f>
        <v>8973.441499999999</v>
      </c>
      <c r="O827" s="9">
        <f t="shared" ca="1" si="179"/>
        <v>0</v>
      </c>
      <c r="P827" s="14">
        <f t="shared" si="170"/>
        <v>0.43836516558492322</v>
      </c>
      <c r="Q827" s="15">
        <f ca="1">STDEV(P827:OFFSET(P827,-$Q$5+1,0))</f>
        <v>1.0101804605185307</v>
      </c>
      <c r="R827" s="15">
        <f ca="1">STDEV(P827:OFFSET(P827,-$R$5+1,0))</f>
        <v>1.2423603690886469</v>
      </c>
      <c r="S827" s="18">
        <f t="shared" si="171"/>
        <v>70.130000000001019</v>
      </c>
      <c r="T827" s="18">
        <f t="shared" si="172"/>
        <v>84.340000000000146</v>
      </c>
      <c r="U827" s="18">
        <f t="shared" si="180"/>
        <v>111.76572527663049</v>
      </c>
      <c r="V827" s="33">
        <f ca="1">AVERAGE(E827:OFFSET(E827,-V$5+1,0))</f>
        <v>8951.9478571428572</v>
      </c>
      <c r="W827" s="33">
        <f t="shared" ca="1" si="173"/>
        <v>9119.5964450578031</v>
      </c>
      <c r="X827" s="33">
        <f t="shared" ca="1" si="174"/>
        <v>8784.2992692279113</v>
      </c>
      <c r="Y827" s="32">
        <f t="shared" ca="1" si="181"/>
        <v>0</v>
      </c>
    </row>
    <row r="828" spans="1:25">
      <c r="A828" s="5">
        <v>39587</v>
      </c>
      <c r="B828" s="4">
        <v>9249.57</v>
      </c>
      <c r="C828" s="4">
        <v>9295.2000000000007</v>
      </c>
      <c r="D828" s="4">
        <v>9207.27</v>
      </c>
      <c r="E828" s="4">
        <v>9295.2000000000007</v>
      </c>
      <c r="F828" s="4">
        <v>5674400</v>
      </c>
      <c r="G828" s="8">
        <f t="shared" si="169"/>
        <v>52.159999999999854</v>
      </c>
      <c r="H828" s="8">
        <f t="shared" si="168"/>
        <v>45.630000000001019</v>
      </c>
      <c r="I828" s="20">
        <f t="shared" ca="1" si="175"/>
        <v>0</v>
      </c>
      <c r="J828" s="8">
        <f t="shared" ca="1" si="176"/>
        <v>3</v>
      </c>
      <c r="K828" s="8">
        <f t="shared" ca="1" si="177"/>
        <v>293.37000000000262</v>
      </c>
      <c r="L828" s="8">
        <f t="shared" ca="1" si="178"/>
        <v>3547.410000000008</v>
      </c>
      <c r="M828" s="9">
        <f ca="1">AVERAGE(E828:OFFSET(E828,-M$5+1,0))</f>
        <v>8993.0509999999995</v>
      </c>
      <c r="N828" s="9">
        <f ca="1">AVERAGE(E828:OFFSET(E828,-N$5+1,0))</f>
        <v>8984.4845000000005</v>
      </c>
      <c r="O828" s="9">
        <f t="shared" ca="1" si="179"/>
        <v>1</v>
      </c>
      <c r="P828" s="14">
        <f t="shared" si="170"/>
        <v>1.0576215205334674</v>
      </c>
      <c r="Q828" s="15">
        <f ca="1">STDEV(P828:OFFSET(P828,-$Q$5+1,0))</f>
        <v>0.8425494372883251</v>
      </c>
      <c r="R828" s="15">
        <f ca="1">STDEV(P828:OFFSET(P828,-$R$5+1,0))</f>
        <v>1.2208214373516337</v>
      </c>
      <c r="S828" s="18">
        <f t="shared" si="171"/>
        <v>87.930000000000291</v>
      </c>
      <c r="T828" s="18">
        <f t="shared" si="172"/>
        <v>97.790000000000873</v>
      </c>
      <c r="U828" s="18">
        <f t="shared" si="180"/>
        <v>109.90229523974655</v>
      </c>
      <c r="V828" s="33">
        <f ca="1">AVERAGE(E828:OFFSET(E828,-V$5+1,0))</f>
        <v>8967.3478571428586</v>
      </c>
      <c r="W828" s="33">
        <f t="shared" ca="1" si="173"/>
        <v>9132.2013000024781</v>
      </c>
      <c r="X828" s="33">
        <f t="shared" ca="1" si="174"/>
        <v>8802.4944142832392</v>
      </c>
      <c r="Y828" s="32">
        <f t="shared" ca="1" si="181"/>
        <v>0</v>
      </c>
    </row>
    <row r="829" spans="1:25">
      <c r="A829" s="5">
        <v>39588</v>
      </c>
      <c r="B829" s="4">
        <v>9309.9500000000007</v>
      </c>
      <c r="C829" s="4">
        <v>9309.9500000000007</v>
      </c>
      <c r="D829" s="4">
        <v>9057.31</v>
      </c>
      <c r="E829" s="4">
        <v>9068.89</v>
      </c>
      <c r="F829" s="4">
        <v>6496800</v>
      </c>
      <c r="G829" s="8">
        <f t="shared" si="169"/>
        <v>14.75</v>
      </c>
      <c r="H829" s="8">
        <f t="shared" si="168"/>
        <v>-241.06000000000131</v>
      </c>
      <c r="I829" s="20">
        <f t="shared" ca="1" si="175"/>
        <v>0</v>
      </c>
      <c r="J829" s="8">
        <f t="shared" ca="1" si="176"/>
        <v>3</v>
      </c>
      <c r="K829" s="8">
        <f t="shared" ca="1" si="177"/>
        <v>-678.93000000000393</v>
      </c>
      <c r="L829" s="8">
        <f t="shared" ca="1" si="178"/>
        <v>2868.4800000000041</v>
      </c>
      <c r="M829" s="9">
        <f ca="1">AVERAGE(E829:OFFSET(E829,-M$5+1,0))</f>
        <v>9014.2029999999977</v>
      </c>
      <c r="N829" s="9">
        <f ca="1">AVERAGE(E829:OFFSET(E829,-N$5+1,0))</f>
        <v>8983.7630000000008</v>
      </c>
      <c r="O829" s="9">
        <f t="shared" ca="1" si="179"/>
        <v>0</v>
      </c>
      <c r="P829" s="14">
        <f t="shared" si="170"/>
        <v>-2.4648262726092023</v>
      </c>
      <c r="Q829" s="15">
        <f ca="1">STDEV(P829:OFFSET(P829,-$Q$5+1,0))</f>
        <v>1.2653211357710559</v>
      </c>
      <c r="R829" s="15">
        <f ca="1">STDEV(P829:OFFSET(P829,-$R$5+1,0))</f>
        <v>1.2533116516878069</v>
      </c>
      <c r="S829" s="18">
        <f t="shared" si="171"/>
        <v>252.64000000000124</v>
      </c>
      <c r="T829" s="18">
        <f t="shared" si="172"/>
        <v>252.64000000000124</v>
      </c>
      <c r="U829" s="18">
        <f t="shared" si="180"/>
        <v>128.93398920778051</v>
      </c>
      <c r="V829" s="33">
        <f ca="1">AVERAGE(E829:OFFSET(E829,-V$5+1,0))</f>
        <v>8980.0014285714278</v>
      </c>
      <c r="W829" s="33">
        <f t="shared" ca="1" si="173"/>
        <v>9173.4024123830986</v>
      </c>
      <c r="X829" s="33">
        <f t="shared" ca="1" si="174"/>
        <v>8786.600444759757</v>
      </c>
      <c r="Y829" s="32">
        <f t="shared" ca="1" si="181"/>
        <v>0</v>
      </c>
    </row>
    <row r="830" spans="1:25">
      <c r="A830" s="5">
        <v>39589</v>
      </c>
      <c r="B830" s="4">
        <v>9036.57</v>
      </c>
      <c r="C830" s="4">
        <v>9079.91</v>
      </c>
      <c r="D830" s="4">
        <v>8973.15</v>
      </c>
      <c r="E830" s="4">
        <v>9015.57</v>
      </c>
      <c r="F830" s="4">
        <v>5356800</v>
      </c>
      <c r="G830" s="8">
        <f t="shared" si="169"/>
        <v>-32.319999999999709</v>
      </c>
      <c r="H830" s="8">
        <f t="shared" si="168"/>
        <v>-21</v>
      </c>
      <c r="I830" s="20">
        <f t="shared" ca="1" si="175"/>
        <v>0</v>
      </c>
      <c r="J830" s="8">
        <f t="shared" ca="1" si="176"/>
        <v>3</v>
      </c>
      <c r="K830" s="8">
        <f t="shared" ca="1" si="177"/>
        <v>-159.95999999999913</v>
      </c>
      <c r="L830" s="8">
        <f t="shared" ca="1" si="178"/>
        <v>2708.520000000005</v>
      </c>
      <c r="M830" s="9">
        <f ca="1">AVERAGE(E830:OFFSET(E830,-M$5+1,0))</f>
        <v>9023.1260000000002</v>
      </c>
      <c r="N830" s="9">
        <f ca="1">AVERAGE(E830:OFFSET(E830,-N$5+1,0))</f>
        <v>8982.6790000000001</v>
      </c>
      <c r="O830" s="9">
        <f t="shared" ca="1" si="179"/>
        <v>0</v>
      </c>
      <c r="P830" s="14">
        <f t="shared" si="170"/>
        <v>-0.58967925505343932</v>
      </c>
      <c r="Q830" s="15">
        <f ca="1">STDEV(P830:OFFSET(P830,-$Q$5+1,0))</f>
        <v>1.2742509572886158</v>
      </c>
      <c r="R830" s="15">
        <f ca="1">STDEV(P830:OFFSET(P830,-$R$5+1,0))</f>
        <v>1.0997452206079497</v>
      </c>
      <c r="S830" s="18">
        <f t="shared" si="171"/>
        <v>106.76000000000022</v>
      </c>
      <c r="T830" s="18">
        <f t="shared" si="172"/>
        <v>106.76000000000022</v>
      </c>
      <c r="U830" s="18">
        <f t="shared" si="180"/>
        <v>125.97745731340981</v>
      </c>
      <c r="V830" s="33">
        <f ca="1">AVERAGE(E830:OFFSET(E830,-V$5+1,0))</f>
        <v>8986.8335714285731</v>
      </c>
      <c r="W830" s="33">
        <f t="shared" ca="1" si="173"/>
        <v>9175.7997573986886</v>
      </c>
      <c r="X830" s="33">
        <f t="shared" ca="1" si="174"/>
        <v>8797.8673854584576</v>
      </c>
      <c r="Y830" s="32">
        <f t="shared" ca="1" si="181"/>
        <v>0</v>
      </c>
    </row>
    <row r="831" spans="1:25">
      <c r="A831" s="5">
        <v>39590</v>
      </c>
      <c r="B831" s="4">
        <v>8898.94</v>
      </c>
      <c r="C831" s="4">
        <v>9008.0300000000007</v>
      </c>
      <c r="D831" s="4">
        <v>8878.06</v>
      </c>
      <c r="E831" s="4">
        <v>9008.0300000000007</v>
      </c>
      <c r="F831" s="4">
        <v>5864600</v>
      </c>
      <c r="G831" s="8">
        <f t="shared" si="169"/>
        <v>-116.6299999999992</v>
      </c>
      <c r="H831" s="8">
        <f t="shared" si="168"/>
        <v>109.09000000000015</v>
      </c>
      <c r="I831" s="20">
        <f t="shared" ca="1" si="175"/>
        <v>0</v>
      </c>
      <c r="J831" s="8">
        <f t="shared" ca="1" si="176"/>
        <v>3</v>
      </c>
      <c r="K831" s="8">
        <f t="shared" ca="1" si="177"/>
        <v>-22.619999999997162</v>
      </c>
      <c r="L831" s="8">
        <f t="shared" ca="1" si="178"/>
        <v>2685.9000000000078</v>
      </c>
      <c r="M831" s="9">
        <f ca="1">AVERAGE(E831:OFFSET(E831,-M$5+1,0))</f>
        <v>9037.266999999998</v>
      </c>
      <c r="N831" s="9">
        <f ca="1">AVERAGE(E831:OFFSET(E831,-N$5+1,0))</f>
        <v>8982.6560000000009</v>
      </c>
      <c r="O831" s="9">
        <f t="shared" ca="1" si="179"/>
        <v>0</v>
      </c>
      <c r="P831" s="14">
        <f t="shared" si="170"/>
        <v>-8.3668084509797597E-2</v>
      </c>
      <c r="Q831" s="15">
        <f ca="1">STDEV(P831:OFFSET(P831,-$Q$5+1,0))</f>
        <v>1.2480384776655837</v>
      </c>
      <c r="R831" s="15">
        <f ca="1">STDEV(P831:OFFSET(P831,-$R$5+1,0))</f>
        <v>1.0915707591238197</v>
      </c>
      <c r="S831" s="18">
        <f t="shared" si="171"/>
        <v>129.97000000000116</v>
      </c>
      <c r="T831" s="18">
        <f t="shared" si="172"/>
        <v>137.51000000000022</v>
      </c>
      <c r="U831" s="18">
        <f t="shared" si="180"/>
        <v>127.51512967162186</v>
      </c>
      <c r="V831" s="33">
        <f ca="1">AVERAGE(E831:OFFSET(E831,-V$5+1,0))</f>
        <v>8990.005000000001</v>
      </c>
      <c r="W831" s="33">
        <f t="shared" ca="1" si="173"/>
        <v>9181.2776945074329</v>
      </c>
      <c r="X831" s="33">
        <f t="shared" ca="1" si="174"/>
        <v>8798.7323054925691</v>
      </c>
      <c r="Y831" s="32">
        <f t="shared" ca="1" si="181"/>
        <v>0</v>
      </c>
    </row>
    <row r="832" spans="1:25">
      <c r="A832" s="5">
        <v>39591</v>
      </c>
      <c r="B832" s="4">
        <v>9007.2099999999991</v>
      </c>
      <c r="C832" s="4">
        <v>9050.7800000000007</v>
      </c>
      <c r="D832" s="4">
        <v>8834.73</v>
      </c>
      <c r="E832" s="4">
        <v>8834.73</v>
      </c>
      <c r="F832" s="4">
        <v>5748800</v>
      </c>
      <c r="G832" s="8">
        <f t="shared" si="169"/>
        <v>-0.82000000000152795</v>
      </c>
      <c r="H832" s="8">
        <f t="shared" si="168"/>
        <v>-172.47999999999956</v>
      </c>
      <c r="I832" s="20">
        <f t="shared" ca="1" si="175"/>
        <v>0</v>
      </c>
      <c r="J832" s="8">
        <f t="shared" ca="1" si="176"/>
        <v>3</v>
      </c>
      <c r="K832" s="8">
        <f t="shared" ca="1" si="177"/>
        <v>-519.90000000000327</v>
      </c>
      <c r="L832" s="8">
        <f t="shared" ca="1" si="178"/>
        <v>2166.0000000000045</v>
      </c>
      <c r="M832" s="9">
        <f ca="1">AVERAGE(E832:OFFSET(E832,-M$5+1,0))</f>
        <v>9041.5010000000002</v>
      </c>
      <c r="N832" s="9">
        <f ca="1">AVERAGE(E832:OFFSET(E832,-N$5+1,0))</f>
        <v>8974.8760000000002</v>
      </c>
      <c r="O832" s="9">
        <f t="shared" ca="1" si="179"/>
        <v>0</v>
      </c>
      <c r="P832" s="14">
        <f t="shared" si="170"/>
        <v>-1.94258567317525</v>
      </c>
      <c r="Q832" s="15">
        <f ca="1">STDEV(P832:OFFSET(P832,-$Q$5+1,0))</f>
        <v>1.386944237635888</v>
      </c>
      <c r="R832" s="15">
        <f ca="1">STDEV(P832:OFFSET(P832,-$R$5+1,0))</f>
        <v>1.1354076380651836</v>
      </c>
      <c r="S832" s="18">
        <f t="shared" si="171"/>
        <v>216.05000000000109</v>
      </c>
      <c r="T832" s="18">
        <f t="shared" si="172"/>
        <v>216.05000000000109</v>
      </c>
      <c r="U832" s="18">
        <f t="shared" si="180"/>
        <v>139.31977904873909</v>
      </c>
      <c r="V832" s="33">
        <f ca="1">AVERAGE(E832:OFFSET(E832,-V$5+1,0))</f>
        <v>8989.8378571428566</v>
      </c>
      <c r="W832" s="33">
        <f t="shared" ca="1" si="173"/>
        <v>9198.8175257159655</v>
      </c>
      <c r="X832" s="33">
        <f t="shared" ca="1" si="174"/>
        <v>8780.8581885697477</v>
      </c>
      <c r="Y832" s="32">
        <f t="shared" ca="1" si="181"/>
        <v>0</v>
      </c>
    </row>
    <row r="833" spans="1:25">
      <c r="A833" s="5">
        <v>39594</v>
      </c>
      <c r="B833" s="4">
        <v>8808.74</v>
      </c>
      <c r="C833" s="4">
        <v>8811.07</v>
      </c>
      <c r="D833" s="4">
        <v>8706.7800000000007</v>
      </c>
      <c r="E833" s="4">
        <v>8707.83</v>
      </c>
      <c r="F833" s="4">
        <v>4512800</v>
      </c>
      <c r="G833" s="8">
        <f t="shared" si="169"/>
        <v>-25.989999999999782</v>
      </c>
      <c r="H833" s="8">
        <f t="shared" si="168"/>
        <v>-100.90999999999985</v>
      </c>
      <c r="I833" s="20">
        <f t="shared" ca="1" si="175"/>
        <v>-1</v>
      </c>
      <c r="J833" s="8">
        <f t="shared" ca="1" si="176"/>
        <v>3</v>
      </c>
      <c r="K833" s="8">
        <f t="shared" ca="1" si="177"/>
        <v>-380.69999999999891</v>
      </c>
      <c r="L833" s="8">
        <f t="shared" ca="1" si="178"/>
        <v>1785.3000000000056</v>
      </c>
      <c r="M833" s="9">
        <f ca="1">AVERAGE(E833:OFFSET(E833,-M$5+1,0))</f>
        <v>9029.2790000000005</v>
      </c>
      <c r="N833" s="9">
        <f ca="1">AVERAGE(E833:OFFSET(E833,-N$5+1,0))</f>
        <v>8962.8760000000002</v>
      </c>
      <c r="O833" s="9">
        <f t="shared" ca="1" si="179"/>
        <v>0</v>
      </c>
      <c r="P833" s="14">
        <f t="shared" si="170"/>
        <v>-1.446792412966402</v>
      </c>
      <c r="Q833" s="15">
        <f ca="1">STDEV(P833:OFFSET(P833,-$Q$5+1,0))</f>
        <v>1.4549481224399983</v>
      </c>
      <c r="R833" s="15">
        <f ca="1">STDEV(P833:OFFSET(P833,-$R$5+1,0))</f>
        <v>1.1193966780528961</v>
      </c>
      <c r="S833" s="18">
        <f t="shared" si="171"/>
        <v>104.28999999999905</v>
      </c>
      <c r="T833" s="18">
        <f t="shared" si="172"/>
        <v>127.94999999999891</v>
      </c>
      <c r="U833" s="18">
        <f t="shared" si="180"/>
        <v>137.80380850890708</v>
      </c>
      <c r="V833" s="33">
        <f ca="1">AVERAGE(E833:OFFSET(E833,-V$5+1,0))</f>
        <v>8979.1564285714267</v>
      </c>
      <c r="W833" s="33">
        <f t="shared" ca="1" si="173"/>
        <v>9185.8621413347864</v>
      </c>
      <c r="X833" s="33">
        <f t="shared" ca="1" si="174"/>
        <v>8772.4507158080669</v>
      </c>
      <c r="Y833" s="32">
        <f t="shared" ca="1" si="181"/>
        <v>-1</v>
      </c>
    </row>
    <row r="834" spans="1:25">
      <c r="A834" s="5">
        <v>39595</v>
      </c>
      <c r="B834" s="4">
        <v>8779.34</v>
      </c>
      <c r="C834" s="4">
        <v>8789.77</v>
      </c>
      <c r="D834" s="4">
        <v>8723.7199999999993</v>
      </c>
      <c r="E834" s="4">
        <v>8778.39</v>
      </c>
      <c r="F834" s="4">
        <v>4165000</v>
      </c>
      <c r="G834" s="8">
        <f t="shared" si="169"/>
        <v>71.510000000000218</v>
      </c>
      <c r="H834" s="8">
        <f t="shared" si="168"/>
        <v>-0.9500000000007276</v>
      </c>
      <c r="I834" s="20">
        <f t="shared" ca="1" si="175"/>
        <v>0</v>
      </c>
      <c r="J834" s="8">
        <f t="shared" ca="1" si="176"/>
        <v>2</v>
      </c>
      <c r="K834" s="8">
        <f t="shared" ca="1" si="177"/>
        <v>212.6299999999992</v>
      </c>
      <c r="L834" s="8">
        <f t="shared" ca="1" si="178"/>
        <v>1997.9300000000048</v>
      </c>
      <c r="M834" s="9">
        <f ca="1">AVERAGE(E834:OFFSET(E834,-M$5+1,0))</f>
        <v>9008.1649999999991</v>
      </c>
      <c r="N834" s="9">
        <f ca="1">AVERAGE(E834:OFFSET(E834,-N$5+1,0))</f>
        <v>8947.8155000000006</v>
      </c>
      <c r="O834" s="9">
        <f t="shared" ca="1" si="179"/>
        <v>0</v>
      </c>
      <c r="P834" s="14">
        <f t="shared" si="170"/>
        <v>0.80703986306735132</v>
      </c>
      <c r="Q834" s="15">
        <f ca="1">STDEV(P834:OFFSET(P834,-$Q$5+1,0))</f>
        <v>1.338676472801495</v>
      </c>
      <c r="R834" s="15">
        <f ca="1">STDEV(P834:OFFSET(P834,-$R$5+1,0))</f>
        <v>1.1258522851248909</v>
      </c>
      <c r="S834" s="18">
        <f t="shared" si="171"/>
        <v>66.050000000001091</v>
      </c>
      <c r="T834" s="18">
        <f t="shared" si="172"/>
        <v>81.940000000000509</v>
      </c>
      <c r="U834" s="18">
        <f t="shared" si="180"/>
        <v>130.35530070771955</v>
      </c>
      <c r="V834" s="33">
        <f ca="1">AVERAGE(E834:OFFSET(E834,-V$5+1,0))</f>
        <v>8968.5885714285723</v>
      </c>
      <c r="W834" s="33">
        <f t="shared" ca="1" si="173"/>
        <v>9164.1215224901516</v>
      </c>
      <c r="X834" s="33">
        <f t="shared" ca="1" si="174"/>
        <v>8773.055620366993</v>
      </c>
      <c r="Y834" s="32">
        <f t="shared" ca="1" si="181"/>
        <v>0</v>
      </c>
    </row>
    <row r="835" spans="1:25">
      <c r="A835" s="5">
        <v>39596</v>
      </c>
      <c r="B835" s="4">
        <v>8826.94</v>
      </c>
      <c r="C835" s="4">
        <v>8834.52</v>
      </c>
      <c r="D835" s="4">
        <v>8665.73</v>
      </c>
      <c r="E835" s="4">
        <v>8665.73</v>
      </c>
      <c r="F835" s="4">
        <v>4378400</v>
      </c>
      <c r="G835" s="8">
        <f t="shared" si="169"/>
        <v>48.550000000001091</v>
      </c>
      <c r="H835" s="8">
        <f t="shared" si="168"/>
        <v>-161.21000000000095</v>
      </c>
      <c r="I835" s="20">
        <f t="shared" ca="1" si="175"/>
        <v>-1</v>
      </c>
      <c r="J835" s="8">
        <f t="shared" ca="1" si="176"/>
        <v>2</v>
      </c>
      <c r="K835" s="8">
        <f t="shared" ca="1" si="177"/>
        <v>-225.31999999999971</v>
      </c>
      <c r="L835" s="8">
        <f t="shared" ca="1" si="178"/>
        <v>1772.6100000000051</v>
      </c>
      <c r="M835" s="9">
        <f ca="1">AVERAGE(E835:OFFSET(E835,-M$5+1,0))</f>
        <v>8972.8959999999988</v>
      </c>
      <c r="N835" s="9">
        <f ca="1">AVERAGE(E835:OFFSET(E835,-N$5+1,0))</f>
        <v>8936.5150000000012</v>
      </c>
      <c r="O835" s="9">
        <f t="shared" ca="1" si="179"/>
        <v>0</v>
      </c>
      <c r="P835" s="14">
        <f t="shared" si="170"/>
        <v>-1.2916852944483759</v>
      </c>
      <c r="Q835" s="15">
        <f ca="1">STDEV(P835:OFFSET(P835,-$Q$5+1,0))</f>
        <v>1.3608591630835203</v>
      </c>
      <c r="R835" s="15">
        <f ca="1">STDEV(P835:OFFSET(P835,-$R$5+1,0))</f>
        <v>1.1413259656402215</v>
      </c>
      <c r="S835" s="18">
        <f t="shared" si="171"/>
        <v>168.79000000000087</v>
      </c>
      <c r="T835" s="18">
        <f t="shared" si="172"/>
        <v>168.79000000000087</v>
      </c>
      <c r="U835" s="18">
        <f t="shared" si="180"/>
        <v>135.47992728002373</v>
      </c>
      <c r="V835" s="33">
        <f ca="1">AVERAGE(E835:OFFSET(E835,-V$5+1,0))</f>
        <v>8954.2392857142841</v>
      </c>
      <c r="W835" s="33">
        <f t="shared" ca="1" si="173"/>
        <v>9157.4591766343201</v>
      </c>
      <c r="X835" s="33">
        <f t="shared" ca="1" si="174"/>
        <v>8751.019394794248</v>
      </c>
      <c r="Y835" s="32">
        <f t="shared" ca="1" si="181"/>
        <v>-1</v>
      </c>
    </row>
    <row r="836" spans="1:25">
      <c r="A836" s="5">
        <v>39597</v>
      </c>
      <c r="B836" s="4">
        <v>8773.81</v>
      </c>
      <c r="C836" s="4">
        <v>8794.02</v>
      </c>
      <c r="D836" s="4">
        <v>8675.7099999999991</v>
      </c>
      <c r="E836" s="4">
        <v>8684.92</v>
      </c>
      <c r="F836" s="4">
        <v>4699200</v>
      </c>
      <c r="G836" s="8">
        <f t="shared" si="169"/>
        <v>108.07999999999993</v>
      </c>
      <c r="H836" s="8">
        <f t="shared" ref="H836:H899" si="182">E836-B836</f>
        <v>-88.889999999999418</v>
      </c>
      <c r="I836" s="20">
        <f t="shared" ca="1" si="175"/>
        <v>0</v>
      </c>
      <c r="J836" s="8">
        <f t="shared" ca="1" si="176"/>
        <v>1</v>
      </c>
      <c r="K836" s="8">
        <f t="shared" ca="1" si="177"/>
        <v>127.27000000000044</v>
      </c>
      <c r="L836" s="8">
        <f t="shared" ca="1" si="178"/>
        <v>1899.8800000000056</v>
      </c>
      <c r="M836" s="9">
        <f ca="1">AVERAGE(E836:OFFSET(E836,-M$5+1,0))</f>
        <v>8925.67</v>
      </c>
      <c r="N836" s="9">
        <f ca="1">AVERAGE(E836:OFFSET(E836,-N$5+1,0))</f>
        <v>8924.7650000000031</v>
      </c>
      <c r="O836" s="9">
        <f t="shared" ca="1" si="179"/>
        <v>0</v>
      </c>
      <c r="P836" s="14">
        <f t="shared" si="170"/>
        <v>0.22120217772574743</v>
      </c>
      <c r="Q836" s="15">
        <f ca="1">STDEV(P836:OFFSET(P836,-$Q$5+1,0))</f>
        <v>1.2098047868078528</v>
      </c>
      <c r="R836" s="15">
        <f ca="1">STDEV(P836:OFFSET(P836,-$R$5+1,0))</f>
        <v>1.1024735382307194</v>
      </c>
      <c r="S836" s="18">
        <f t="shared" si="171"/>
        <v>118.31000000000131</v>
      </c>
      <c r="T836" s="18">
        <f t="shared" si="172"/>
        <v>128.29000000000087</v>
      </c>
      <c r="U836" s="18">
        <f t="shared" si="180"/>
        <v>134.52127030935401</v>
      </c>
      <c r="V836" s="33">
        <f ca="1">AVERAGE(E836:OFFSET(E836,-V$5+1,0))</f>
        <v>8946.562857142857</v>
      </c>
      <c r="W836" s="33">
        <f t="shared" ca="1" si="173"/>
        <v>9148.3447626068883</v>
      </c>
      <c r="X836" s="33">
        <f t="shared" ca="1" si="174"/>
        <v>8744.7809516788257</v>
      </c>
      <c r="Y836" s="32">
        <f t="shared" ca="1" si="181"/>
        <v>0</v>
      </c>
    </row>
    <row r="837" spans="1:25">
      <c r="A837" s="5">
        <v>39598</v>
      </c>
      <c r="B837" s="4">
        <v>8762.2999999999993</v>
      </c>
      <c r="C837" s="4">
        <v>8765.99</v>
      </c>
      <c r="D837" s="4">
        <v>8548.32</v>
      </c>
      <c r="E837" s="4">
        <v>8619.08</v>
      </c>
      <c r="F837" s="4">
        <v>5922200</v>
      </c>
      <c r="G837" s="8">
        <f t="shared" ref="G837:G900" si="183">B837-E836</f>
        <v>77.3799999999992</v>
      </c>
      <c r="H837" s="8">
        <f t="shared" si="182"/>
        <v>-143.21999999999935</v>
      </c>
      <c r="I837" s="20">
        <f t="shared" ca="1" si="175"/>
        <v>0</v>
      </c>
      <c r="J837" s="8">
        <f t="shared" ca="1" si="176"/>
        <v>1</v>
      </c>
      <c r="K837" s="8">
        <f t="shared" ca="1" si="177"/>
        <v>-65.840000000000146</v>
      </c>
      <c r="L837" s="8">
        <f t="shared" ca="1" si="178"/>
        <v>1834.0400000000054</v>
      </c>
      <c r="M837" s="9">
        <f ca="1">AVERAGE(E837:OFFSET(E837,-M$5+1,0))</f>
        <v>8867.8369999999995</v>
      </c>
      <c r="N837" s="9">
        <f ca="1">AVERAGE(E837:OFFSET(E837,-N$5+1,0))</f>
        <v>8907.5375000000022</v>
      </c>
      <c r="O837" s="9">
        <f t="shared" ca="1" si="179"/>
        <v>-1</v>
      </c>
      <c r="P837" s="14">
        <f t="shared" ref="P837:P900" si="184">100*LN(E837/E836)</f>
        <v>-0.76098379253984638</v>
      </c>
      <c r="Q837" s="15">
        <f ca="1">STDEV(P837:OFFSET(P837,-$Q$5+1,0))</f>
        <v>1.1616857766023192</v>
      </c>
      <c r="R837" s="15">
        <f ca="1">STDEV(P837:OFFSET(P837,-$R$5+1,0))</f>
        <v>1.0557193858666098</v>
      </c>
      <c r="S837" s="18">
        <f t="shared" si="171"/>
        <v>217.67000000000007</v>
      </c>
      <c r="T837" s="18">
        <f t="shared" si="172"/>
        <v>217.67000000000007</v>
      </c>
      <c r="U837" s="18">
        <f t="shared" si="180"/>
        <v>145.60776760144014</v>
      </c>
      <c r="V837" s="33">
        <f ca="1">AVERAGE(E837:OFFSET(E837,-V$5+1,0))</f>
        <v>8931.4935714285712</v>
      </c>
      <c r="W837" s="33">
        <f t="shared" ca="1" si="173"/>
        <v>9149.9052228307319</v>
      </c>
      <c r="X837" s="33">
        <f t="shared" ca="1" si="174"/>
        <v>8713.0819200264104</v>
      </c>
      <c r="Y837" s="32">
        <f t="shared" ca="1" si="181"/>
        <v>0</v>
      </c>
    </row>
    <row r="838" spans="1:25">
      <c r="A838" s="5">
        <v>39601</v>
      </c>
      <c r="B838" s="4">
        <v>8638.48</v>
      </c>
      <c r="C838" s="4">
        <v>8724.4699999999993</v>
      </c>
      <c r="D838" s="4">
        <v>8631.4599999999991</v>
      </c>
      <c r="E838" s="4">
        <v>8724.4699999999993</v>
      </c>
      <c r="F838" s="4">
        <v>3714200</v>
      </c>
      <c r="G838" s="8">
        <f t="shared" si="183"/>
        <v>19.399999999999636</v>
      </c>
      <c r="H838" s="8">
        <f t="shared" si="182"/>
        <v>85.989999999999782</v>
      </c>
      <c r="I838" s="20">
        <f t="shared" ca="1" si="175"/>
        <v>0</v>
      </c>
      <c r="J838" s="8">
        <f t="shared" ca="1" si="176"/>
        <v>1</v>
      </c>
      <c r="K838" s="8">
        <f t="shared" ca="1" si="177"/>
        <v>105.38999999999942</v>
      </c>
      <c r="L838" s="8">
        <f t="shared" ca="1" si="178"/>
        <v>1939.4300000000048</v>
      </c>
      <c r="M838" s="9">
        <f ca="1">AVERAGE(E838:OFFSET(E838,-M$5+1,0))</f>
        <v>8810.7639999999992</v>
      </c>
      <c r="N838" s="9">
        <f ca="1">AVERAGE(E838:OFFSET(E838,-N$5+1,0))</f>
        <v>8901.9075000000012</v>
      </c>
      <c r="O838" s="9">
        <f t="shared" ca="1" si="179"/>
        <v>0</v>
      </c>
      <c r="P838" s="14">
        <f t="shared" si="184"/>
        <v>1.2153370816343134</v>
      </c>
      <c r="Q838" s="15">
        <f ca="1">STDEV(P838:OFFSET(P838,-$Q$5+1,0))</f>
        <v>1.1882045443176246</v>
      </c>
      <c r="R838" s="15">
        <f ca="1">STDEV(P838:OFFSET(P838,-$R$5+1,0))</f>
        <v>1.0727301653935502</v>
      </c>
      <c r="S838" s="18">
        <f t="shared" si="171"/>
        <v>93.010000000000218</v>
      </c>
      <c r="T838" s="18">
        <f t="shared" si="172"/>
        <v>105.38999999999942</v>
      </c>
      <c r="U838" s="18">
        <f t="shared" si="180"/>
        <v>140.24539858791474</v>
      </c>
      <c r="V838" s="33">
        <f ca="1">AVERAGE(E838:OFFSET(E838,-V$5+1,0))</f>
        <v>8912.5607142857134</v>
      </c>
      <c r="W838" s="33">
        <f t="shared" ca="1" si="173"/>
        <v>9122.9288121675854</v>
      </c>
      <c r="X838" s="33">
        <f t="shared" ca="1" si="174"/>
        <v>8702.1926164038414</v>
      </c>
      <c r="Y838" s="32">
        <f t="shared" ca="1" si="181"/>
        <v>0</v>
      </c>
    </row>
    <row r="839" spans="1:25">
      <c r="A839" s="5">
        <v>39602</v>
      </c>
      <c r="B839" s="4">
        <v>8664.66</v>
      </c>
      <c r="C839" s="4">
        <v>8693.48</v>
      </c>
      <c r="D839" s="4">
        <v>8558.4599999999991</v>
      </c>
      <c r="E839" s="4">
        <v>8579.43</v>
      </c>
      <c r="F839" s="4">
        <v>3860400</v>
      </c>
      <c r="G839" s="8">
        <f t="shared" si="183"/>
        <v>-59.809999999999491</v>
      </c>
      <c r="H839" s="8">
        <f t="shared" si="182"/>
        <v>-85.229999999999563</v>
      </c>
      <c r="I839" s="20">
        <f t="shared" ca="1" si="175"/>
        <v>-1</v>
      </c>
      <c r="J839" s="8">
        <f t="shared" ca="1" si="176"/>
        <v>1</v>
      </c>
      <c r="K839" s="8">
        <f t="shared" ca="1" si="177"/>
        <v>-145.03999999999905</v>
      </c>
      <c r="L839" s="8">
        <f t="shared" ca="1" si="178"/>
        <v>1794.3900000000058</v>
      </c>
      <c r="M839" s="9">
        <f ca="1">AVERAGE(E839:OFFSET(E839,-M$5+1,0))</f>
        <v>8761.8179999999993</v>
      </c>
      <c r="N839" s="9">
        <f ca="1">AVERAGE(E839:OFFSET(E839,-N$5+1,0))</f>
        <v>8888.0104999999985</v>
      </c>
      <c r="O839" s="9">
        <f t="shared" ca="1" si="179"/>
        <v>0</v>
      </c>
      <c r="P839" s="14">
        <f t="shared" si="184"/>
        <v>-1.6764243531135776</v>
      </c>
      <c r="Q839" s="15">
        <f ca="1">STDEV(P839:OFFSET(P839,-$Q$5+1,0))</f>
        <v>1.0738563291638874</v>
      </c>
      <c r="R839" s="15">
        <f ca="1">STDEV(P839:OFFSET(P839,-$R$5+1,0))</f>
        <v>1.0776974182670638</v>
      </c>
      <c r="S839" s="18">
        <f t="shared" si="171"/>
        <v>135.02000000000044</v>
      </c>
      <c r="T839" s="18">
        <f t="shared" si="172"/>
        <v>166.01000000000022</v>
      </c>
      <c r="U839" s="18">
        <f t="shared" si="180"/>
        <v>143.68067877619279</v>
      </c>
      <c r="V839" s="33">
        <f ca="1">AVERAGE(E839:OFFSET(E839,-V$5+1,0))</f>
        <v>8881.2042857142842</v>
      </c>
      <c r="W839" s="33">
        <f t="shared" ca="1" si="173"/>
        <v>9096.725303878573</v>
      </c>
      <c r="X839" s="33">
        <f t="shared" ca="1" si="174"/>
        <v>8665.6832675499954</v>
      </c>
      <c r="Y839" s="32">
        <f t="shared" ca="1" si="181"/>
        <v>-1</v>
      </c>
    </row>
    <row r="840" spans="1:25">
      <c r="A840" s="5">
        <v>39603</v>
      </c>
      <c r="B840" s="4">
        <v>8594.8799999999992</v>
      </c>
      <c r="C840" s="4">
        <v>8635.94</v>
      </c>
      <c r="D840" s="4">
        <v>8562.1299999999992</v>
      </c>
      <c r="E840" s="4">
        <v>8627.7999999999993</v>
      </c>
      <c r="F840" s="4">
        <v>3460400</v>
      </c>
      <c r="G840" s="8">
        <f t="shared" si="183"/>
        <v>15.449999999998909</v>
      </c>
      <c r="H840" s="8">
        <f t="shared" si="182"/>
        <v>32.920000000000073</v>
      </c>
      <c r="I840" s="20">
        <f t="shared" ca="1" si="175"/>
        <v>0</v>
      </c>
      <c r="J840" s="8">
        <f t="shared" ca="1" si="176"/>
        <v>0</v>
      </c>
      <c r="K840" s="8">
        <f t="shared" ca="1" si="177"/>
        <v>15.449999999998909</v>
      </c>
      <c r="L840" s="8">
        <f t="shared" ca="1" si="178"/>
        <v>1809.8400000000047</v>
      </c>
      <c r="M840" s="9">
        <f ca="1">AVERAGE(E840:OFFSET(E840,-M$5+1,0))</f>
        <v>8723.0410000000011</v>
      </c>
      <c r="N840" s="9">
        <f ca="1">AVERAGE(E840:OFFSET(E840,-N$5+1,0))</f>
        <v>8873.0834999999988</v>
      </c>
      <c r="O840" s="9">
        <f t="shared" ca="1" si="179"/>
        <v>0</v>
      </c>
      <c r="P840" s="14">
        <f t="shared" si="184"/>
        <v>0.56220701885421465</v>
      </c>
      <c r="Q840" s="15">
        <f ca="1">STDEV(P840:OFFSET(P840,-$Q$5+1,0))</f>
        <v>1.1300130722707216</v>
      </c>
      <c r="R840" s="15">
        <f ca="1">STDEV(P840:OFFSET(P840,-$R$5+1,0))</f>
        <v>1.0771802602324043</v>
      </c>
      <c r="S840" s="18">
        <f t="shared" si="171"/>
        <v>73.81000000000131</v>
      </c>
      <c r="T840" s="18">
        <f t="shared" si="172"/>
        <v>73.81000000000131</v>
      </c>
      <c r="U840" s="18">
        <f t="shared" si="180"/>
        <v>134.36458827270059</v>
      </c>
      <c r="V840" s="33">
        <f ca="1">AVERAGE(E840:OFFSET(E840,-V$5+1,0))</f>
        <v>8843.3914285714291</v>
      </c>
      <c r="W840" s="33">
        <f t="shared" ca="1" si="173"/>
        <v>9044.9383109804803</v>
      </c>
      <c r="X840" s="33">
        <f t="shared" ca="1" si="174"/>
        <v>8641.8445461623778</v>
      </c>
      <c r="Y840" s="32">
        <f t="shared" ca="1" si="181"/>
        <v>0</v>
      </c>
    </row>
    <row r="841" spans="1:25">
      <c r="A841" s="5">
        <v>39604</v>
      </c>
      <c r="B841" s="4">
        <v>8649.7199999999993</v>
      </c>
      <c r="C841" s="4">
        <v>8745.9</v>
      </c>
      <c r="D841" s="4">
        <v>8520.7999999999993</v>
      </c>
      <c r="E841" s="4">
        <v>8738.4599999999991</v>
      </c>
      <c r="F841" s="4">
        <v>4056600</v>
      </c>
      <c r="G841" s="8">
        <f t="shared" si="183"/>
        <v>21.920000000000073</v>
      </c>
      <c r="H841" s="8">
        <f t="shared" si="182"/>
        <v>88.739999999999782</v>
      </c>
      <c r="I841" s="20">
        <f t="shared" ca="1" si="175"/>
        <v>0</v>
      </c>
      <c r="J841" s="8">
        <f t="shared" ca="1" si="176"/>
        <v>0</v>
      </c>
      <c r="K841" s="8">
        <f t="shared" ca="1" si="177"/>
        <v>0</v>
      </c>
      <c r="L841" s="8">
        <f t="shared" ca="1" si="178"/>
        <v>1809.8400000000047</v>
      </c>
      <c r="M841" s="9">
        <f ca="1">AVERAGE(E841:OFFSET(E841,-M$5+1,0))</f>
        <v>8696.0839999999989</v>
      </c>
      <c r="N841" s="9">
        <f ca="1">AVERAGE(E841:OFFSET(E841,-N$5+1,0))</f>
        <v>8866.6754999999976</v>
      </c>
      <c r="O841" s="9">
        <f t="shared" ca="1" si="179"/>
        <v>0</v>
      </c>
      <c r="P841" s="14">
        <f t="shared" si="184"/>
        <v>1.2744424853988188</v>
      </c>
      <c r="Q841" s="15">
        <f ca="1">STDEV(P841:OFFSET(P841,-$Q$5+1,0))</f>
        <v>1.2525205513030038</v>
      </c>
      <c r="R841" s="15">
        <f ca="1">STDEV(P841:OFFSET(P841,-$R$5+1,0))</f>
        <v>1.0961906171390516</v>
      </c>
      <c r="S841" s="18">
        <f t="shared" si="171"/>
        <v>225.10000000000036</v>
      </c>
      <c r="T841" s="18">
        <f t="shared" si="172"/>
        <v>225.10000000000036</v>
      </c>
      <c r="U841" s="18">
        <f t="shared" si="180"/>
        <v>146.4626431696739</v>
      </c>
      <c r="V841" s="33">
        <f ca="1">AVERAGE(E841:OFFSET(E841,-V$5+1,0))</f>
        <v>8810.6092857142849</v>
      </c>
      <c r="W841" s="33">
        <f t="shared" ca="1" si="173"/>
        <v>9030.3032504687963</v>
      </c>
      <c r="X841" s="33">
        <f t="shared" ca="1" si="174"/>
        <v>8590.9153209597735</v>
      </c>
      <c r="Y841" s="32">
        <f t="shared" ca="1" si="181"/>
        <v>0</v>
      </c>
    </row>
    <row r="842" spans="1:25">
      <c r="A842" s="5">
        <v>39605</v>
      </c>
      <c r="B842" s="4">
        <v>8802.51</v>
      </c>
      <c r="C842" s="4">
        <v>8809.33</v>
      </c>
      <c r="D842" s="4">
        <v>8745.35</v>
      </c>
      <c r="E842" s="4">
        <v>8745.35</v>
      </c>
      <c r="F842" s="4">
        <v>4092600</v>
      </c>
      <c r="G842" s="8">
        <f t="shared" si="183"/>
        <v>64.050000000001091</v>
      </c>
      <c r="H842" s="8">
        <f t="shared" si="182"/>
        <v>-57.159999999999854</v>
      </c>
      <c r="I842" s="20">
        <f t="shared" ca="1" si="175"/>
        <v>0</v>
      </c>
      <c r="J842" s="8">
        <f t="shared" ca="1" si="176"/>
        <v>0</v>
      </c>
      <c r="K842" s="8">
        <f t="shared" ca="1" si="177"/>
        <v>0</v>
      </c>
      <c r="L842" s="8">
        <f t="shared" ca="1" si="178"/>
        <v>1809.8400000000047</v>
      </c>
      <c r="M842" s="9">
        <f ca="1">AVERAGE(E842:OFFSET(E842,-M$5+1,0))</f>
        <v>8687.1460000000025</v>
      </c>
      <c r="N842" s="9">
        <f ca="1">AVERAGE(E842:OFFSET(E842,-N$5+1,0))</f>
        <v>8864.3234999999986</v>
      </c>
      <c r="O842" s="9">
        <f t="shared" ca="1" si="179"/>
        <v>0</v>
      </c>
      <c r="P842" s="14">
        <f t="shared" si="184"/>
        <v>7.881577707225898E-2</v>
      </c>
      <c r="Q842" s="15">
        <f ca="1">STDEV(P842:OFFSET(P842,-$Q$5+1,0))</f>
        <v>1.1141283464059391</v>
      </c>
      <c r="R842" s="15">
        <f ca="1">STDEV(P842:OFFSET(P842,-$R$5+1,0))</f>
        <v>1.0555937801058544</v>
      </c>
      <c r="S842" s="18">
        <f t="shared" si="171"/>
        <v>63.979999999999563</v>
      </c>
      <c r="T842" s="18">
        <f t="shared" si="172"/>
        <v>70.8700000000008</v>
      </c>
      <c r="U842" s="18">
        <f t="shared" si="180"/>
        <v>136.38362408038415</v>
      </c>
      <c r="V842" s="33">
        <f ca="1">AVERAGE(E842:OFFSET(E842,-V$5+1,0))</f>
        <v>8771.334285714287</v>
      </c>
      <c r="W842" s="33">
        <f t="shared" ca="1" si="173"/>
        <v>8975.9097218348634</v>
      </c>
      <c r="X842" s="33">
        <f t="shared" ca="1" si="174"/>
        <v>8566.7588495937107</v>
      </c>
      <c r="Y842" s="32">
        <f t="shared" ca="1" si="181"/>
        <v>0</v>
      </c>
    </row>
    <row r="843" spans="1:25">
      <c r="A843" s="5">
        <v>39608</v>
      </c>
      <c r="B843" s="4">
        <v>8522.3700000000008</v>
      </c>
      <c r="C843" s="4">
        <v>8596.23</v>
      </c>
      <c r="D843" s="4">
        <v>8514.93</v>
      </c>
      <c r="E843" s="4">
        <v>8587.9599999999991</v>
      </c>
      <c r="F843" s="4">
        <v>3553800</v>
      </c>
      <c r="G843" s="8">
        <f t="shared" si="183"/>
        <v>-222.97999999999956</v>
      </c>
      <c r="H843" s="8">
        <f t="shared" si="182"/>
        <v>65.589999999998327</v>
      </c>
      <c r="I843" s="20">
        <f t="shared" ca="1" si="175"/>
        <v>0</v>
      </c>
      <c r="J843" s="8">
        <f t="shared" ca="1" si="176"/>
        <v>0</v>
      </c>
      <c r="K843" s="8">
        <f t="shared" ca="1" si="177"/>
        <v>0</v>
      </c>
      <c r="L843" s="8">
        <f t="shared" ca="1" si="178"/>
        <v>1809.8400000000047</v>
      </c>
      <c r="M843" s="9">
        <f ca="1">AVERAGE(E843:OFFSET(E843,-M$5+1,0))</f>
        <v>8675.1589999999997</v>
      </c>
      <c r="N843" s="9">
        <f ca="1">AVERAGE(E843:OFFSET(E843,-N$5+1,0))</f>
        <v>8852.2189999999991</v>
      </c>
      <c r="O843" s="9">
        <f t="shared" ca="1" si="179"/>
        <v>0</v>
      </c>
      <c r="P843" s="14">
        <f t="shared" si="184"/>
        <v>-1.8160908196049437</v>
      </c>
      <c r="Q843" s="15">
        <f ca="1">STDEV(P843:OFFSET(P843,-$Q$5+1,0))</f>
        <v>1.1684640256194585</v>
      </c>
      <c r="R843" s="15">
        <f ca="1">STDEV(P843:OFFSET(P843,-$R$5+1,0))</f>
        <v>1.0815794837955877</v>
      </c>
      <c r="S843" s="18">
        <f t="shared" si="171"/>
        <v>81.299999999999272</v>
      </c>
      <c r="T843" s="18">
        <f t="shared" si="172"/>
        <v>230.42000000000007</v>
      </c>
      <c r="U843" s="18">
        <f t="shared" si="180"/>
        <v>148.92180753633295</v>
      </c>
      <c r="V843" s="33">
        <f ca="1">AVERAGE(E843:OFFSET(E843,-V$5+1,0))</f>
        <v>8736.9821428571431</v>
      </c>
      <c r="W843" s="33">
        <f t="shared" ca="1" si="173"/>
        <v>8960.3648541616421</v>
      </c>
      <c r="X843" s="33">
        <f t="shared" ca="1" si="174"/>
        <v>8513.5994315526441</v>
      </c>
      <c r="Y843" s="32">
        <f t="shared" ca="1" si="181"/>
        <v>0</v>
      </c>
    </row>
    <row r="844" spans="1:25">
      <c r="A844" s="5">
        <v>39609</v>
      </c>
      <c r="B844" s="4">
        <v>8581.99</v>
      </c>
      <c r="C844" s="4">
        <v>8602.11</v>
      </c>
      <c r="D844" s="4">
        <v>8370</v>
      </c>
      <c r="E844" s="4">
        <v>8370</v>
      </c>
      <c r="F844" s="4">
        <v>4150800</v>
      </c>
      <c r="G844" s="8">
        <f t="shared" si="183"/>
        <v>-5.9699999999993452</v>
      </c>
      <c r="H844" s="8">
        <f t="shared" si="182"/>
        <v>-211.98999999999978</v>
      </c>
      <c r="I844" s="20">
        <f t="shared" ca="1" si="175"/>
        <v>-1</v>
      </c>
      <c r="J844" s="8">
        <f t="shared" ca="1" si="176"/>
        <v>0</v>
      </c>
      <c r="K844" s="8">
        <f t="shared" ca="1" si="177"/>
        <v>0</v>
      </c>
      <c r="L844" s="8">
        <f t="shared" ca="1" si="178"/>
        <v>1809.8400000000047</v>
      </c>
      <c r="M844" s="9">
        <f ca="1">AVERAGE(E844:OFFSET(E844,-M$5+1,0))</f>
        <v>8634.3200000000015</v>
      </c>
      <c r="N844" s="9">
        <f ca="1">AVERAGE(E844:OFFSET(E844,-N$5+1,0))</f>
        <v>8821.2424999999985</v>
      </c>
      <c r="O844" s="9">
        <f t="shared" ca="1" si="179"/>
        <v>0</v>
      </c>
      <c r="P844" s="14">
        <f t="shared" si="184"/>
        <v>-2.5707337842449878</v>
      </c>
      <c r="Q844" s="15">
        <f ca="1">STDEV(P844:OFFSET(P844,-$Q$5+1,0))</f>
        <v>1.3403060862996232</v>
      </c>
      <c r="R844" s="15">
        <f ca="1">STDEV(P844:OFFSET(P844,-$R$5+1,0))</f>
        <v>1.1504290114649498</v>
      </c>
      <c r="S844" s="18">
        <f t="shared" si="171"/>
        <v>232.11000000000058</v>
      </c>
      <c r="T844" s="18">
        <f t="shared" si="172"/>
        <v>232.11000000000058</v>
      </c>
      <c r="U844" s="18">
        <f t="shared" si="180"/>
        <v>160.01356653148866</v>
      </c>
      <c r="V844" s="33">
        <f ca="1">AVERAGE(E844:OFFSET(E844,-V$5+1,0))</f>
        <v>8690.8700000000008</v>
      </c>
      <c r="W844" s="33">
        <f t="shared" ca="1" si="173"/>
        <v>8930.8903497972333</v>
      </c>
      <c r="X844" s="33">
        <f t="shared" ca="1" si="174"/>
        <v>8450.8496502027683</v>
      </c>
      <c r="Y844" s="32">
        <f t="shared" ca="1" si="181"/>
        <v>-1</v>
      </c>
    </row>
    <row r="845" spans="1:25">
      <c r="A845" s="5">
        <v>39610</v>
      </c>
      <c r="B845" s="4">
        <v>8402.31</v>
      </c>
      <c r="C845" s="4">
        <v>8423.42</v>
      </c>
      <c r="D845" s="4">
        <v>8297.92</v>
      </c>
      <c r="E845" s="4">
        <v>8345.59</v>
      </c>
      <c r="F845" s="4">
        <v>3919600</v>
      </c>
      <c r="G845" s="8">
        <f t="shared" si="183"/>
        <v>32.309999999999491</v>
      </c>
      <c r="H845" s="8">
        <f t="shared" si="182"/>
        <v>-56.719999999999345</v>
      </c>
      <c r="I845" s="20">
        <f t="shared" ca="1" si="175"/>
        <v>0</v>
      </c>
      <c r="J845" s="8">
        <f t="shared" ca="1" si="176"/>
        <v>-1</v>
      </c>
      <c r="K845" s="8">
        <f t="shared" ca="1" si="177"/>
        <v>56.719999999999345</v>
      </c>
      <c r="L845" s="8">
        <f t="shared" ca="1" si="178"/>
        <v>1866.560000000004</v>
      </c>
      <c r="M845" s="9">
        <f ca="1">AVERAGE(E845:OFFSET(E845,-M$5+1,0))</f>
        <v>8602.3060000000005</v>
      </c>
      <c r="N845" s="9">
        <f ca="1">AVERAGE(E845:OFFSET(E845,-N$5+1,0))</f>
        <v>8787.6009999999987</v>
      </c>
      <c r="O845" s="9">
        <f t="shared" ca="1" si="179"/>
        <v>0</v>
      </c>
      <c r="P845" s="14">
        <f t="shared" si="184"/>
        <v>-0.29206288682107912</v>
      </c>
      <c r="Q845" s="15">
        <f ca="1">STDEV(P845:OFFSET(P845,-$Q$5+1,0))</f>
        <v>1.3096705232869321</v>
      </c>
      <c r="R845" s="15">
        <f ca="1">STDEV(P845:OFFSET(P845,-$R$5+1,0))</f>
        <v>1.1476087666880475</v>
      </c>
      <c r="S845" s="18">
        <f t="shared" si="171"/>
        <v>125.5</v>
      </c>
      <c r="T845" s="18">
        <f t="shared" si="172"/>
        <v>125.5</v>
      </c>
      <c r="U845" s="18">
        <f t="shared" si="180"/>
        <v>155.41175766062349</v>
      </c>
      <c r="V845" s="33">
        <f ca="1">AVERAGE(E845:OFFSET(E845,-V$5+1,0))</f>
        <v>8643.5528571428567</v>
      </c>
      <c r="W845" s="33">
        <f t="shared" ca="1" si="173"/>
        <v>8876.6704936337919</v>
      </c>
      <c r="X845" s="33">
        <f t="shared" ca="1" si="174"/>
        <v>8410.4352206519216</v>
      </c>
      <c r="Y845" s="32">
        <f t="shared" ca="1" si="181"/>
        <v>0</v>
      </c>
    </row>
    <row r="846" spans="1:25">
      <c r="A846" s="5">
        <v>39611</v>
      </c>
      <c r="B846" s="4">
        <v>8212.34</v>
      </c>
      <c r="C846" s="4">
        <v>8216.43</v>
      </c>
      <c r="D846" s="4">
        <v>8053.07</v>
      </c>
      <c r="E846" s="4">
        <v>8062.31</v>
      </c>
      <c r="F846" s="4">
        <v>4918400</v>
      </c>
      <c r="G846" s="8">
        <f t="shared" si="183"/>
        <v>-133.25</v>
      </c>
      <c r="H846" s="8">
        <f t="shared" si="182"/>
        <v>-150.02999999999975</v>
      </c>
      <c r="I846" s="20">
        <f t="shared" ca="1" si="175"/>
        <v>0</v>
      </c>
      <c r="J846" s="8">
        <f t="shared" ca="1" si="176"/>
        <v>-1</v>
      </c>
      <c r="K846" s="8">
        <f t="shared" ca="1" si="177"/>
        <v>283.27999999999975</v>
      </c>
      <c r="L846" s="8">
        <f t="shared" ca="1" si="178"/>
        <v>2149.8400000000038</v>
      </c>
      <c r="M846" s="9">
        <f ca="1">AVERAGE(E846:OFFSET(E846,-M$5+1,0))</f>
        <v>8540.0449999999983</v>
      </c>
      <c r="N846" s="9">
        <f ca="1">AVERAGE(E846:OFFSET(E846,-N$5+1,0))</f>
        <v>8732.8575000000001</v>
      </c>
      <c r="O846" s="9">
        <f t="shared" ca="1" si="179"/>
        <v>0</v>
      </c>
      <c r="P846" s="14">
        <f t="shared" si="184"/>
        <v>-3.4533139680435165</v>
      </c>
      <c r="Q846" s="15">
        <f ca="1">STDEV(P846:OFFSET(P846,-$Q$5+1,0))</f>
        <v>1.6054415212140134</v>
      </c>
      <c r="R846" s="15">
        <f ca="1">STDEV(P846:OFFSET(P846,-$R$5+1,0))</f>
        <v>1.2248090768384161</v>
      </c>
      <c r="S846" s="18">
        <f t="shared" si="171"/>
        <v>163.36000000000058</v>
      </c>
      <c r="T846" s="18">
        <f t="shared" si="172"/>
        <v>292.52000000000044</v>
      </c>
      <c r="U846" s="18">
        <f t="shared" si="180"/>
        <v>173.69285663920709</v>
      </c>
      <c r="V846" s="33">
        <f ca="1">AVERAGE(E846:OFFSET(E846,-V$5+1,0))</f>
        <v>8588.380000000001</v>
      </c>
      <c r="W846" s="33">
        <f t="shared" ca="1" si="173"/>
        <v>8848.9192849588107</v>
      </c>
      <c r="X846" s="33">
        <f t="shared" ca="1" si="174"/>
        <v>8327.8407150411913</v>
      </c>
      <c r="Y846" s="32">
        <f t="shared" ca="1" si="181"/>
        <v>0</v>
      </c>
    </row>
    <row r="847" spans="1:25">
      <c r="A847" s="5">
        <v>39612</v>
      </c>
      <c r="B847" s="4">
        <v>8119.49</v>
      </c>
      <c r="C847" s="4">
        <v>8161.64</v>
      </c>
      <c r="D847" s="4">
        <v>8042.89</v>
      </c>
      <c r="E847" s="4">
        <v>8105.59</v>
      </c>
      <c r="F847" s="4">
        <v>4248200</v>
      </c>
      <c r="G847" s="8">
        <f t="shared" si="183"/>
        <v>57.179999999999382</v>
      </c>
      <c r="H847" s="8">
        <f t="shared" si="182"/>
        <v>-13.899999999999636</v>
      </c>
      <c r="I847" s="20">
        <f t="shared" ca="1" si="175"/>
        <v>0</v>
      </c>
      <c r="J847" s="8">
        <f t="shared" ca="1" si="176"/>
        <v>-1</v>
      </c>
      <c r="K847" s="8">
        <f t="shared" ca="1" si="177"/>
        <v>-43.279999999999745</v>
      </c>
      <c r="L847" s="8">
        <f t="shared" ca="1" si="178"/>
        <v>2106.560000000004</v>
      </c>
      <c r="M847" s="9">
        <f ca="1">AVERAGE(E847:OFFSET(E847,-M$5+1,0))</f>
        <v>8488.6959999999999</v>
      </c>
      <c r="N847" s="9">
        <f ca="1">AVERAGE(E847:OFFSET(E847,-N$5+1,0))</f>
        <v>8678.2664999999997</v>
      </c>
      <c r="O847" s="9">
        <f t="shared" ca="1" si="179"/>
        <v>0</v>
      </c>
      <c r="P847" s="14">
        <f t="shared" si="184"/>
        <v>0.5353831156757386</v>
      </c>
      <c r="Q847" s="15">
        <f ca="1">STDEV(P847:OFFSET(P847,-$Q$5+1,0))</f>
        <v>1.6554673406350522</v>
      </c>
      <c r="R847" s="15">
        <f ca="1">STDEV(P847:OFFSET(P847,-$R$5+1,0))</f>
        <v>1.2286670618643059</v>
      </c>
      <c r="S847" s="18">
        <f t="shared" si="171"/>
        <v>118.75</v>
      </c>
      <c r="T847" s="18">
        <f t="shared" si="172"/>
        <v>118.75</v>
      </c>
      <c r="U847" s="18">
        <f t="shared" si="180"/>
        <v>166.36714242064616</v>
      </c>
      <c r="V847" s="33">
        <f ca="1">AVERAGE(E847:OFFSET(E847,-V$5+1,0))</f>
        <v>8545.3628571428562</v>
      </c>
      <c r="W847" s="33">
        <f t="shared" ca="1" si="173"/>
        <v>8794.913570773826</v>
      </c>
      <c r="X847" s="33">
        <f t="shared" ca="1" si="174"/>
        <v>8295.8121435118865</v>
      </c>
      <c r="Y847" s="32">
        <f t="shared" ca="1" si="181"/>
        <v>0</v>
      </c>
    </row>
    <row r="848" spans="1:25">
      <c r="A848" s="5">
        <v>39615</v>
      </c>
      <c r="B848" s="4">
        <v>8191.22</v>
      </c>
      <c r="C848" s="4">
        <v>8227.39</v>
      </c>
      <c r="D848" s="4">
        <v>8139.84</v>
      </c>
      <c r="E848" s="4">
        <v>8169.77</v>
      </c>
      <c r="F848" s="4">
        <v>3585400</v>
      </c>
      <c r="G848" s="8">
        <f t="shared" si="183"/>
        <v>85.630000000000109</v>
      </c>
      <c r="H848" s="8">
        <f t="shared" si="182"/>
        <v>-21.449999999999818</v>
      </c>
      <c r="I848" s="20">
        <f t="shared" ca="1" si="175"/>
        <v>0</v>
      </c>
      <c r="J848" s="8">
        <f t="shared" ca="1" si="176"/>
        <v>-1</v>
      </c>
      <c r="K848" s="8">
        <f t="shared" ca="1" si="177"/>
        <v>-64.180000000000291</v>
      </c>
      <c r="L848" s="8">
        <f t="shared" ca="1" si="178"/>
        <v>2042.3800000000037</v>
      </c>
      <c r="M848" s="9">
        <f ca="1">AVERAGE(E848:OFFSET(E848,-M$5+1,0))</f>
        <v>8433.2259999999987</v>
      </c>
      <c r="N848" s="9">
        <f ca="1">AVERAGE(E848:OFFSET(E848,-N$5+1,0))</f>
        <v>8621.994999999999</v>
      </c>
      <c r="O848" s="9">
        <f t="shared" ca="1" si="179"/>
        <v>0</v>
      </c>
      <c r="P848" s="14">
        <f t="shared" si="184"/>
        <v>0.78868095913615011</v>
      </c>
      <c r="Q848" s="15">
        <f ca="1">STDEV(P848:OFFSET(P848,-$Q$5+1,0))</f>
        <v>1.607889471628305</v>
      </c>
      <c r="R848" s="15">
        <f ca="1">STDEV(P848:OFFSET(P848,-$R$5+1,0))</f>
        <v>1.2403096579425559</v>
      </c>
      <c r="S848" s="18">
        <f t="shared" si="171"/>
        <v>87.549999999999272</v>
      </c>
      <c r="T848" s="18">
        <f t="shared" si="172"/>
        <v>121.79999999999927</v>
      </c>
      <c r="U848" s="18">
        <f t="shared" si="180"/>
        <v>160.42485676455991</v>
      </c>
      <c r="V848" s="33">
        <f ca="1">AVERAGE(E848:OFFSET(E848,-V$5+1,0))</f>
        <v>8501.8900000000012</v>
      </c>
      <c r="W848" s="33">
        <f t="shared" ca="1" si="173"/>
        <v>8742.5272851468417</v>
      </c>
      <c r="X848" s="33">
        <f t="shared" ca="1" si="174"/>
        <v>8261.2527148531608</v>
      </c>
      <c r="Y848" s="32">
        <f t="shared" ca="1" si="181"/>
        <v>0</v>
      </c>
    </row>
    <row r="849" spans="1:25">
      <c r="A849" s="5">
        <v>39616</v>
      </c>
      <c r="B849" s="4">
        <v>8182.35</v>
      </c>
      <c r="C849" s="4">
        <v>8203.98</v>
      </c>
      <c r="D849" s="4">
        <v>8067.96</v>
      </c>
      <c r="E849" s="4">
        <v>8201.7900000000009</v>
      </c>
      <c r="F849" s="4">
        <v>3545600</v>
      </c>
      <c r="G849" s="8">
        <f t="shared" si="183"/>
        <v>12.579999999999927</v>
      </c>
      <c r="H849" s="8">
        <f t="shared" si="182"/>
        <v>19.440000000000509</v>
      </c>
      <c r="I849" s="20">
        <f t="shared" ca="1" si="175"/>
        <v>0</v>
      </c>
      <c r="J849" s="8">
        <f t="shared" ca="1" si="176"/>
        <v>-1</v>
      </c>
      <c r="K849" s="8">
        <f t="shared" ca="1" si="177"/>
        <v>-32.020000000000437</v>
      </c>
      <c r="L849" s="8">
        <f t="shared" ca="1" si="178"/>
        <v>2010.3600000000033</v>
      </c>
      <c r="M849" s="9">
        <f ca="1">AVERAGE(E849:OFFSET(E849,-M$5+1,0))</f>
        <v>8395.4619999999995</v>
      </c>
      <c r="N849" s="9">
        <f ca="1">AVERAGE(E849:OFFSET(E849,-N$5+1,0))</f>
        <v>8578.64</v>
      </c>
      <c r="O849" s="9">
        <f t="shared" ca="1" si="179"/>
        <v>0</v>
      </c>
      <c r="P849" s="14">
        <f t="shared" si="184"/>
        <v>0.39116664298963905</v>
      </c>
      <c r="Q849" s="15">
        <f ca="1">STDEV(P849:OFFSET(P849,-$Q$5+1,0))</f>
        <v>1.5951084042500117</v>
      </c>
      <c r="R849" s="15">
        <f ca="1">STDEV(P849:OFFSET(P849,-$R$5+1,0))</f>
        <v>1.2433504657084562</v>
      </c>
      <c r="S849" s="18">
        <f t="shared" si="171"/>
        <v>136.01999999999953</v>
      </c>
      <c r="T849" s="18">
        <f t="shared" si="172"/>
        <v>136.01999999999953</v>
      </c>
      <c r="U849" s="18">
        <f t="shared" si="180"/>
        <v>157.17087586261852</v>
      </c>
      <c r="V849" s="33">
        <f ca="1">AVERAGE(E849:OFFSET(E849,-V$5+1,0))</f>
        <v>8468.7514285714278</v>
      </c>
      <c r="W849" s="33">
        <f t="shared" ca="1" si="173"/>
        <v>8704.5077423653547</v>
      </c>
      <c r="X849" s="33">
        <f t="shared" ca="1" si="174"/>
        <v>8232.9951147775009</v>
      </c>
      <c r="Y849" s="32">
        <f t="shared" ca="1" si="181"/>
        <v>0</v>
      </c>
    </row>
    <row r="850" spans="1:25">
      <c r="A850" s="5">
        <v>39617</v>
      </c>
      <c r="B850" s="4">
        <v>8158.64</v>
      </c>
      <c r="C850" s="4">
        <v>8253.85</v>
      </c>
      <c r="D850" s="4">
        <v>8148.61</v>
      </c>
      <c r="E850" s="4">
        <v>8217.58</v>
      </c>
      <c r="F850" s="4">
        <v>3427200</v>
      </c>
      <c r="G850" s="8">
        <f t="shared" si="183"/>
        <v>-43.150000000000546</v>
      </c>
      <c r="H850" s="8">
        <f t="shared" si="182"/>
        <v>58.9399999999996</v>
      </c>
      <c r="I850" s="20">
        <f t="shared" ca="1" si="175"/>
        <v>0</v>
      </c>
      <c r="J850" s="8">
        <f t="shared" ca="1" si="176"/>
        <v>-1</v>
      </c>
      <c r="K850" s="8">
        <f t="shared" ca="1" si="177"/>
        <v>-15.789999999999054</v>
      </c>
      <c r="L850" s="8">
        <f t="shared" ca="1" si="178"/>
        <v>1994.5700000000043</v>
      </c>
      <c r="M850" s="9">
        <f ca="1">AVERAGE(E850:OFFSET(E850,-M$5+1,0))</f>
        <v>8354.44</v>
      </c>
      <c r="N850" s="9">
        <f ca="1">AVERAGE(E850:OFFSET(E850,-N$5+1,0))</f>
        <v>8538.7404999999999</v>
      </c>
      <c r="O850" s="9">
        <f t="shared" ca="1" si="179"/>
        <v>0</v>
      </c>
      <c r="P850" s="14">
        <f t="shared" si="184"/>
        <v>0.19233386990575063</v>
      </c>
      <c r="Q850" s="15">
        <f ca="1">STDEV(P850:OFFSET(P850,-$Q$5+1,0))</f>
        <v>1.5731629555609918</v>
      </c>
      <c r="R850" s="15">
        <f ca="1">STDEV(P850:OFFSET(P850,-$R$5+1,0))</f>
        <v>1.2446271783177678</v>
      </c>
      <c r="S850" s="18">
        <f t="shared" si="171"/>
        <v>105.24000000000069</v>
      </c>
      <c r="T850" s="18">
        <f t="shared" si="172"/>
        <v>105.24000000000069</v>
      </c>
      <c r="U850" s="18">
        <f t="shared" si="180"/>
        <v>150.24675908093616</v>
      </c>
      <c r="V850" s="33">
        <f ca="1">AVERAGE(E850:OFFSET(E850,-V$5+1,0))</f>
        <v>8435.369999999999</v>
      </c>
      <c r="W850" s="33">
        <f t="shared" ca="1" si="173"/>
        <v>8660.7401386214024</v>
      </c>
      <c r="X850" s="33">
        <f t="shared" ca="1" si="174"/>
        <v>8209.9998613785956</v>
      </c>
      <c r="Y850" s="32">
        <f t="shared" ca="1" si="181"/>
        <v>0</v>
      </c>
    </row>
    <row r="851" spans="1:25">
      <c r="A851" s="5">
        <v>39618</v>
      </c>
      <c r="B851" s="4">
        <v>8075.26</v>
      </c>
      <c r="C851" s="4">
        <v>8107.2</v>
      </c>
      <c r="D851" s="4">
        <v>8044.66</v>
      </c>
      <c r="E851" s="4">
        <v>8047.74</v>
      </c>
      <c r="F851" s="4">
        <v>3587000</v>
      </c>
      <c r="G851" s="8">
        <f t="shared" si="183"/>
        <v>-142.31999999999971</v>
      </c>
      <c r="H851" s="8">
        <f t="shared" si="182"/>
        <v>-27.520000000000437</v>
      </c>
      <c r="I851" s="20">
        <f t="shared" ca="1" si="175"/>
        <v>-1</v>
      </c>
      <c r="J851" s="8">
        <f t="shared" ca="1" si="176"/>
        <v>-1</v>
      </c>
      <c r="K851" s="8">
        <f t="shared" ca="1" si="177"/>
        <v>169.84000000000015</v>
      </c>
      <c r="L851" s="8">
        <f t="shared" ca="1" si="178"/>
        <v>2164.4100000000044</v>
      </c>
      <c r="M851" s="9">
        <f ca="1">AVERAGE(E851:OFFSET(E851,-M$5+1,0))</f>
        <v>8285.3679999999986</v>
      </c>
      <c r="N851" s="9">
        <f ca="1">AVERAGE(E851:OFFSET(E851,-N$5+1,0))</f>
        <v>8490.7259999999987</v>
      </c>
      <c r="O851" s="9">
        <f t="shared" ca="1" si="179"/>
        <v>0</v>
      </c>
      <c r="P851" s="14">
        <f t="shared" si="184"/>
        <v>-2.0884455157304709</v>
      </c>
      <c r="Q851" s="15">
        <f ca="1">STDEV(P851:OFFSET(P851,-$Q$5+1,0))</f>
        <v>1.513043088216407</v>
      </c>
      <c r="R851" s="15">
        <f ca="1">STDEV(P851:OFFSET(P851,-$R$5+1,0))</f>
        <v>1.2785726990813884</v>
      </c>
      <c r="S851" s="18">
        <f t="shared" si="171"/>
        <v>62.539999999999964</v>
      </c>
      <c r="T851" s="18">
        <f t="shared" si="172"/>
        <v>172.92000000000007</v>
      </c>
      <c r="U851" s="18">
        <f t="shared" si="180"/>
        <v>153.26985787014468</v>
      </c>
      <c r="V851" s="33">
        <f ca="1">AVERAGE(E851:OFFSET(E851,-V$5+1,0))</f>
        <v>8394.56</v>
      </c>
      <c r="W851" s="33">
        <f t="shared" ca="1" si="173"/>
        <v>8624.4647868052161</v>
      </c>
      <c r="X851" s="33">
        <f t="shared" ca="1" si="174"/>
        <v>8164.6552131947828</v>
      </c>
      <c r="Y851" s="32">
        <f t="shared" ca="1" si="181"/>
        <v>-1</v>
      </c>
    </row>
    <row r="852" spans="1:25">
      <c r="A852" s="5">
        <v>39619</v>
      </c>
      <c r="B852" s="4">
        <v>8088.38</v>
      </c>
      <c r="C852" s="4">
        <v>8088.38</v>
      </c>
      <c r="D852" s="4">
        <v>7897.97</v>
      </c>
      <c r="E852" s="4">
        <v>7902.44</v>
      </c>
      <c r="F852" s="4">
        <v>4130200</v>
      </c>
      <c r="G852" s="8">
        <f t="shared" si="183"/>
        <v>40.640000000000327</v>
      </c>
      <c r="H852" s="8">
        <f t="shared" si="182"/>
        <v>-185.94000000000051</v>
      </c>
      <c r="I852" s="20">
        <f t="shared" ca="1" si="175"/>
        <v>0</v>
      </c>
      <c r="J852" s="8">
        <f t="shared" ca="1" si="176"/>
        <v>-2</v>
      </c>
      <c r="K852" s="8">
        <f t="shared" ca="1" si="177"/>
        <v>331.24000000000069</v>
      </c>
      <c r="L852" s="8">
        <f t="shared" ca="1" si="178"/>
        <v>2495.6500000000051</v>
      </c>
      <c r="M852" s="9">
        <f ca="1">AVERAGE(E852:OFFSET(E852,-M$5+1,0))</f>
        <v>8201.0770000000011</v>
      </c>
      <c r="N852" s="9">
        <f ca="1">AVERAGE(E852:OFFSET(E852,-N$5+1,0))</f>
        <v>8444.1114999999991</v>
      </c>
      <c r="O852" s="9">
        <f t="shared" ca="1" si="179"/>
        <v>0</v>
      </c>
      <c r="P852" s="14">
        <f t="shared" si="184"/>
        <v>-1.8219734127702125</v>
      </c>
      <c r="Q852" s="15">
        <f ca="1">STDEV(P852:OFFSET(P852,-$Q$5+1,0))</f>
        <v>1.5064840864783371</v>
      </c>
      <c r="R852" s="15">
        <f ca="1">STDEV(P852:OFFSET(P852,-$R$5+1,0))</f>
        <v>1.3014275271434097</v>
      </c>
      <c r="S852" s="18">
        <f t="shared" si="171"/>
        <v>190.40999999999985</v>
      </c>
      <c r="T852" s="18">
        <f t="shared" si="172"/>
        <v>190.40999999999985</v>
      </c>
      <c r="U852" s="18">
        <f t="shared" si="180"/>
        <v>158.22187682079203</v>
      </c>
      <c r="V852" s="33">
        <f ca="1">AVERAGE(E852:OFFSET(E852,-V$5+1,0))</f>
        <v>8335.8435714285715</v>
      </c>
      <c r="W852" s="33">
        <f t="shared" ca="1" si="173"/>
        <v>8573.1763866597594</v>
      </c>
      <c r="X852" s="33">
        <f t="shared" ca="1" si="174"/>
        <v>8098.5107561973837</v>
      </c>
      <c r="Y852" s="32">
        <f t="shared" ca="1" si="181"/>
        <v>0</v>
      </c>
    </row>
    <row r="853" spans="1:25">
      <c r="A853" s="5">
        <v>39622</v>
      </c>
      <c r="B853" s="4">
        <v>7767.59</v>
      </c>
      <c r="C853" s="4">
        <v>7916.92</v>
      </c>
      <c r="D853" s="4">
        <v>7749.62</v>
      </c>
      <c r="E853" s="4">
        <v>7876.49</v>
      </c>
      <c r="F853" s="4">
        <v>3589600</v>
      </c>
      <c r="G853" s="8">
        <f t="shared" si="183"/>
        <v>-134.84999999999945</v>
      </c>
      <c r="H853" s="8">
        <f t="shared" si="182"/>
        <v>108.89999999999964</v>
      </c>
      <c r="I853" s="20">
        <f t="shared" ca="1" si="175"/>
        <v>0</v>
      </c>
      <c r="J853" s="8">
        <f t="shared" ca="1" si="176"/>
        <v>-2</v>
      </c>
      <c r="K853" s="8">
        <f t="shared" ca="1" si="177"/>
        <v>51.899999999999636</v>
      </c>
      <c r="L853" s="8">
        <f t="shared" ca="1" si="178"/>
        <v>2547.5500000000047</v>
      </c>
      <c r="M853" s="9">
        <f ca="1">AVERAGE(E853:OFFSET(E853,-M$5+1,0))</f>
        <v>8129.9300000000021</v>
      </c>
      <c r="N853" s="9">
        <f ca="1">AVERAGE(E853:OFFSET(E853,-N$5+1,0))</f>
        <v>8402.5444999999982</v>
      </c>
      <c r="O853" s="9">
        <f t="shared" ca="1" si="179"/>
        <v>0</v>
      </c>
      <c r="P853" s="14">
        <f t="shared" si="184"/>
        <v>-0.32891993811647269</v>
      </c>
      <c r="Q853" s="15">
        <f ca="1">STDEV(P853:OFFSET(P853,-$Q$5+1,0))</f>
        <v>1.4917847415589345</v>
      </c>
      <c r="R853" s="15">
        <f ca="1">STDEV(P853:OFFSET(P853,-$R$5+1,0))</f>
        <v>1.3011969216082191</v>
      </c>
      <c r="S853" s="18">
        <f t="shared" si="171"/>
        <v>167.30000000000018</v>
      </c>
      <c r="T853" s="18">
        <f t="shared" si="172"/>
        <v>167.30000000000018</v>
      </c>
      <c r="U853" s="18">
        <f t="shared" si="180"/>
        <v>159.43229324468646</v>
      </c>
      <c r="V853" s="33">
        <f ca="1">AVERAGE(E853:OFFSET(E853,-V$5+1,0))</f>
        <v>8285.6335714285724</v>
      </c>
      <c r="W853" s="33">
        <f t="shared" ca="1" si="173"/>
        <v>8524.7820112956015</v>
      </c>
      <c r="X853" s="33">
        <f t="shared" ca="1" si="174"/>
        <v>8046.4851315615424</v>
      </c>
      <c r="Y853" s="32">
        <f t="shared" ca="1" si="181"/>
        <v>0</v>
      </c>
    </row>
    <row r="854" spans="1:25">
      <c r="A854" s="5">
        <v>39623</v>
      </c>
      <c r="B854" s="4">
        <v>7888.75</v>
      </c>
      <c r="C854" s="4">
        <v>7928.41</v>
      </c>
      <c r="D854" s="4">
        <v>7738.12</v>
      </c>
      <c r="E854" s="4">
        <v>7738.12</v>
      </c>
      <c r="F854" s="4">
        <v>3847200</v>
      </c>
      <c r="G854" s="8">
        <f t="shared" si="183"/>
        <v>12.260000000000218</v>
      </c>
      <c r="H854" s="8">
        <f t="shared" si="182"/>
        <v>-150.63000000000011</v>
      </c>
      <c r="I854" s="20">
        <f t="shared" ca="1" si="175"/>
        <v>0</v>
      </c>
      <c r="J854" s="8">
        <f t="shared" ca="1" si="176"/>
        <v>-2</v>
      </c>
      <c r="K854" s="8">
        <f t="shared" ca="1" si="177"/>
        <v>276.73999999999978</v>
      </c>
      <c r="L854" s="8">
        <f t="shared" ca="1" si="178"/>
        <v>2824.2900000000045</v>
      </c>
      <c r="M854" s="9">
        <f ca="1">AVERAGE(E854:OFFSET(E854,-M$5+1,0))</f>
        <v>8066.7420000000002</v>
      </c>
      <c r="N854" s="9">
        <f ca="1">AVERAGE(E854:OFFSET(E854,-N$5+1,0))</f>
        <v>8350.530999999999</v>
      </c>
      <c r="O854" s="9">
        <f t="shared" ca="1" si="179"/>
        <v>0</v>
      </c>
      <c r="P854" s="14">
        <f t="shared" si="184"/>
        <v>-1.7723609122390132</v>
      </c>
      <c r="Q854" s="15">
        <f ca="1">STDEV(P854:OFFSET(P854,-$Q$5+1,0))</f>
        <v>1.4094322682707869</v>
      </c>
      <c r="R854" s="15">
        <f ca="1">STDEV(P854:OFFSET(P854,-$R$5+1,0))</f>
        <v>1.2881280817210572</v>
      </c>
      <c r="S854" s="18">
        <f t="shared" si="171"/>
        <v>190.28999999999996</v>
      </c>
      <c r="T854" s="18">
        <f t="shared" si="172"/>
        <v>190.28999999999996</v>
      </c>
      <c r="U854" s="18">
        <f t="shared" si="180"/>
        <v>163.54665414539491</v>
      </c>
      <c r="V854" s="33">
        <f ca="1">AVERAGE(E854:OFFSET(E854,-V$5+1,0))</f>
        <v>8222.0850000000009</v>
      </c>
      <c r="W854" s="33">
        <f t="shared" ca="1" si="173"/>
        <v>8467.4049812180929</v>
      </c>
      <c r="X854" s="33">
        <f t="shared" ca="1" si="174"/>
        <v>7976.765018781909</v>
      </c>
      <c r="Y854" s="32">
        <f t="shared" ca="1" si="181"/>
        <v>0</v>
      </c>
    </row>
    <row r="855" spans="1:25">
      <c r="A855" s="5">
        <v>39624</v>
      </c>
      <c r="B855" s="4">
        <v>7751.12</v>
      </c>
      <c r="C855" s="4">
        <v>7855.06</v>
      </c>
      <c r="D855" s="4">
        <v>7679.08</v>
      </c>
      <c r="E855" s="4">
        <v>7855.06</v>
      </c>
      <c r="F855" s="4">
        <v>4147400</v>
      </c>
      <c r="G855" s="8">
        <f t="shared" si="183"/>
        <v>13</v>
      </c>
      <c r="H855" s="8">
        <f t="shared" si="182"/>
        <v>103.94000000000051</v>
      </c>
      <c r="I855" s="20">
        <f t="shared" ca="1" si="175"/>
        <v>0</v>
      </c>
      <c r="J855" s="8">
        <f t="shared" ca="1" si="176"/>
        <v>-2</v>
      </c>
      <c r="K855" s="8">
        <f t="shared" ca="1" si="177"/>
        <v>-233.88000000000102</v>
      </c>
      <c r="L855" s="8">
        <f t="shared" ca="1" si="178"/>
        <v>2590.4100000000035</v>
      </c>
      <c r="M855" s="9">
        <f ca="1">AVERAGE(E855:OFFSET(E855,-M$5+1,0))</f>
        <v>8017.6890000000003</v>
      </c>
      <c r="N855" s="9">
        <f ca="1">AVERAGE(E855:OFFSET(E855,-N$5+1,0))</f>
        <v>8309.9974999999995</v>
      </c>
      <c r="O855" s="9">
        <f t="shared" ca="1" si="179"/>
        <v>0</v>
      </c>
      <c r="P855" s="14">
        <f t="shared" si="184"/>
        <v>1.4999146084011643</v>
      </c>
      <c r="Q855" s="15">
        <f ca="1">STDEV(P855:OFFSET(P855,-$Q$5+1,0))</f>
        <v>1.5823698270095286</v>
      </c>
      <c r="R855" s="15">
        <f ca="1">STDEV(P855:OFFSET(P855,-$R$5+1,0))</f>
        <v>1.2923655001864203</v>
      </c>
      <c r="S855" s="18">
        <f t="shared" si="171"/>
        <v>175.98000000000047</v>
      </c>
      <c r="T855" s="18">
        <f t="shared" si="172"/>
        <v>175.98000000000047</v>
      </c>
      <c r="U855" s="18">
        <f t="shared" si="180"/>
        <v>165.20443359267566</v>
      </c>
      <c r="V855" s="33">
        <f ca="1">AVERAGE(E855:OFFSET(E855,-V$5+1,0))</f>
        <v>8158.9849999999997</v>
      </c>
      <c r="W855" s="33">
        <f t="shared" ca="1" si="173"/>
        <v>8406.7916503890137</v>
      </c>
      <c r="X855" s="33">
        <f t="shared" ca="1" si="174"/>
        <v>7911.1783496109865</v>
      </c>
      <c r="Y855" s="32">
        <f t="shared" ca="1" si="181"/>
        <v>0</v>
      </c>
    </row>
    <row r="856" spans="1:25">
      <c r="A856" s="5">
        <v>39625</v>
      </c>
      <c r="B856" s="4">
        <v>7872.56</v>
      </c>
      <c r="C856" s="4">
        <v>7904.9</v>
      </c>
      <c r="D856" s="4">
        <v>7801.52</v>
      </c>
      <c r="E856" s="4">
        <v>7811.8</v>
      </c>
      <c r="F856" s="4">
        <v>3821200</v>
      </c>
      <c r="G856" s="8">
        <f t="shared" si="183"/>
        <v>17.5</v>
      </c>
      <c r="H856" s="8">
        <f t="shared" si="182"/>
        <v>-60.760000000000218</v>
      </c>
      <c r="I856" s="20">
        <f t="shared" ca="1" si="175"/>
        <v>0</v>
      </c>
      <c r="J856" s="8">
        <f t="shared" ca="1" si="176"/>
        <v>-2</v>
      </c>
      <c r="K856" s="8">
        <f t="shared" ca="1" si="177"/>
        <v>86.520000000000437</v>
      </c>
      <c r="L856" s="8">
        <f t="shared" ca="1" si="178"/>
        <v>2676.9300000000039</v>
      </c>
      <c r="M856" s="9">
        <f ca="1">AVERAGE(E856:OFFSET(E856,-M$5+1,0))</f>
        <v>7992.6380000000008</v>
      </c>
      <c r="N856" s="9">
        <f ca="1">AVERAGE(E856:OFFSET(E856,-N$5+1,0))</f>
        <v>8266.3414999999986</v>
      </c>
      <c r="O856" s="9">
        <f t="shared" ca="1" si="179"/>
        <v>0</v>
      </c>
      <c r="P856" s="14">
        <f t="shared" si="184"/>
        <v>-0.55224990770607951</v>
      </c>
      <c r="Q856" s="15">
        <f ca="1">STDEV(P856:OFFSET(P856,-$Q$5+1,0))</f>
        <v>1.2287162637503153</v>
      </c>
      <c r="R856" s="15">
        <f ca="1">STDEV(P856:OFFSET(P856,-$R$5+1,0))</f>
        <v>1.2888645669365486</v>
      </c>
      <c r="S856" s="18">
        <f t="shared" si="171"/>
        <v>103.3799999999992</v>
      </c>
      <c r="T856" s="18">
        <f t="shared" si="172"/>
        <v>103.3799999999992</v>
      </c>
      <c r="U856" s="18">
        <f t="shared" si="180"/>
        <v>156.9611757803188</v>
      </c>
      <c r="V856" s="33">
        <f ca="1">AVERAGE(E856:OFFSET(E856,-V$5+1,0))</f>
        <v>8092.3028571428576</v>
      </c>
      <c r="W856" s="33">
        <f t="shared" ca="1" si="173"/>
        <v>8327.7446208133351</v>
      </c>
      <c r="X856" s="33">
        <f t="shared" ca="1" si="174"/>
        <v>7856.8610934723793</v>
      </c>
      <c r="Y856" s="32">
        <f t="shared" ca="1" si="181"/>
        <v>0</v>
      </c>
    </row>
    <row r="857" spans="1:25">
      <c r="A857" s="5">
        <v>39626</v>
      </c>
      <c r="B857" s="4">
        <v>7489.97</v>
      </c>
      <c r="C857" s="4">
        <v>7586.5</v>
      </c>
      <c r="D857" s="4">
        <v>7466.2</v>
      </c>
      <c r="E857" s="4">
        <v>7548.76</v>
      </c>
      <c r="F857" s="4">
        <v>4494400</v>
      </c>
      <c r="G857" s="8">
        <f t="shared" si="183"/>
        <v>-321.82999999999993</v>
      </c>
      <c r="H857" s="8">
        <f t="shared" si="182"/>
        <v>58.789999999999964</v>
      </c>
      <c r="I857" s="20">
        <f t="shared" ca="1" si="175"/>
        <v>0</v>
      </c>
      <c r="J857" s="8">
        <f t="shared" ca="1" si="176"/>
        <v>-2</v>
      </c>
      <c r="K857" s="8">
        <f t="shared" ca="1" si="177"/>
        <v>526.07999999999993</v>
      </c>
      <c r="L857" s="8">
        <f t="shared" ca="1" si="178"/>
        <v>3203.0100000000039</v>
      </c>
      <c r="M857" s="9">
        <f ca="1">AVERAGE(E857:OFFSET(E857,-M$5+1,0))</f>
        <v>7936.954999999999</v>
      </c>
      <c r="N857" s="9">
        <f ca="1">AVERAGE(E857:OFFSET(E857,-N$5+1,0))</f>
        <v>8212.825499999999</v>
      </c>
      <c r="O857" s="9">
        <f t="shared" ca="1" si="179"/>
        <v>0</v>
      </c>
      <c r="P857" s="14">
        <f t="shared" si="184"/>
        <v>-3.4252099686467425</v>
      </c>
      <c r="Q857" s="15">
        <f ca="1">STDEV(P857:OFFSET(P857,-$Q$5+1,0))</f>
        <v>1.526222364859539</v>
      </c>
      <c r="R857" s="15">
        <f ca="1">STDEV(P857:OFFSET(P857,-$R$5+1,0))</f>
        <v>1.3709420399439751</v>
      </c>
      <c r="S857" s="18">
        <f t="shared" si="171"/>
        <v>120.30000000000018</v>
      </c>
      <c r="T857" s="18">
        <f t="shared" si="172"/>
        <v>345.60000000000036</v>
      </c>
      <c r="U857" s="18">
        <f t="shared" si="180"/>
        <v>182.11301900960967</v>
      </c>
      <c r="V857" s="33">
        <f ca="1">AVERAGE(E857:OFFSET(E857,-V$5+1,0))</f>
        <v>8018.0742857142859</v>
      </c>
      <c r="W857" s="33">
        <f t="shared" ca="1" si="173"/>
        <v>8291.243814228701</v>
      </c>
      <c r="X857" s="33">
        <f t="shared" ca="1" si="174"/>
        <v>7744.9047571998717</v>
      </c>
      <c r="Y857" s="32">
        <f t="shared" ca="1" si="181"/>
        <v>0</v>
      </c>
    </row>
    <row r="858" spans="1:25">
      <c r="A858" s="5">
        <v>39629</v>
      </c>
      <c r="B858" s="4">
        <v>7602.51</v>
      </c>
      <c r="C858" s="4">
        <v>7604.42</v>
      </c>
      <c r="D858" s="4">
        <v>7479.21</v>
      </c>
      <c r="E858" s="4">
        <v>7523.54</v>
      </c>
      <c r="F858" s="4">
        <v>3914600</v>
      </c>
      <c r="G858" s="8">
        <f t="shared" si="183"/>
        <v>53.75</v>
      </c>
      <c r="H858" s="8">
        <f t="shared" si="182"/>
        <v>-78.970000000000255</v>
      </c>
      <c r="I858" s="20">
        <f t="shared" ca="1" si="175"/>
        <v>0</v>
      </c>
      <c r="J858" s="8">
        <f t="shared" ca="1" si="176"/>
        <v>-2</v>
      </c>
      <c r="K858" s="8">
        <f t="shared" ca="1" si="177"/>
        <v>50.440000000000509</v>
      </c>
      <c r="L858" s="8">
        <f t="shared" ca="1" si="178"/>
        <v>3253.4500000000044</v>
      </c>
      <c r="M858" s="9">
        <f ca="1">AVERAGE(E858:OFFSET(E858,-M$5+1,0))</f>
        <v>7872.3319999999994</v>
      </c>
      <c r="N858" s="9">
        <f ca="1">AVERAGE(E858:OFFSET(E858,-N$5+1,0))</f>
        <v>8152.7790000000005</v>
      </c>
      <c r="O858" s="9">
        <f t="shared" ca="1" si="179"/>
        <v>0</v>
      </c>
      <c r="P858" s="14">
        <f t="shared" si="184"/>
        <v>-0.33465394846502988</v>
      </c>
      <c r="Q858" s="15">
        <f ca="1">STDEV(P858:OFFSET(P858,-$Q$5+1,0))</f>
        <v>1.4425675663282604</v>
      </c>
      <c r="R858" s="15">
        <f ca="1">STDEV(P858:OFFSET(P858,-$R$5+1,0))</f>
        <v>1.361505182944641</v>
      </c>
      <c r="S858" s="18">
        <f t="shared" si="171"/>
        <v>125.21000000000004</v>
      </c>
      <c r="T858" s="18">
        <f t="shared" si="172"/>
        <v>125.21000000000004</v>
      </c>
      <c r="U858" s="18">
        <f t="shared" si="180"/>
        <v>174.52594980832839</v>
      </c>
      <c r="V858" s="33">
        <f ca="1">AVERAGE(E858:OFFSET(E858,-V$5+1,0))</f>
        <v>7957.6128571428562</v>
      </c>
      <c r="W858" s="33">
        <f t="shared" ca="1" si="173"/>
        <v>8219.4017818553493</v>
      </c>
      <c r="X858" s="33">
        <f t="shared" ca="1" si="174"/>
        <v>7695.823932430364</v>
      </c>
      <c r="Y858" s="32">
        <f t="shared" ca="1" si="181"/>
        <v>0</v>
      </c>
    </row>
    <row r="859" spans="1:25">
      <c r="A859" s="5">
        <v>39630</v>
      </c>
      <c r="B859" s="4">
        <v>7528.54</v>
      </c>
      <c r="C859" s="4">
        <v>7569.18</v>
      </c>
      <c r="D859" s="4">
        <v>7407.98</v>
      </c>
      <c r="E859" s="4">
        <v>7407.98</v>
      </c>
      <c r="F859" s="4">
        <v>3657400</v>
      </c>
      <c r="G859" s="8">
        <f t="shared" si="183"/>
        <v>5</v>
      </c>
      <c r="H859" s="8">
        <f t="shared" si="182"/>
        <v>-120.5600000000004</v>
      </c>
      <c r="I859" s="20">
        <f t="shared" ca="1" si="175"/>
        <v>0</v>
      </c>
      <c r="J859" s="8">
        <f t="shared" ca="1" si="176"/>
        <v>-2</v>
      </c>
      <c r="K859" s="8">
        <f t="shared" ca="1" si="177"/>
        <v>231.1200000000008</v>
      </c>
      <c r="L859" s="8">
        <f t="shared" ca="1" si="178"/>
        <v>3484.5700000000052</v>
      </c>
      <c r="M859" s="9">
        <f ca="1">AVERAGE(E859:OFFSET(E859,-M$5+1,0))</f>
        <v>7792.9509999999991</v>
      </c>
      <c r="N859" s="9">
        <f ca="1">AVERAGE(E859:OFFSET(E859,-N$5+1,0))</f>
        <v>8094.2065000000021</v>
      </c>
      <c r="O859" s="9">
        <f t="shared" ca="1" si="179"/>
        <v>0</v>
      </c>
      <c r="P859" s="14">
        <f t="shared" si="184"/>
        <v>-1.5478974320865926</v>
      </c>
      <c r="Q859" s="15">
        <f ca="1">STDEV(P859:OFFSET(P859,-$Q$5+1,0))</f>
        <v>1.3904538302874494</v>
      </c>
      <c r="R859" s="15">
        <f ca="1">STDEV(P859:OFFSET(P859,-$R$5+1,0))</f>
        <v>1.3693389847254227</v>
      </c>
      <c r="S859" s="18">
        <f t="shared" si="171"/>
        <v>161.20000000000073</v>
      </c>
      <c r="T859" s="18">
        <f t="shared" si="172"/>
        <v>161.20000000000073</v>
      </c>
      <c r="U859" s="18">
        <f t="shared" si="180"/>
        <v>172.74915650055138</v>
      </c>
      <c r="V859" s="33">
        <f ca="1">AVERAGE(E859:OFFSET(E859,-V$5+1,0))</f>
        <v>7890.6407142857133</v>
      </c>
      <c r="W859" s="33">
        <f t="shared" ca="1" si="173"/>
        <v>8149.7644490365401</v>
      </c>
      <c r="X859" s="33">
        <f t="shared" ca="1" si="174"/>
        <v>7631.5169795348866</v>
      </c>
      <c r="Y859" s="32">
        <f t="shared" ca="1" si="181"/>
        <v>0</v>
      </c>
    </row>
    <row r="860" spans="1:25">
      <c r="A860" s="5">
        <v>39631</v>
      </c>
      <c r="B860" s="4">
        <v>7386.28</v>
      </c>
      <c r="C860" s="4">
        <v>7485.28</v>
      </c>
      <c r="D860" s="4">
        <v>7351.74</v>
      </c>
      <c r="E860" s="4">
        <v>7353.86</v>
      </c>
      <c r="F860" s="4">
        <v>4238600</v>
      </c>
      <c r="G860" s="8">
        <f t="shared" si="183"/>
        <v>-21.699999999999818</v>
      </c>
      <c r="H860" s="8">
        <f t="shared" si="182"/>
        <v>-32.420000000000073</v>
      </c>
      <c r="I860" s="20">
        <f t="shared" ca="1" si="175"/>
        <v>0</v>
      </c>
      <c r="J860" s="8">
        <f t="shared" ca="1" si="176"/>
        <v>-2</v>
      </c>
      <c r="K860" s="8">
        <f t="shared" ca="1" si="177"/>
        <v>108.23999999999978</v>
      </c>
      <c r="L860" s="8">
        <f t="shared" ca="1" si="178"/>
        <v>3592.8100000000049</v>
      </c>
      <c r="M860" s="9">
        <f ca="1">AVERAGE(E860:OFFSET(E860,-M$5+1,0))</f>
        <v>7706.5790000000006</v>
      </c>
      <c r="N860" s="9">
        <f ca="1">AVERAGE(E860:OFFSET(E860,-N$5+1,0))</f>
        <v>8030.5095000000019</v>
      </c>
      <c r="O860" s="9">
        <f t="shared" ca="1" si="179"/>
        <v>0</v>
      </c>
      <c r="P860" s="14">
        <f t="shared" si="184"/>
        <v>-0.73324521169819867</v>
      </c>
      <c r="Q860" s="15">
        <f ca="1">STDEV(P860:OFFSET(P860,-$Q$5+1,0))</f>
        <v>1.3304495366334947</v>
      </c>
      <c r="R860" s="15">
        <f ca="1">STDEV(P860:OFFSET(P860,-$R$5+1,0))</f>
        <v>1.3555150430280203</v>
      </c>
      <c r="S860" s="18">
        <f t="shared" si="171"/>
        <v>133.53999999999996</v>
      </c>
      <c r="T860" s="18">
        <f t="shared" si="172"/>
        <v>133.53999999999996</v>
      </c>
      <c r="U860" s="18">
        <f t="shared" si="180"/>
        <v>167.52126896714452</v>
      </c>
      <c r="V860" s="33">
        <f ca="1">AVERAGE(E860:OFFSET(E860,-V$5+1,0))</f>
        <v>7840.0371428571425</v>
      </c>
      <c r="W860" s="33">
        <f t="shared" ca="1" si="173"/>
        <v>8091.319046307859</v>
      </c>
      <c r="X860" s="33">
        <f t="shared" ca="1" si="174"/>
        <v>7588.755239406426</v>
      </c>
      <c r="Y860" s="32">
        <f t="shared" ca="1" si="181"/>
        <v>0</v>
      </c>
    </row>
    <row r="861" spans="1:25">
      <c r="A861" s="5">
        <v>39632</v>
      </c>
      <c r="B861" s="4">
        <v>7190.75</v>
      </c>
      <c r="C861" s="4">
        <v>7439.47</v>
      </c>
      <c r="D861" s="4">
        <v>7115.07</v>
      </c>
      <c r="E861" s="4">
        <v>7394.1</v>
      </c>
      <c r="F861" s="4">
        <v>4977200</v>
      </c>
      <c r="G861" s="8">
        <f t="shared" si="183"/>
        <v>-163.10999999999967</v>
      </c>
      <c r="H861" s="8">
        <f t="shared" si="182"/>
        <v>203.35000000000036</v>
      </c>
      <c r="I861" s="20">
        <f t="shared" ca="1" si="175"/>
        <v>0</v>
      </c>
      <c r="J861" s="8">
        <f t="shared" ca="1" si="176"/>
        <v>-2</v>
      </c>
      <c r="K861" s="8">
        <f t="shared" ca="1" si="177"/>
        <v>-80.480000000001382</v>
      </c>
      <c r="L861" s="8">
        <f t="shared" ca="1" si="178"/>
        <v>3512.3300000000036</v>
      </c>
      <c r="M861" s="9">
        <f ca="1">AVERAGE(E861:OFFSET(E861,-M$5+1,0))</f>
        <v>7641.2150000000011</v>
      </c>
      <c r="N861" s="9">
        <f ca="1">AVERAGE(E861:OFFSET(E861,-N$5+1,0))</f>
        <v>7963.2914999999994</v>
      </c>
      <c r="O861" s="9">
        <f t="shared" ca="1" si="179"/>
        <v>0</v>
      </c>
      <c r="P861" s="14">
        <f t="shared" si="184"/>
        <v>0.54570394630583374</v>
      </c>
      <c r="Q861" s="15">
        <f ca="1">STDEV(P861:OFFSET(P861,-$Q$5+1,0))</f>
        <v>1.3753240185353435</v>
      </c>
      <c r="R861" s="15">
        <f ca="1">STDEV(P861:OFFSET(P861,-$R$5+1,0))</f>
        <v>1.3648397368613028</v>
      </c>
      <c r="S861" s="18">
        <f t="shared" si="171"/>
        <v>324.40000000000055</v>
      </c>
      <c r="T861" s="18">
        <f t="shared" si="172"/>
        <v>324.40000000000055</v>
      </c>
      <c r="U861" s="18">
        <f t="shared" si="180"/>
        <v>188.43843310485866</v>
      </c>
      <c r="V861" s="33">
        <f ca="1">AVERAGE(E861:OFFSET(E861,-V$5+1,0))</f>
        <v>7789.2164285714271</v>
      </c>
      <c r="W861" s="33">
        <f t="shared" ca="1" si="173"/>
        <v>8071.874078228715</v>
      </c>
      <c r="X861" s="33">
        <f t="shared" ca="1" si="174"/>
        <v>7506.5587789141391</v>
      </c>
      <c r="Y861" s="32">
        <f t="shared" ca="1" si="181"/>
        <v>0</v>
      </c>
    </row>
    <row r="862" spans="1:25">
      <c r="A862" s="5">
        <v>39633</v>
      </c>
      <c r="B862" s="4">
        <v>7405.34</v>
      </c>
      <c r="C862" s="4">
        <v>7416.25</v>
      </c>
      <c r="D862" s="4">
        <v>7226.84</v>
      </c>
      <c r="E862" s="4">
        <v>7228.41</v>
      </c>
      <c r="F862" s="4">
        <v>4143200</v>
      </c>
      <c r="G862" s="8">
        <f t="shared" si="183"/>
        <v>11.239999999999782</v>
      </c>
      <c r="H862" s="8">
        <f t="shared" si="182"/>
        <v>-176.93000000000029</v>
      </c>
      <c r="I862" s="20">
        <f t="shared" ca="1" si="175"/>
        <v>0</v>
      </c>
      <c r="J862" s="8">
        <f t="shared" ca="1" si="176"/>
        <v>-2</v>
      </c>
      <c r="K862" s="8">
        <f t="shared" ca="1" si="177"/>
        <v>331.38000000000102</v>
      </c>
      <c r="L862" s="8">
        <f t="shared" ca="1" si="178"/>
        <v>3843.7100000000046</v>
      </c>
      <c r="M862" s="9">
        <f ca="1">AVERAGE(E862:OFFSET(E862,-M$5+1,0))</f>
        <v>7573.8120000000008</v>
      </c>
      <c r="N862" s="9">
        <f ca="1">AVERAGE(E862:OFFSET(E862,-N$5+1,0))</f>
        <v>7887.4444999999996</v>
      </c>
      <c r="O862" s="9">
        <f t="shared" ca="1" si="179"/>
        <v>0</v>
      </c>
      <c r="P862" s="14">
        <f t="shared" si="184"/>
        <v>-2.2663289929359705</v>
      </c>
      <c r="Q862" s="15">
        <f ca="1">STDEV(P862:OFFSET(P862,-$Q$5+1,0))</f>
        <v>1.416872242389775</v>
      </c>
      <c r="R862" s="15">
        <f ca="1">STDEV(P862:OFFSET(P862,-$R$5+1,0))</f>
        <v>1.3935089003014669</v>
      </c>
      <c r="S862" s="18">
        <f t="shared" si="171"/>
        <v>189.40999999999985</v>
      </c>
      <c r="T862" s="18">
        <f t="shared" si="172"/>
        <v>189.40999999999985</v>
      </c>
      <c r="U862" s="18">
        <f t="shared" si="180"/>
        <v>188.56797535754416</v>
      </c>
      <c r="V862" s="33">
        <f ca="1">AVERAGE(E862:OFFSET(E862,-V$5+1,0))</f>
        <v>7721.9764285714282</v>
      </c>
      <c r="W862" s="33">
        <f t="shared" ca="1" si="173"/>
        <v>8004.8283916077444</v>
      </c>
      <c r="X862" s="33">
        <f t="shared" ca="1" si="174"/>
        <v>7439.124465535112</v>
      </c>
      <c r="Y862" s="32">
        <f t="shared" ca="1" si="181"/>
        <v>0</v>
      </c>
    </row>
    <row r="863" spans="1:25">
      <c r="A863" s="5">
        <v>39636</v>
      </c>
      <c r="B863" s="4">
        <v>7207.92</v>
      </c>
      <c r="C863" s="4">
        <v>7343.63</v>
      </c>
      <c r="D863" s="4">
        <v>7179.24</v>
      </c>
      <c r="E863" s="4">
        <v>7341.11</v>
      </c>
      <c r="F863" s="4">
        <v>3441200</v>
      </c>
      <c r="G863" s="8">
        <f t="shared" si="183"/>
        <v>-20.489999999999782</v>
      </c>
      <c r="H863" s="8">
        <f t="shared" si="182"/>
        <v>133.1899999999996</v>
      </c>
      <c r="I863" s="20">
        <f t="shared" ca="1" si="175"/>
        <v>0</v>
      </c>
      <c r="J863" s="8">
        <f t="shared" ca="1" si="176"/>
        <v>-2</v>
      </c>
      <c r="K863" s="8">
        <f t="shared" ca="1" si="177"/>
        <v>-225.39999999999964</v>
      </c>
      <c r="L863" s="8">
        <f t="shared" ca="1" si="178"/>
        <v>3618.3100000000049</v>
      </c>
      <c r="M863" s="9">
        <f ca="1">AVERAGE(E863:OFFSET(E863,-M$5+1,0))</f>
        <v>7520.2739999999994</v>
      </c>
      <c r="N863" s="9">
        <f ca="1">AVERAGE(E863:OFFSET(E863,-N$5+1,0))</f>
        <v>7825.101999999999</v>
      </c>
      <c r="O863" s="9">
        <f t="shared" ca="1" si="179"/>
        <v>0</v>
      </c>
      <c r="P863" s="14">
        <f t="shared" si="184"/>
        <v>1.5470962378006567</v>
      </c>
      <c r="Q863" s="15">
        <f ca="1">STDEV(P863:OFFSET(P863,-$Q$5+1,0))</f>
        <v>1.6105950293239166</v>
      </c>
      <c r="R863" s="15">
        <f ca="1">STDEV(P863:OFFSET(P863,-$R$5+1,0))</f>
        <v>1.4233298836247466</v>
      </c>
      <c r="S863" s="18">
        <f t="shared" si="171"/>
        <v>164.39000000000033</v>
      </c>
      <c r="T863" s="18">
        <f t="shared" si="172"/>
        <v>164.39000000000033</v>
      </c>
      <c r="U863" s="18">
        <f t="shared" si="180"/>
        <v>185.34424530987167</v>
      </c>
      <c r="V863" s="33">
        <f ca="1">AVERAGE(E863:OFFSET(E863,-V$5+1,0))</f>
        <v>7660.4992857142861</v>
      </c>
      <c r="W863" s="33">
        <f t="shared" ca="1" si="173"/>
        <v>7938.5156536790937</v>
      </c>
      <c r="X863" s="33">
        <f t="shared" ca="1" si="174"/>
        <v>7382.4829177494785</v>
      </c>
      <c r="Y863" s="32">
        <f t="shared" ca="1" si="181"/>
        <v>0</v>
      </c>
    </row>
    <row r="864" spans="1:25">
      <c r="A864" s="5">
        <v>39637</v>
      </c>
      <c r="B864" s="4">
        <v>7274.94</v>
      </c>
      <c r="C864" s="4">
        <v>7274.94</v>
      </c>
      <c r="D864" s="4">
        <v>7016.21</v>
      </c>
      <c r="E864" s="4">
        <v>7051.85</v>
      </c>
      <c r="F864" s="4">
        <v>4377000</v>
      </c>
      <c r="G864" s="8">
        <f t="shared" si="183"/>
        <v>-66.170000000000073</v>
      </c>
      <c r="H864" s="8">
        <f t="shared" si="182"/>
        <v>-223.08999999999924</v>
      </c>
      <c r="I864" s="20">
        <f t="shared" ca="1" si="175"/>
        <v>0</v>
      </c>
      <c r="J864" s="8">
        <f t="shared" ca="1" si="176"/>
        <v>-2</v>
      </c>
      <c r="K864" s="8">
        <f t="shared" ca="1" si="177"/>
        <v>578.51999999999862</v>
      </c>
      <c r="L864" s="8">
        <f t="shared" ca="1" si="178"/>
        <v>4196.8300000000036</v>
      </c>
      <c r="M864" s="9">
        <f ca="1">AVERAGE(E864:OFFSET(E864,-M$5+1,0))</f>
        <v>7451.6469999999999</v>
      </c>
      <c r="N864" s="9">
        <f ca="1">AVERAGE(E864:OFFSET(E864,-N$5+1,0))</f>
        <v>7759.1944999999996</v>
      </c>
      <c r="O864" s="9">
        <f t="shared" ca="1" si="179"/>
        <v>0</v>
      </c>
      <c r="P864" s="14">
        <f t="shared" si="184"/>
        <v>-4.0200063603080105</v>
      </c>
      <c r="Q864" s="15">
        <f ca="1">STDEV(P864:OFFSET(P864,-$Q$5+1,0))</f>
        <v>1.9060081817388461</v>
      </c>
      <c r="R864" s="15">
        <f ca="1">STDEV(P864:OFFSET(P864,-$R$5+1,0))</f>
        <v>1.48286505981913</v>
      </c>
      <c r="S864" s="18">
        <f t="shared" si="171"/>
        <v>258.72999999999956</v>
      </c>
      <c r="T864" s="18">
        <f t="shared" si="172"/>
        <v>324.89999999999964</v>
      </c>
      <c r="U864" s="18">
        <f t="shared" si="180"/>
        <v>203.95167926855538</v>
      </c>
      <c r="V864" s="33">
        <f ca="1">AVERAGE(E864:OFFSET(E864,-V$5+1,0))</f>
        <v>7577.2328571428588</v>
      </c>
      <c r="W864" s="33">
        <f t="shared" ca="1" si="173"/>
        <v>7883.1603760456919</v>
      </c>
      <c r="X864" s="33">
        <f t="shared" ca="1" si="174"/>
        <v>7271.3053382400258</v>
      </c>
      <c r="Y864" s="32">
        <f t="shared" ca="1" si="181"/>
        <v>0</v>
      </c>
    </row>
    <row r="865" spans="1:25">
      <c r="A865" s="5">
        <v>39638</v>
      </c>
      <c r="B865" s="4">
        <v>7153.68</v>
      </c>
      <c r="C865" s="4">
        <v>7225.6</v>
      </c>
      <c r="D865" s="4">
        <v>7042.46</v>
      </c>
      <c r="E865" s="4">
        <v>7048.25</v>
      </c>
      <c r="F865" s="4">
        <v>4629800</v>
      </c>
      <c r="G865" s="8">
        <f t="shared" si="183"/>
        <v>101.82999999999993</v>
      </c>
      <c r="H865" s="8">
        <f t="shared" si="182"/>
        <v>-105.43000000000029</v>
      </c>
      <c r="I865" s="20">
        <f t="shared" ca="1" si="175"/>
        <v>0</v>
      </c>
      <c r="J865" s="8">
        <f t="shared" ca="1" si="176"/>
        <v>-2</v>
      </c>
      <c r="K865" s="8">
        <f t="shared" ca="1" si="177"/>
        <v>7.2000000000007276</v>
      </c>
      <c r="L865" s="8">
        <f t="shared" ca="1" si="178"/>
        <v>4204.0300000000043</v>
      </c>
      <c r="M865" s="9">
        <f ca="1">AVERAGE(E865:OFFSET(E865,-M$5+1,0))</f>
        <v>7370.9660000000003</v>
      </c>
      <c r="N865" s="9">
        <f ca="1">AVERAGE(E865:OFFSET(E865,-N$5+1,0))</f>
        <v>7694.3274999999994</v>
      </c>
      <c r="O865" s="9">
        <f t="shared" ca="1" si="179"/>
        <v>0</v>
      </c>
      <c r="P865" s="14">
        <f t="shared" si="184"/>
        <v>-5.106346874454349E-2</v>
      </c>
      <c r="Q865" s="15">
        <f ca="1">STDEV(P865:OFFSET(P865,-$Q$5+1,0))</f>
        <v>1.7425194566085622</v>
      </c>
      <c r="R865" s="15">
        <f ca="1">STDEV(P865:OFFSET(P865,-$R$5+1,0))</f>
        <v>1.4780566167157971</v>
      </c>
      <c r="S865" s="18">
        <f t="shared" si="171"/>
        <v>183.14000000000033</v>
      </c>
      <c r="T865" s="18">
        <f t="shared" si="172"/>
        <v>183.14000000000033</v>
      </c>
      <c r="U865" s="18">
        <f t="shared" si="180"/>
        <v>201.17678869941471</v>
      </c>
      <c r="V865" s="33">
        <f ca="1">AVERAGE(E865:OFFSET(E865,-V$5+1,0))</f>
        <v>7505.8407142857159</v>
      </c>
      <c r="W865" s="33">
        <f t="shared" ca="1" si="173"/>
        <v>7807.6058973348381</v>
      </c>
      <c r="X865" s="33">
        <f t="shared" ca="1" si="174"/>
        <v>7204.0755312365936</v>
      </c>
      <c r="Y865" s="32">
        <f t="shared" ca="1" si="181"/>
        <v>0</v>
      </c>
    </row>
    <row r="866" spans="1:25">
      <c r="A866" s="5">
        <v>39639</v>
      </c>
      <c r="B866" s="4">
        <v>7028.63</v>
      </c>
      <c r="C866" s="4">
        <v>7141.02</v>
      </c>
      <c r="D866" s="4">
        <v>6976.6</v>
      </c>
      <c r="E866" s="4">
        <v>7075.65</v>
      </c>
      <c r="F866" s="4">
        <v>3936000</v>
      </c>
      <c r="G866" s="8">
        <f t="shared" si="183"/>
        <v>-19.619999999999891</v>
      </c>
      <c r="H866" s="8">
        <f t="shared" si="182"/>
        <v>47.019999999999527</v>
      </c>
      <c r="I866" s="20">
        <f t="shared" ca="1" si="175"/>
        <v>0</v>
      </c>
      <c r="J866" s="8">
        <f t="shared" ca="1" si="176"/>
        <v>-2</v>
      </c>
      <c r="K866" s="8">
        <f t="shared" ca="1" si="177"/>
        <v>-54.799999999999272</v>
      </c>
      <c r="L866" s="8">
        <f t="shared" ca="1" si="178"/>
        <v>4149.230000000005</v>
      </c>
      <c r="M866" s="9">
        <f ca="1">AVERAGE(E866:OFFSET(E866,-M$5+1,0))</f>
        <v>7297.3509999999978</v>
      </c>
      <c r="N866" s="9">
        <f ca="1">AVERAGE(E866:OFFSET(E866,-N$5+1,0))</f>
        <v>7644.9944999999989</v>
      </c>
      <c r="O866" s="9">
        <f t="shared" ca="1" si="179"/>
        <v>0</v>
      </c>
      <c r="P866" s="14">
        <f t="shared" si="184"/>
        <v>0.38799530403603572</v>
      </c>
      <c r="Q866" s="15">
        <f ca="1">STDEV(P866:OFFSET(P866,-$Q$5+1,0))</f>
        <v>1.7988443535099676</v>
      </c>
      <c r="R866" s="15">
        <f ca="1">STDEV(P866:OFFSET(P866,-$R$5+1,0))</f>
        <v>1.4463428579963704</v>
      </c>
      <c r="S866" s="18">
        <f t="shared" si="171"/>
        <v>164.42000000000007</v>
      </c>
      <c r="T866" s="18">
        <f t="shared" si="172"/>
        <v>164.42000000000007</v>
      </c>
      <c r="U866" s="18">
        <f t="shared" si="180"/>
        <v>196.27588353949278</v>
      </c>
      <c r="V866" s="33">
        <f ca="1">AVERAGE(E866:OFFSET(E866,-V$5+1,0))</f>
        <v>7446.7842857142869</v>
      </c>
      <c r="W866" s="33">
        <f t="shared" ca="1" si="173"/>
        <v>7741.1981110235265</v>
      </c>
      <c r="X866" s="33">
        <f t="shared" ca="1" si="174"/>
        <v>7152.3704604050472</v>
      </c>
      <c r="Y866" s="32">
        <f t="shared" ca="1" si="181"/>
        <v>0</v>
      </c>
    </row>
    <row r="867" spans="1:25">
      <c r="A867" s="5">
        <v>39640</v>
      </c>
      <c r="B867" s="4">
        <v>7095.76</v>
      </c>
      <c r="C867" s="4">
        <v>7258.31</v>
      </c>
      <c r="D867" s="4">
        <v>7044.48</v>
      </c>
      <c r="E867" s="4">
        <v>7244.76</v>
      </c>
      <c r="F867" s="4">
        <v>4526400</v>
      </c>
      <c r="G867" s="8">
        <f t="shared" si="183"/>
        <v>20.110000000000582</v>
      </c>
      <c r="H867" s="8">
        <f t="shared" si="182"/>
        <v>149</v>
      </c>
      <c r="I867" s="20">
        <f t="shared" ca="1" si="175"/>
        <v>0</v>
      </c>
      <c r="J867" s="8">
        <f t="shared" ca="1" si="176"/>
        <v>-2</v>
      </c>
      <c r="K867" s="8">
        <f t="shared" ca="1" si="177"/>
        <v>-338.22000000000116</v>
      </c>
      <c r="L867" s="8">
        <f t="shared" ca="1" si="178"/>
        <v>3811.0100000000039</v>
      </c>
      <c r="M867" s="9">
        <f ca="1">AVERAGE(E867:OFFSET(E867,-M$5+1,0))</f>
        <v>7266.9509999999991</v>
      </c>
      <c r="N867" s="9">
        <f ca="1">AVERAGE(E867:OFFSET(E867,-N$5+1,0))</f>
        <v>7601.9529999999995</v>
      </c>
      <c r="O867" s="9">
        <f t="shared" ca="1" si="179"/>
        <v>0</v>
      </c>
      <c r="P867" s="14">
        <f t="shared" si="184"/>
        <v>2.3619136829187837</v>
      </c>
      <c r="Q867" s="15">
        <f ca="1">STDEV(P867:OFFSET(P867,-$Q$5+1,0))</f>
        <v>1.8581890956564857</v>
      </c>
      <c r="R867" s="15">
        <f ca="1">STDEV(P867:OFFSET(P867,-$R$5+1,0))</f>
        <v>1.5136861405561499</v>
      </c>
      <c r="S867" s="18">
        <f t="shared" si="171"/>
        <v>213.83000000000084</v>
      </c>
      <c r="T867" s="18">
        <f t="shared" si="172"/>
        <v>213.83000000000084</v>
      </c>
      <c r="U867" s="18">
        <f t="shared" si="180"/>
        <v>198.61643240089387</v>
      </c>
      <c r="V867" s="33">
        <f ca="1">AVERAGE(E867:OFFSET(E867,-V$5+1,0))</f>
        <v>7401.6607142857129</v>
      </c>
      <c r="W867" s="33">
        <f t="shared" ca="1" si="173"/>
        <v>7699.5853628870536</v>
      </c>
      <c r="X867" s="33">
        <f t="shared" ca="1" si="174"/>
        <v>7103.7360656843721</v>
      </c>
      <c r="Y867" s="32">
        <f t="shared" ca="1" si="181"/>
        <v>0</v>
      </c>
    </row>
    <row r="868" spans="1:25">
      <c r="A868" s="5">
        <v>39643</v>
      </c>
      <c r="B868" s="4">
        <v>7214.21</v>
      </c>
      <c r="C868" s="4">
        <v>7270.49</v>
      </c>
      <c r="D868" s="4">
        <v>7140.47</v>
      </c>
      <c r="E868" s="4">
        <v>7156.96</v>
      </c>
      <c r="F868" s="4">
        <v>3766400</v>
      </c>
      <c r="G868" s="8">
        <f t="shared" si="183"/>
        <v>-30.550000000000182</v>
      </c>
      <c r="H868" s="8">
        <f t="shared" si="182"/>
        <v>-57.25</v>
      </c>
      <c r="I868" s="20">
        <f t="shared" ca="1" si="175"/>
        <v>0</v>
      </c>
      <c r="J868" s="8">
        <f t="shared" ca="1" si="176"/>
        <v>-2</v>
      </c>
      <c r="K868" s="8">
        <f t="shared" ca="1" si="177"/>
        <v>175.60000000000036</v>
      </c>
      <c r="L868" s="8">
        <f t="shared" ca="1" si="178"/>
        <v>3986.6100000000042</v>
      </c>
      <c r="M868" s="9">
        <f ca="1">AVERAGE(E868:OFFSET(E868,-M$5+1,0))</f>
        <v>7230.2930000000006</v>
      </c>
      <c r="N868" s="9">
        <f ca="1">AVERAGE(E868:OFFSET(E868,-N$5+1,0))</f>
        <v>7551.3125</v>
      </c>
      <c r="O868" s="9">
        <f t="shared" ca="1" si="179"/>
        <v>0</v>
      </c>
      <c r="P868" s="14">
        <f t="shared" si="184"/>
        <v>-1.2193139123030687</v>
      </c>
      <c r="Q868" s="15">
        <f ca="1">STDEV(P868:OFFSET(P868,-$Q$5+1,0))</f>
        <v>1.8751294693389886</v>
      </c>
      <c r="R868" s="15">
        <f ca="1">STDEV(P868:OFFSET(P868,-$R$5+1,0))</f>
        <v>1.4925477865327619</v>
      </c>
      <c r="S868" s="18">
        <f t="shared" si="171"/>
        <v>130.01999999999953</v>
      </c>
      <c r="T868" s="18">
        <f t="shared" si="172"/>
        <v>130.01999999999953</v>
      </c>
      <c r="U868" s="18">
        <f t="shared" si="180"/>
        <v>189.47024141410796</v>
      </c>
      <c r="V868" s="33">
        <f ca="1">AVERAGE(E868:OFFSET(E868,-V$5+1,0))</f>
        <v>7360.1492857142857</v>
      </c>
      <c r="W868" s="33">
        <f t="shared" ca="1" si="173"/>
        <v>7644.3546478354474</v>
      </c>
      <c r="X868" s="33">
        <f t="shared" ca="1" si="174"/>
        <v>7075.9439235931241</v>
      </c>
      <c r="Y868" s="32">
        <f t="shared" ca="1" si="181"/>
        <v>0</v>
      </c>
    </row>
    <row r="869" spans="1:25">
      <c r="A869" s="5">
        <v>39644</v>
      </c>
      <c r="B869" s="4">
        <v>7022.98</v>
      </c>
      <c r="C869" s="4">
        <v>7036.42</v>
      </c>
      <c r="D869" s="4">
        <v>6832.3</v>
      </c>
      <c r="E869" s="4">
        <v>6834.24</v>
      </c>
      <c r="F869" s="4">
        <v>4275000</v>
      </c>
      <c r="G869" s="8">
        <f t="shared" si="183"/>
        <v>-133.98000000000047</v>
      </c>
      <c r="H869" s="8">
        <f t="shared" si="182"/>
        <v>-188.73999999999978</v>
      </c>
      <c r="I869" s="20">
        <f t="shared" ca="1" si="175"/>
        <v>-1</v>
      </c>
      <c r="J869" s="8">
        <f t="shared" ca="1" si="176"/>
        <v>-2</v>
      </c>
      <c r="K869" s="8">
        <f t="shared" ca="1" si="177"/>
        <v>645.44000000000051</v>
      </c>
      <c r="L869" s="8">
        <f t="shared" ca="1" si="178"/>
        <v>4632.0500000000047</v>
      </c>
      <c r="M869" s="9">
        <f ca="1">AVERAGE(E869:OFFSET(E869,-M$5+1,0))</f>
        <v>7172.9189999999999</v>
      </c>
      <c r="N869" s="9">
        <f ca="1">AVERAGE(E869:OFFSET(E869,-N$5+1,0))</f>
        <v>7482.9349999999995</v>
      </c>
      <c r="O869" s="9">
        <f t="shared" ca="1" si="179"/>
        <v>0</v>
      </c>
      <c r="P869" s="14">
        <f t="shared" si="184"/>
        <v>-4.6140038205450438</v>
      </c>
      <c r="Q869" s="15">
        <f ca="1">STDEV(P869:OFFSET(P869,-$Q$5+1,0))</f>
        <v>2.2738808910206183</v>
      </c>
      <c r="R869" s="15">
        <f ca="1">STDEV(P869:OFFSET(P869,-$R$5+1,0))</f>
        <v>1.594617007329866</v>
      </c>
      <c r="S869" s="18">
        <f t="shared" si="171"/>
        <v>204.11999999999989</v>
      </c>
      <c r="T869" s="18">
        <f t="shared" si="172"/>
        <v>324.65999999999985</v>
      </c>
      <c r="U869" s="18">
        <f t="shared" si="180"/>
        <v>207.49554255889356</v>
      </c>
      <c r="V869" s="33">
        <f ca="1">AVERAGE(E869:OFFSET(E869,-V$5+1,0))</f>
        <v>7287.2335714285718</v>
      </c>
      <c r="W869" s="33">
        <f t="shared" ca="1" si="173"/>
        <v>7598.4768852669122</v>
      </c>
      <c r="X869" s="33">
        <f t="shared" ca="1" si="174"/>
        <v>6975.9902575902315</v>
      </c>
      <c r="Y869" s="32">
        <f t="shared" ca="1" si="181"/>
        <v>-1</v>
      </c>
    </row>
    <row r="870" spans="1:25">
      <c r="A870" s="5">
        <v>39645</v>
      </c>
      <c r="B870" s="4">
        <v>6846.02</v>
      </c>
      <c r="C870" s="4">
        <v>6867.73</v>
      </c>
      <c r="D870" s="4">
        <v>6708.46</v>
      </c>
      <c r="E870" s="4">
        <v>6710.64</v>
      </c>
      <c r="F870" s="4">
        <v>4331600</v>
      </c>
      <c r="G870" s="8">
        <f t="shared" si="183"/>
        <v>11.780000000000655</v>
      </c>
      <c r="H870" s="8">
        <f t="shared" si="182"/>
        <v>-135.38000000000011</v>
      </c>
      <c r="I870" s="20">
        <f t="shared" ca="1" si="175"/>
        <v>0</v>
      </c>
      <c r="J870" s="8">
        <f t="shared" ca="1" si="176"/>
        <v>-3</v>
      </c>
      <c r="K870" s="8">
        <f t="shared" ca="1" si="177"/>
        <v>382.57999999999902</v>
      </c>
      <c r="L870" s="8">
        <f t="shared" ca="1" si="178"/>
        <v>5014.6300000000037</v>
      </c>
      <c r="M870" s="9">
        <f ca="1">AVERAGE(E870:OFFSET(E870,-M$5+1,0))</f>
        <v>7108.5969999999998</v>
      </c>
      <c r="N870" s="9">
        <f ca="1">AVERAGE(E870:OFFSET(E870,-N$5+1,0))</f>
        <v>7407.5880000000006</v>
      </c>
      <c r="O870" s="9">
        <f t="shared" ca="1" si="179"/>
        <v>0</v>
      </c>
      <c r="P870" s="14">
        <f t="shared" si="184"/>
        <v>-1.8250945136470107</v>
      </c>
      <c r="Q870" s="15">
        <f ca="1">STDEV(P870:OFFSET(P870,-$Q$5+1,0))</f>
        <v>2.2960977067031649</v>
      </c>
      <c r="R870" s="15">
        <f ca="1">STDEV(P870:OFFSET(P870,-$R$5+1,0))</f>
        <v>1.6042164104531482</v>
      </c>
      <c r="S870" s="18">
        <f t="shared" si="171"/>
        <v>159.26999999999953</v>
      </c>
      <c r="T870" s="18">
        <f t="shared" si="172"/>
        <v>159.26999999999953</v>
      </c>
      <c r="U870" s="18">
        <f t="shared" si="180"/>
        <v>201.06547021770768</v>
      </c>
      <c r="V870" s="33">
        <f ca="1">AVERAGE(E870:OFFSET(E870,-V$5+1,0))</f>
        <v>7208.5792857142851</v>
      </c>
      <c r="W870" s="33">
        <f t="shared" ca="1" si="173"/>
        <v>7510.1774910408467</v>
      </c>
      <c r="X870" s="33">
        <f t="shared" ca="1" si="174"/>
        <v>6906.9810803877235</v>
      </c>
      <c r="Y870" s="32">
        <f t="shared" ca="1" si="181"/>
        <v>0</v>
      </c>
    </row>
    <row r="871" spans="1:25">
      <c r="A871" s="5">
        <v>39646</v>
      </c>
      <c r="B871" s="4">
        <v>6892.35</v>
      </c>
      <c r="C871" s="4">
        <v>6976.96</v>
      </c>
      <c r="D871" s="4">
        <v>6859.97</v>
      </c>
      <c r="E871" s="4">
        <v>6974.51</v>
      </c>
      <c r="F871" s="4">
        <v>4572200</v>
      </c>
      <c r="G871" s="8">
        <f t="shared" si="183"/>
        <v>181.71000000000004</v>
      </c>
      <c r="H871" s="8">
        <f t="shared" si="182"/>
        <v>82.159999999999854</v>
      </c>
      <c r="I871" s="20">
        <f t="shared" ca="1" si="175"/>
        <v>0</v>
      </c>
      <c r="J871" s="8">
        <f t="shared" ca="1" si="176"/>
        <v>-3</v>
      </c>
      <c r="K871" s="8">
        <f t="shared" ca="1" si="177"/>
        <v>-791.60999999999967</v>
      </c>
      <c r="L871" s="8">
        <f t="shared" ca="1" si="178"/>
        <v>4223.0200000000041</v>
      </c>
      <c r="M871" s="9">
        <f ca="1">AVERAGE(E871:OFFSET(E871,-M$5+1,0))</f>
        <v>7066.6380000000008</v>
      </c>
      <c r="N871" s="9">
        <f ca="1">AVERAGE(E871:OFFSET(E871,-N$5+1,0))</f>
        <v>7353.9265000000014</v>
      </c>
      <c r="O871" s="9">
        <f t="shared" ca="1" si="179"/>
        <v>0</v>
      </c>
      <c r="P871" s="14">
        <f t="shared" si="184"/>
        <v>3.8567747878651297</v>
      </c>
      <c r="Q871" s="15">
        <f ca="1">STDEV(P871:OFFSET(P871,-$Q$5+1,0))</f>
        <v>2.7282573971216086</v>
      </c>
      <c r="R871" s="15">
        <f ca="1">STDEV(P871:OFFSET(P871,-$R$5+1,0))</f>
        <v>1.7589601155963652</v>
      </c>
      <c r="S871" s="18">
        <f t="shared" si="171"/>
        <v>116.98999999999978</v>
      </c>
      <c r="T871" s="18">
        <f t="shared" si="172"/>
        <v>266.31999999999971</v>
      </c>
      <c r="U871" s="18">
        <f t="shared" si="180"/>
        <v>209.76607418867997</v>
      </c>
      <c r="V871" s="33">
        <f ca="1">AVERAGE(E871:OFFSET(E871,-V$5+1,0))</f>
        <v>7167.5614285714282</v>
      </c>
      <c r="W871" s="33">
        <f t="shared" ca="1" si="173"/>
        <v>7482.2105398544481</v>
      </c>
      <c r="X871" s="33">
        <f t="shared" ca="1" si="174"/>
        <v>6852.9123172884083</v>
      </c>
      <c r="Y871" s="32">
        <f t="shared" ca="1" si="181"/>
        <v>0</v>
      </c>
    </row>
    <row r="872" spans="1:25">
      <c r="A872" s="5">
        <v>39647</v>
      </c>
      <c r="B872" s="4">
        <v>7075.5</v>
      </c>
      <c r="C872" s="4">
        <v>7075.5</v>
      </c>
      <c r="D872" s="4">
        <v>6782.2</v>
      </c>
      <c r="E872" s="4">
        <v>6815.32</v>
      </c>
      <c r="F872" s="4">
        <v>5042000</v>
      </c>
      <c r="G872" s="8">
        <f t="shared" si="183"/>
        <v>100.98999999999978</v>
      </c>
      <c r="H872" s="8">
        <f t="shared" si="182"/>
        <v>-260.18000000000029</v>
      </c>
      <c r="I872" s="20">
        <f t="shared" ca="1" si="175"/>
        <v>0</v>
      </c>
      <c r="J872" s="8">
        <f t="shared" ca="1" si="176"/>
        <v>-3</v>
      </c>
      <c r="K872" s="8">
        <f t="shared" ca="1" si="177"/>
        <v>477.57000000000153</v>
      </c>
      <c r="L872" s="8">
        <f t="shared" ca="1" si="178"/>
        <v>4700.5900000000056</v>
      </c>
      <c r="M872" s="9">
        <f ca="1">AVERAGE(E872:OFFSET(E872,-M$5+1,0))</f>
        <v>7025.3290000000006</v>
      </c>
      <c r="N872" s="9">
        <f ca="1">AVERAGE(E872:OFFSET(E872,-N$5+1,0))</f>
        <v>7299.5705000000016</v>
      </c>
      <c r="O872" s="9">
        <f t="shared" ca="1" si="179"/>
        <v>0</v>
      </c>
      <c r="P872" s="14">
        <f t="shared" si="184"/>
        <v>-2.3089055051748062</v>
      </c>
      <c r="Q872" s="15">
        <f ca="1">STDEV(P872:OFFSET(P872,-$Q$5+1,0))</f>
        <v>2.7312057861125889</v>
      </c>
      <c r="R872" s="15">
        <f ca="1">STDEV(P872:OFFSET(P872,-$R$5+1,0))</f>
        <v>1.7668537519442822</v>
      </c>
      <c r="S872" s="18">
        <f t="shared" si="171"/>
        <v>293.30000000000018</v>
      </c>
      <c r="T872" s="18">
        <f t="shared" si="172"/>
        <v>293.30000000000018</v>
      </c>
      <c r="U872" s="18">
        <f t="shared" si="180"/>
        <v>220.90393096352267</v>
      </c>
      <c r="V872" s="33">
        <f ca="1">AVERAGE(E872:OFFSET(E872,-V$5+1,0))</f>
        <v>7116.9742857142865</v>
      </c>
      <c r="W872" s="33">
        <f t="shared" ca="1" si="173"/>
        <v>7448.3301821595705</v>
      </c>
      <c r="X872" s="33">
        <f t="shared" ca="1" si="174"/>
        <v>6785.6183892690024</v>
      </c>
      <c r="Y872" s="32">
        <f t="shared" ca="1" si="181"/>
        <v>0</v>
      </c>
    </row>
    <row r="873" spans="1:25">
      <c r="A873" s="5">
        <v>39650</v>
      </c>
      <c r="B873" s="4">
        <v>6991.71</v>
      </c>
      <c r="C873" s="4">
        <v>7097.65</v>
      </c>
      <c r="D873" s="4">
        <v>6991.71</v>
      </c>
      <c r="E873" s="4">
        <v>7085.67</v>
      </c>
      <c r="F873" s="4">
        <v>4139200</v>
      </c>
      <c r="G873" s="8">
        <f t="shared" si="183"/>
        <v>176.39000000000033</v>
      </c>
      <c r="H873" s="8">
        <f t="shared" si="182"/>
        <v>93.960000000000036</v>
      </c>
      <c r="I873" s="20">
        <f t="shared" ca="1" si="175"/>
        <v>0</v>
      </c>
      <c r="J873" s="8">
        <f t="shared" ca="1" si="176"/>
        <v>-3</v>
      </c>
      <c r="K873" s="8">
        <f t="shared" ca="1" si="177"/>
        <v>-811.05000000000109</v>
      </c>
      <c r="L873" s="8">
        <f t="shared" ca="1" si="178"/>
        <v>3889.5400000000045</v>
      </c>
      <c r="M873" s="9">
        <f ca="1">AVERAGE(E873:OFFSET(E873,-M$5+1,0))</f>
        <v>6999.7850000000008</v>
      </c>
      <c r="N873" s="9">
        <f ca="1">AVERAGE(E873:OFFSET(E873,-N$5+1,0))</f>
        <v>7260.0295000000015</v>
      </c>
      <c r="O873" s="9">
        <f t="shared" ca="1" si="179"/>
        <v>0</v>
      </c>
      <c r="P873" s="14">
        <f t="shared" si="184"/>
        <v>3.8901415364122895</v>
      </c>
      <c r="Q873" s="15">
        <f ca="1">STDEV(P873:OFFSET(P873,-$Q$5+1,0))</f>
        <v>3.0200009954256215</v>
      </c>
      <c r="R873" s="15">
        <f ca="1">STDEV(P873:OFFSET(P873,-$R$5+1,0))</f>
        <v>1.9014311465999727</v>
      </c>
      <c r="S873" s="18">
        <f t="shared" si="171"/>
        <v>105.9399999999996</v>
      </c>
      <c r="T873" s="18">
        <f t="shared" si="172"/>
        <v>282.32999999999993</v>
      </c>
      <c r="U873" s="18">
        <f t="shared" si="180"/>
        <v>229.09407350171966</v>
      </c>
      <c r="V873" s="33">
        <f ca="1">AVERAGE(E873:OFFSET(E873,-V$5+1,0))</f>
        <v>7093.9521428571434</v>
      </c>
      <c r="W873" s="33">
        <f t="shared" ca="1" si="173"/>
        <v>7437.5932531097233</v>
      </c>
      <c r="X873" s="33">
        <f t="shared" ca="1" si="174"/>
        <v>6750.3110326045635</v>
      </c>
      <c r="Y873" s="32">
        <f t="shared" ca="1" si="181"/>
        <v>0</v>
      </c>
    </row>
    <row r="874" spans="1:25">
      <c r="A874" s="5">
        <v>39651</v>
      </c>
      <c r="B874" s="4">
        <v>7029.84</v>
      </c>
      <c r="C874" s="4">
        <v>7098.68</v>
      </c>
      <c r="D874" s="4">
        <v>6998.13</v>
      </c>
      <c r="E874" s="4">
        <v>7065.65</v>
      </c>
      <c r="F874" s="4">
        <v>3731800</v>
      </c>
      <c r="G874" s="8">
        <f t="shared" si="183"/>
        <v>-55.829999999999927</v>
      </c>
      <c r="H874" s="8">
        <f t="shared" si="182"/>
        <v>35.809999999999491</v>
      </c>
      <c r="I874" s="20">
        <f t="shared" ca="1" si="175"/>
        <v>0</v>
      </c>
      <c r="J874" s="8">
        <f t="shared" ca="1" si="176"/>
        <v>-3</v>
      </c>
      <c r="K874" s="8">
        <f t="shared" ca="1" si="177"/>
        <v>60.06000000000131</v>
      </c>
      <c r="L874" s="8">
        <f t="shared" ca="1" si="178"/>
        <v>3949.6000000000058</v>
      </c>
      <c r="M874" s="9">
        <f ca="1">AVERAGE(E874:OFFSET(E874,-M$5+1,0))</f>
        <v>7001.1649999999991</v>
      </c>
      <c r="N874" s="9">
        <f ca="1">AVERAGE(E874:OFFSET(E874,-N$5+1,0))</f>
        <v>7226.4059999999999</v>
      </c>
      <c r="O874" s="9">
        <f t="shared" ca="1" si="179"/>
        <v>0</v>
      </c>
      <c r="P874" s="14">
        <f t="shared" si="184"/>
        <v>-0.28294199206910281</v>
      </c>
      <c r="Q874" s="15">
        <f ca="1">STDEV(P874:OFFSET(P874,-$Q$5+1,0))</f>
        <v>2.7336118429065612</v>
      </c>
      <c r="R874" s="15">
        <f ca="1">STDEV(P874:OFFSET(P874,-$R$5+1,0))</f>
        <v>1.8897681869230283</v>
      </c>
      <c r="S874" s="18">
        <f t="shared" si="171"/>
        <v>100.55000000000018</v>
      </c>
      <c r="T874" s="18">
        <f t="shared" si="172"/>
        <v>100.55000000000018</v>
      </c>
      <c r="U874" s="18">
        <f t="shared" si="180"/>
        <v>211.95486370149041</v>
      </c>
      <c r="V874" s="33">
        <f ca="1">AVERAGE(E874:OFFSET(E874,-V$5+1,0))</f>
        <v>7073.3657142857128</v>
      </c>
      <c r="W874" s="33">
        <f t="shared" ca="1" si="173"/>
        <v>7391.2980098379485</v>
      </c>
      <c r="X874" s="33">
        <f t="shared" ca="1" si="174"/>
        <v>6755.4334187334771</v>
      </c>
      <c r="Y874" s="32">
        <f t="shared" ca="1" si="181"/>
        <v>0</v>
      </c>
    </row>
    <row r="875" spans="1:25">
      <c r="A875" s="5">
        <v>39652</v>
      </c>
      <c r="B875" s="4">
        <v>7194.22</v>
      </c>
      <c r="C875" s="4">
        <v>7330.83</v>
      </c>
      <c r="D875" s="4">
        <v>7177.73</v>
      </c>
      <c r="E875" s="4">
        <v>7309.83</v>
      </c>
      <c r="F875" s="4">
        <v>4987600</v>
      </c>
      <c r="G875" s="8">
        <f t="shared" si="183"/>
        <v>128.57000000000062</v>
      </c>
      <c r="H875" s="8">
        <f t="shared" si="182"/>
        <v>115.60999999999967</v>
      </c>
      <c r="I875" s="20">
        <f t="shared" ca="1" si="175"/>
        <v>0</v>
      </c>
      <c r="J875" s="8">
        <f t="shared" ca="1" si="176"/>
        <v>-3</v>
      </c>
      <c r="K875" s="8">
        <f t="shared" ca="1" si="177"/>
        <v>-732.54000000000087</v>
      </c>
      <c r="L875" s="8">
        <f t="shared" ca="1" si="178"/>
        <v>3217.0600000000049</v>
      </c>
      <c r="M875" s="9">
        <f ca="1">AVERAGE(E875:OFFSET(E875,-M$5+1,0))</f>
        <v>7027.3229999999994</v>
      </c>
      <c r="N875" s="9">
        <f ca="1">AVERAGE(E875:OFFSET(E875,-N$5+1,0))</f>
        <v>7199.1444999999994</v>
      </c>
      <c r="O875" s="9">
        <f t="shared" ca="1" si="179"/>
        <v>0</v>
      </c>
      <c r="P875" s="14">
        <f t="shared" si="184"/>
        <v>3.3975002941966768</v>
      </c>
      <c r="Q875" s="15">
        <f ca="1">STDEV(P875:OFFSET(P875,-$Q$5+1,0))</f>
        <v>2.9339015481278978</v>
      </c>
      <c r="R875" s="15">
        <f ca="1">STDEV(P875:OFFSET(P875,-$R$5+1,0))</f>
        <v>1.985146548260369</v>
      </c>
      <c r="S875" s="18">
        <f t="shared" si="171"/>
        <v>153.10000000000036</v>
      </c>
      <c r="T875" s="18">
        <f t="shared" si="172"/>
        <v>265.18000000000029</v>
      </c>
      <c r="U875" s="18">
        <f t="shared" si="180"/>
        <v>219.05154854129174</v>
      </c>
      <c r="V875" s="33">
        <f ca="1">AVERAGE(E875:OFFSET(E875,-V$5+1,0))</f>
        <v>7067.346428571429</v>
      </c>
      <c r="W875" s="33">
        <f t="shared" ca="1" si="173"/>
        <v>7395.9237513833668</v>
      </c>
      <c r="X875" s="33">
        <f t="shared" ca="1" si="174"/>
        <v>6738.7691057594911</v>
      </c>
      <c r="Y875" s="32">
        <f t="shared" ca="1" si="181"/>
        <v>0</v>
      </c>
    </row>
    <row r="876" spans="1:25">
      <c r="A876" s="5">
        <v>39653</v>
      </c>
      <c r="B876" s="4">
        <v>7357.15</v>
      </c>
      <c r="C876" s="4">
        <v>7368.08</v>
      </c>
      <c r="D876" s="4">
        <v>7294.13</v>
      </c>
      <c r="E876" s="4">
        <v>7368.08</v>
      </c>
      <c r="F876" s="4">
        <v>4996800</v>
      </c>
      <c r="G876" s="8">
        <f t="shared" si="183"/>
        <v>47.319999999999709</v>
      </c>
      <c r="H876" s="8">
        <f t="shared" si="182"/>
        <v>10.930000000000291</v>
      </c>
      <c r="I876" s="20">
        <f t="shared" ca="1" si="175"/>
        <v>0</v>
      </c>
      <c r="J876" s="8">
        <f t="shared" ca="1" si="176"/>
        <v>-3</v>
      </c>
      <c r="K876" s="8">
        <f t="shared" ca="1" si="177"/>
        <v>-174.75</v>
      </c>
      <c r="L876" s="8">
        <f t="shared" ca="1" si="178"/>
        <v>3042.3100000000049</v>
      </c>
      <c r="M876" s="9">
        <f ca="1">AVERAGE(E876:OFFSET(E876,-M$5+1,0))</f>
        <v>7056.5660000000007</v>
      </c>
      <c r="N876" s="9">
        <f ca="1">AVERAGE(E876:OFFSET(E876,-N$5+1,0))</f>
        <v>7176.9584999999979</v>
      </c>
      <c r="O876" s="9">
        <f t="shared" ca="1" si="179"/>
        <v>0</v>
      </c>
      <c r="P876" s="14">
        <f t="shared" si="184"/>
        <v>0.79371389800482839</v>
      </c>
      <c r="Q876" s="15">
        <f ca="1">STDEV(P876:OFFSET(P876,-$Q$5+1,0))</f>
        <v>2.9370675517068112</v>
      </c>
      <c r="R876" s="15">
        <f ca="1">STDEV(P876:OFFSET(P876,-$R$5+1,0))</f>
        <v>1.9919801059600912</v>
      </c>
      <c r="S876" s="18">
        <f t="shared" si="171"/>
        <v>73.949999999999818</v>
      </c>
      <c r="T876" s="18">
        <f t="shared" si="172"/>
        <v>73.949999999999818</v>
      </c>
      <c r="U876" s="18">
        <f t="shared" si="180"/>
        <v>199.70467540245284</v>
      </c>
      <c r="V876" s="33">
        <f ca="1">AVERAGE(E876:OFFSET(E876,-V$5+1,0))</f>
        <v>7077.3228571428572</v>
      </c>
      <c r="W876" s="33">
        <f t="shared" ca="1" si="173"/>
        <v>7376.8798702465365</v>
      </c>
      <c r="X876" s="33">
        <f t="shared" ca="1" si="174"/>
        <v>6777.7658440391779</v>
      </c>
      <c r="Y876" s="32">
        <f t="shared" ca="1" si="181"/>
        <v>0</v>
      </c>
    </row>
    <row r="877" spans="1:25">
      <c r="A877" s="5">
        <v>39654</v>
      </c>
      <c r="B877" s="4">
        <v>7213.32</v>
      </c>
      <c r="C877" s="4">
        <v>7234.12</v>
      </c>
      <c r="D877" s="4">
        <v>7170.36</v>
      </c>
      <c r="E877" s="4">
        <v>7233.62</v>
      </c>
      <c r="F877" s="4">
        <v>3616200</v>
      </c>
      <c r="G877" s="8">
        <f t="shared" si="183"/>
        <v>-154.76000000000022</v>
      </c>
      <c r="H877" s="8">
        <f t="shared" si="182"/>
        <v>20.300000000000182</v>
      </c>
      <c r="I877" s="20">
        <f t="shared" ca="1" si="175"/>
        <v>0</v>
      </c>
      <c r="J877" s="8">
        <f t="shared" ca="1" si="176"/>
        <v>-3</v>
      </c>
      <c r="K877" s="8">
        <f t="shared" ca="1" si="177"/>
        <v>403.38000000000011</v>
      </c>
      <c r="L877" s="8">
        <f t="shared" ca="1" si="178"/>
        <v>3445.6900000000051</v>
      </c>
      <c r="M877" s="9">
        <f ca="1">AVERAGE(E877:OFFSET(E877,-M$5+1,0))</f>
        <v>7055.4520000000002</v>
      </c>
      <c r="N877" s="9">
        <f ca="1">AVERAGE(E877:OFFSET(E877,-N$5+1,0))</f>
        <v>7161.2014999999983</v>
      </c>
      <c r="O877" s="9">
        <f t="shared" ca="1" si="179"/>
        <v>0</v>
      </c>
      <c r="P877" s="14">
        <f t="shared" si="184"/>
        <v>-1.8417554227952315</v>
      </c>
      <c r="Q877" s="15">
        <f ca="1">STDEV(P877:OFFSET(P877,-$Q$5+1,0))</f>
        <v>2.9266671675514995</v>
      </c>
      <c r="R877" s="15">
        <f ca="1">STDEV(P877:OFFSET(P877,-$R$5+1,0))</f>
        <v>2.0041406369227022</v>
      </c>
      <c r="S877" s="18">
        <f t="shared" si="171"/>
        <v>63.760000000000218</v>
      </c>
      <c r="T877" s="18">
        <f t="shared" si="172"/>
        <v>197.72000000000025</v>
      </c>
      <c r="U877" s="18">
        <f t="shared" si="180"/>
        <v>199.44005201545917</v>
      </c>
      <c r="V877" s="33">
        <f ca="1">AVERAGE(E877:OFFSET(E877,-V$5+1,0))</f>
        <v>7069.6449999999995</v>
      </c>
      <c r="W877" s="33">
        <f t="shared" ca="1" si="173"/>
        <v>7368.8050780231879</v>
      </c>
      <c r="X877" s="33">
        <f t="shared" ca="1" si="174"/>
        <v>6770.4849219768112</v>
      </c>
      <c r="Y877" s="32">
        <f t="shared" ca="1" si="181"/>
        <v>0</v>
      </c>
    </row>
    <row r="878" spans="1:25">
      <c r="A878" s="5">
        <v>39658</v>
      </c>
      <c r="B878" s="4">
        <v>7052.58</v>
      </c>
      <c r="C878" s="4">
        <v>7052.58</v>
      </c>
      <c r="D878" s="4">
        <v>6958.89</v>
      </c>
      <c r="E878" s="4">
        <v>7014.47</v>
      </c>
      <c r="F878" s="4">
        <v>4042800</v>
      </c>
      <c r="G878" s="8">
        <f t="shared" si="183"/>
        <v>-181.03999999999996</v>
      </c>
      <c r="H878" s="8">
        <f t="shared" si="182"/>
        <v>-38.109999999999673</v>
      </c>
      <c r="I878" s="20">
        <f t="shared" ca="1" si="175"/>
        <v>0</v>
      </c>
      <c r="J878" s="8">
        <f t="shared" ca="1" si="176"/>
        <v>-3</v>
      </c>
      <c r="K878" s="8">
        <f t="shared" ca="1" si="177"/>
        <v>657.44999999999891</v>
      </c>
      <c r="L878" s="8">
        <f t="shared" ca="1" si="178"/>
        <v>4103.140000000004</v>
      </c>
      <c r="M878" s="9">
        <f ca="1">AVERAGE(E878:OFFSET(E878,-M$5+1,0))</f>
        <v>7041.2029999999995</v>
      </c>
      <c r="N878" s="9">
        <f ca="1">AVERAGE(E878:OFFSET(E878,-N$5+1,0))</f>
        <v>7135.7480000000014</v>
      </c>
      <c r="O878" s="9">
        <f t="shared" ca="1" si="179"/>
        <v>0</v>
      </c>
      <c r="P878" s="14">
        <f t="shared" si="184"/>
        <v>-3.0764444116950638</v>
      </c>
      <c r="Q878" s="15">
        <f ca="1">STDEV(P878:OFFSET(P878,-$Q$5+1,0))</f>
        <v>3.0671043173860046</v>
      </c>
      <c r="R878" s="15">
        <f ca="1">STDEV(P878:OFFSET(P878,-$R$5+1,0))</f>
        <v>2.0280921767504823</v>
      </c>
      <c r="S878" s="18">
        <f t="shared" si="171"/>
        <v>93.6899999999996</v>
      </c>
      <c r="T878" s="18">
        <f t="shared" si="172"/>
        <v>274.72999999999956</v>
      </c>
      <c r="U878" s="18">
        <f t="shared" si="180"/>
        <v>209.47871174673122</v>
      </c>
      <c r="V878" s="33">
        <f ca="1">AVERAGE(E878:OFFSET(E878,-V$5+1,0))</f>
        <v>7066.9749999999995</v>
      </c>
      <c r="W878" s="33">
        <f t="shared" ca="1" si="173"/>
        <v>7381.1930676200964</v>
      </c>
      <c r="X878" s="33">
        <f t="shared" ca="1" si="174"/>
        <v>6752.7569323799025</v>
      </c>
      <c r="Y878" s="32">
        <f t="shared" ca="1" si="181"/>
        <v>0</v>
      </c>
    </row>
    <row r="879" spans="1:25">
      <c r="A879" s="5">
        <v>39659</v>
      </c>
      <c r="B879" s="4">
        <v>7147.26</v>
      </c>
      <c r="C879" s="4">
        <v>7151.33</v>
      </c>
      <c r="D879" s="4">
        <v>7049.58</v>
      </c>
      <c r="E879" s="4">
        <v>7070.35</v>
      </c>
      <c r="F879" s="4">
        <v>3467000</v>
      </c>
      <c r="G879" s="8">
        <f t="shared" si="183"/>
        <v>132.78999999999996</v>
      </c>
      <c r="H879" s="8">
        <f t="shared" si="182"/>
        <v>-76.909999999999854</v>
      </c>
      <c r="I879" s="20">
        <f t="shared" ca="1" si="175"/>
        <v>0</v>
      </c>
      <c r="J879" s="8">
        <f t="shared" ca="1" si="176"/>
        <v>-3</v>
      </c>
      <c r="K879" s="8">
        <f t="shared" ca="1" si="177"/>
        <v>-167.64000000000033</v>
      </c>
      <c r="L879" s="8">
        <f t="shared" ca="1" si="178"/>
        <v>3935.5000000000036</v>
      </c>
      <c r="M879" s="9">
        <f ca="1">AVERAGE(E879:OFFSET(E879,-M$5+1,0))</f>
        <v>7064.8140000000012</v>
      </c>
      <c r="N879" s="9">
        <f ca="1">AVERAGE(E879:OFFSET(E879,-N$5+1,0))</f>
        <v>7118.8664999999992</v>
      </c>
      <c r="O879" s="9">
        <f t="shared" ca="1" si="179"/>
        <v>0</v>
      </c>
      <c r="P879" s="14">
        <f t="shared" si="184"/>
        <v>0.79348253211886066</v>
      </c>
      <c r="Q879" s="15">
        <f ca="1">STDEV(P879:OFFSET(P879,-$Q$5+1,0))</f>
        <v>2.6511121323790605</v>
      </c>
      <c r="R879" s="15">
        <f ca="1">STDEV(P879:OFFSET(P879,-$R$5+1,0))</f>
        <v>2.0303719131294491</v>
      </c>
      <c r="S879" s="18">
        <f t="shared" si="171"/>
        <v>101.75</v>
      </c>
      <c r="T879" s="18">
        <f t="shared" si="172"/>
        <v>136.85999999999967</v>
      </c>
      <c r="U879" s="18">
        <f t="shared" si="180"/>
        <v>199.79621684716702</v>
      </c>
      <c r="V879" s="33">
        <f ca="1">AVERAGE(E879:OFFSET(E879,-V$5+1,0))</f>
        <v>7068.5535714285716</v>
      </c>
      <c r="W879" s="33">
        <f t="shared" ca="1" si="173"/>
        <v>7368.2478966993222</v>
      </c>
      <c r="X879" s="33">
        <f t="shared" ca="1" si="174"/>
        <v>6768.859246157821</v>
      </c>
      <c r="Y879" s="32">
        <f t="shared" ca="1" si="181"/>
        <v>0</v>
      </c>
    </row>
    <row r="880" spans="1:25">
      <c r="A880" s="5">
        <v>39660</v>
      </c>
      <c r="B880" s="4">
        <v>7135.04</v>
      </c>
      <c r="C880" s="4">
        <v>7172.48</v>
      </c>
      <c r="D880" s="4">
        <v>6965.08</v>
      </c>
      <c r="E880" s="4">
        <v>7024.06</v>
      </c>
      <c r="F880" s="4">
        <v>3700600</v>
      </c>
      <c r="G880" s="8">
        <f t="shared" si="183"/>
        <v>64.6899999999996</v>
      </c>
      <c r="H880" s="8">
        <f t="shared" si="182"/>
        <v>-110.97999999999956</v>
      </c>
      <c r="I880" s="20">
        <f t="shared" ca="1" si="175"/>
        <v>0</v>
      </c>
      <c r="J880" s="8">
        <f t="shared" ca="1" si="176"/>
        <v>-3</v>
      </c>
      <c r="K880" s="8">
        <f t="shared" ca="1" si="177"/>
        <v>138.86999999999989</v>
      </c>
      <c r="L880" s="8">
        <f t="shared" ca="1" si="178"/>
        <v>4074.3700000000035</v>
      </c>
      <c r="M880" s="9">
        <f ca="1">AVERAGE(E880:OFFSET(E880,-M$5+1,0))</f>
        <v>7096.1560000000009</v>
      </c>
      <c r="N880" s="9">
        <f ca="1">AVERAGE(E880:OFFSET(E880,-N$5+1,0))</f>
        <v>7102.3764999999985</v>
      </c>
      <c r="O880" s="9">
        <f t="shared" ca="1" si="179"/>
        <v>0</v>
      </c>
      <c r="P880" s="14">
        <f t="shared" si="184"/>
        <v>-0.65685851960851183</v>
      </c>
      <c r="Q880" s="15">
        <f ca="1">STDEV(P880:OFFSET(P880,-$Q$5+1,0))</f>
        <v>2.5696086918012679</v>
      </c>
      <c r="R880" s="15">
        <f ca="1">STDEV(P880:OFFSET(P880,-$R$5+1,0))</f>
        <v>2.0234081471071166</v>
      </c>
      <c r="S880" s="18">
        <f t="shared" si="171"/>
        <v>207.39999999999964</v>
      </c>
      <c r="T880" s="18">
        <f t="shared" si="172"/>
        <v>207.39999999999964</v>
      </c>
      <c r="U880" s="18">
        <f t="shared" si="180"/>
        <v>200.81005460087803</v>
      </c>
      <c r="V880" s="33">
        <f ca="1">AVERAGE(E880:OFFSET(E880,-V$5+1,0))</f>
        <v>7064.8685714285721</v>
      </c>
      <c r="W880" s="33">
        <f t="shared" ca="1" si="173"/>
        <v>7366.0836533298889</v>
      </c>
      <c r="X880" s="33">
        <f t="shared" ca="1" si="174"/>
        <v>6763.6534895272553</v>
      </c>
      <c r="Y880" s="32">
        <f t="shared" ca="1" si="181"/>
        <v>0</v>
      </c>
    </row>
    <row r="881" spans="1:25">
      <c r="A881" s="5">
        <v>39661</v>
      </c>
      <c r="B881" s="4">
        <v>6920.75</v>
      </c>
      <c r="C881" s="4">
        <v>7008</v>
      </c>
      <c r="D881" s="4">
        <v>6903.85</v>
      </c>
      <c r="E881" s="4">
        <v>7002.54</v>
      </c>
      <c r="F881" s="4">
        <v>3308000</v>
      </c>
      <c r="G881" s="8">
        <f t="shared" si="183"/>
        <v>-103.3100000000004</v>
      </c>
      <c r="H881" s="8">
        <f t="shared" si="182"/>
        <v>81.789999999999964</v>
      </c>
      <c r="I881" s="20">
        <f t="shared" ca="1" si="175"/>
        <v>0</v>
      </c>
      <c r="J881" s="8">
        <f t="shared" ca="1" si="176"/>
        <v>-3</v>
      </c>
      <c r="K881" s="8">
        <f t="shared" ca="1" si="177"/>
        <v>64.56000000000131</v>
      </c>
      <c r="L881" s="8">
        <f t="shared" ca="1" si="178"/>
        <v>4138.9300000000048</v>
      </c>
      <c r="M881" s="9">
        <f ca="1">AVERAGE(E881:OFFSET(E881,-M$5+1,0))</f>
        <v>7098.9589999999998</v>
      </c>
      <c r="N881" s="9">
        <f ca="1">AVERAGE(E881:OFFSET(E881,-N$5+1,0))</f>
        <v>7082.7985000000017</v>
      </c>
      <c r="O881" s="9">
        <f t="shared" ca="1" si="179"/>
        <v>1</v>
      </c>
      <c r="P881" s="14">
        <f t="shared" si="184"/>
        <v>-0.30684580561234476</v>
      </c>
      <c r="Q881" s="15">
        <f ca="1">STDEV(P881:OFFSET(P881,-$Q$5+1,0))</f>
        <v>2.2782305555513331</v>
      </c>
      <c r="R881" s="15">
        <f ca="1">STDEV(P881:OFFSET(P881,-$R$5+1,0))</f>
        <v>2.0029115633315593</v>
      </c>
      <c r="S881" s="18">
        <f t="shared" si="171"/>
        <v>104.14999999999964</v>
      </c>
      <c r="T881" s="18">
        <f t="shared" si="172"/>
        <v>120.21000000000004</v>
      </c>
      <c r="U881" s="18">
        <f t="shared" si="180"/>
        <v>190.06338065409432</v>
      </c>
      <c r="V881" s="33">
        <f ca="1">AVERAGE(E881:OFFSET(E881,-V$5+1,0))</f>
        <v>7047.5671428571432</v>
      </c>
      <c r="W881" s="33">
        <f t="shared" ca="1" si="173"/>
        <v>7332.6622138382845</v>
      </c>
      <c r="X881" s="33">
        <f t="shared" ca="1" si="174"/>
        <v>6762.4720718760018</v>
      </c>
      <c r="Y881" s="32">
        <f t="shared" ca="1" si="181"/>
        <v>0</v>
      </c>
    </row>
    <row r="882" spans="1:25">
      <c r="A882" s="5">
        <v>39664</v>
      </c>
      <c r="B882" s="4">
        <v>6947.25</v>
      </c>
      <c r="C882" s="4">
        <v>7010.93</v>
      </c>
      <c r="D882" s="4">
        <v>6927.31</v>
      </c>
      <c r="E882" s="4">
        <v>6977.36</v>
      </c>
      <c r="F882" s="4">
        <v>3136600</v>
      </c>
      <c r="G882" s="8">
        <f t="shared" si="183"/>
        <v>-55.289999999999964</v>
      </c>
      <c r="H882" s="8">
        <f t="shared" si="182"/>
        <v>30.109999999999673</v>
      </c>
      <c r="I882" s="20">
        <f t="shared" ca="1" si="175"/>
        <v>0</v>
      </c>
      <c r="J882" s="8">
        <f t="shared" ca="1" si="176"/>
        <v>-3</v>
      </c>
      <c r="K882" s="8">
        <f t="shared" ca="1" si="177"/>
        <v>75.540000000000873</v>
      </c>
      <c r="L882" s="8">
        <f t="shared" ca="1" si="178"/>
        <v>4214.4700000000057</v>
      </c>
      <c r="M882" s="9">
        <f ca="1">AVERAGE(E882:OFFSET(E882,-M$5+1,0))</f>
        <v>7115.1630000000005</v>
      </c>
      <c r="N882" s="9">
        <f ca="1">AVERAGE(E882:OFFSET(E882,-N$5+1,0))</f>
        <v>7070.2459999999992</v>
      </c>
      <c r="O882" s="9">
        <f t="shared" ca="1" si="179"/>
        <v>0</v>
      </c>
      <c r="P882" s="14">
        <f t="shared" si="184"/>
        <v>-0.36023186474060642</v>
      </c>
      <c r="Q882" s="15">
        <f ca="1">STDEV(P882:OFFSET(P882,-$Q$5+1,0))</f>
        <v>2.1337416866627805</v>
      </c>
      <c r="R882" s="15">
        <f ca="1">STDEV(P882:OFFSET(P882,-$R$5+1,0))</f>
        <v>2.0005583244358385</v>
      </c>
      <c r="S882" s="18">
        <f t="shared" si="171"/>
        <v>83.619999999999891</v>
      </c>
      <c r="T882" s="18">
        <f t="shared" si="172"/>
        <v>83.619999999999891</v>
      </c>
      <c r="U882" s="18">
        <f t="shared" si="180"/>
        <v>175.87092990021506</v>
      </c>
      <c r="V882" s="33">
        <f ca="1">AVERAGE(E882:OFFSET(E882,-V$5+1,0))</f>
        <v>7034.738571428571</v>
      </c>
      <c r="W882" s="33">
        <f t="shared" ca="1" si="173"/>
        <v>7298.5449662788933</v>
      </c>
      <c r="X882" s="33">
        <f t="shared" ca="1" si="174"/>
        <v>6770.9321765782488</v>
      </c>
      <c r="Y882" s="32">
        <f t="shared" ca="1" si="181"/>
        <v>0</v>
      </c>
    </row>
    <row r="883" spans="1:25">
      <c r="A883" s="5">
        <v>39665</v>
      </c>
      <c r="B883" s="4">
        <v>7005.17</v>
      </c>
      <c r="C883" s="4">
        <v>7005.17</v>
      </c>
      <c r="D883" s="4">
        <v>6809.96</v>
      </c>
      <c r="E883" s="4">
        <v>6813.4</v>
      </c>
      <c r="F883" s="4">
        <v>4177000</v>
      </c>
      <c r="G883" s="8">
        <f t="shared" si="183"/>
        <v>27.8100000000004</v>
      </c>
      <c r="H883" s="8">
        <f t="shared" si="182"/>
        <v>-191.77000000000044</v>
      </c>
      <c r="I883" s="20">
        <f t="shared" ca="1" si="175"/>
        <v>0</v>
      </c>
      <c r="J883" s="8">
        <f t="shared" ca="1" si="176"/>
        <v>-3</v>
      </c>
      <c r="K883" s="8">
        <f t="shared" ca="1" si="177"/>
        <v>491.88000000000011</v>
      </c>
      <c r="L883" s="8">
        <f t="shared" ca="1" si="178"/>
        <v>4706.3500000000058</v>
      </c>
      <c r="M883" s="9">
        <f ca="1">AVERAGE(E883:OFFSET(E883,-M$5+1,0))</f>
        <v>7087.9359999999988</v>
      </c>
      <c r="N883" s="9">
        <f ca="1">AVERAGE(E883:OFFSET(E883,-N$5+1,0))</f>
        <v>7043.8604999999998</v>
      </c>
      <c r="O883" s="9">
        <f t="shared" ca="1" si="179"/>
        <v>0</v>
      </c>
      <c r="P883" s="14">
        <f t="shared" si="184"/>
        <v>-2.3779360378696381</v>
      </c>
      <c r="Q883" s="15">
        <f ca="1">STDEV(P883:OFFSET(P883,-$Q$5+1,0))</f>
        <v>1.8413122478311426</v>
      </c>
      <c r="R883" s="15">
        <f ca="1">STDEV(P883:OFFSET(P883,-$R$5+1,0))</f>
        <v>2.0115126659252023</v>
      </c>
      <c r="S883" s="18">
        <f t="shared" si="171"/>
        <v>195.21000000000004</v>
      </c>
      <c r="T883" s="18">
        <f t="shared" si="172"/>
        <v>195.21000000000004</v>
      </c>
      <c r="U883" s="18">
        <f t="shared" si="180"/>
        <v>178.44947258018641</v>
      </c>
      <c r="V883" s="33">
        <f ca="1">AVERAGE(E883:OFFSET(E883,-V$5+1,0))</f>
        <v>7033.25</v>
      </c>
      <c r="W883" s="33">
        <f t="shared" ca="1" si="173"/>
        <v>7300.9242088702795</v>
      </c>
      <c r="X883" s="33">
        <f t="shared" ca="1" si="174"/>
        <v>6765.5757911297205</v>
      </c>
      <c r="Y883" s="32">
        <f t="shared" ca="1" si="181"/>
        <v>0</v>
      </c>
    </row>
    <row r="884" spans="1:25">
      <c r="A884" s="5">
        <v>39666</v>
      </c>
      <c r="B884" s="4">
        <v>6941.5</v>
      </c>
      <c r="C884" s="4">
        <v>7026.24</v>
      </c>
      <c r="D884" s="4">
        <v>6921.97</v>
      </c>
      <c r="E884" s="4">
        <v>7026.24</v>
      </c>
      <c r="F884" s="4">
        <v>4241600</v>
      </c>
      <c r="G884" s="8">
        <f t="shared" si="183"/>
        <v>128.10000000000036</v>
      </c>
      <c r="H884" s="8">
        <f t="shared" si="182"/>
        <v>84.739999999999782</v>
      </c>
      <c r="I884" s="20">
        <f t="shared" ca="1" si="175"/>
        <v>0</v>
      </c>
      <c r="J884" s="8">
        <f t="shared" ca="1" si="176"/>
        <v>-3</v>
      </c>
      <c r="K884" s="8">
        <f t="shared" ca="1" si="177"/>
        <v>-638.52000000000044</v>
      </c>
      <c r="L884" s="8">
        <f t="shared" ca="1" si="178"/>
        <v>4067.8300000000054</v>
      </c>
      <c r="M884" s="9">
        <f ca="1">AVERAGE(E884:OFFSET(E884,-M$5+1,0))</f>
        <v>7083.9949999999999</v>
      </c>
      <c r="N884" s="9">
        <f ca="1">AVERAGE(E884:OFFSET(E884,-N$5+1,0))</f>
        <v>7042.579999999999</v>
      </c>
      <c r="O884" s="9">
        <f t="shared" ca="1" si="179"/>
        <v>0</v>
      </c>
      <c r="P884" s="14">
        <f t="shared" si="184"/>
        <v>3.0760450743498988</v>
      </c>
      <c r="Q884" s="15">
        <f ca="1">STDEV(P884:OFFSET(P884,-$Q$5+1,0))</f>
        <v>2.1447587357245825</v>
      </c>
      <c r="R884" s="15">
        <f ca="1">STDEV(P884:OFFSET(P884,-$R$5+1,0))</f>
        <v>2.0655456331073081</v>
      </c>
      <c r="S884" s="18">
        <f t="shared" si="171"/>
        <v>104.26999999999953</v>
      </c>
      <c r="T884" s="18">
        <f t="shared" si="172"/>
        <v>212.84000000000015</v>
      </c>
      <c r="U884" s="18">
        <f t="shared" si="180"/>
        <v>183.03487623616158</v>
      </c>
      <c r="V884" s="33">
        <f ca="1">AVERAGE(E884:OFFSET(E884,-V$5+1,0))</f>
        <v>7055.7928571428574</v>
      </c>
      <c r="W884" s="33">
        <f t="shared" ca="1" si="173"/>
        <v>7330.3451714970997</v>
      </c>
      <c r="X884" s="33">
        <f t="shared" ca="1" si="174"/>
        <v>6781.2405427886151</v>
      </c>
      <c r="Y884" s="32">
        <f t="shared" ca="1" si="181"/>
        <v>0</v>
      </c>
    </row>
    <row r="885" spans="1:25">
      <c r="A885" s="5">
        <v>39667</v>
      </c>
      <c r="B885" s="4">
        <v>7022.28</v>
      </c>
      <c r="C885" s="4">
        <v>7082.36</v>
      </c>
      <c r="D885" s="4">
        <v>6993.2</v>
      </c>
      <c r="E885" s="4">
        <v>7024.58</v>
      </c>
      <c r="F885" s="4">
        <v>3941800</v>
      </c>
      <c r="G885" s="8">
        <f t="shared" si="183"/>
        <v>-3.9600000000000364</v>
      </c>
      <c r="H885" s="8">
        <f t="shared" si="182"/>
        <v>2.3000000000001819</v>
      </c>
      <c r="I885" s="20">
        <f t="shared" ca="1" si="175"/>
        <v>0</v>
      </c>
      <c r="J885" s="8">
        <f t="shared" ca="1" si="176"/>
        <v>-3</v>
      </c>
      <c r="K885" s="8">
        <f t="shared" ca="1" si="177"/>
        <v>4.9799999999995634</v>
      </c>
      <c r="L885" s="8">
        <f t="shared" ca="1" si="178"/>
        <v>4072.8100000000049</v>
      </c>
      <c r="M885" s="9">
        <f ca="1">AVERAGE(E885:OFFSET(E885,-M$5+1,0))</f>
        <v>7055.4699999999993</v>
      </c>
      <c r="N885" s="9">
        <f ca="1">AVERAGE(E885:OFFSET(E885,-N$5+1,0))</f>
        <v>7041.396499999998</v>
      </c>
      <c r="O885" s="9">
        <f t="shared" ca="1" si="179"/>
        <v>0</v>
      </c>
      <c r="P885" s="14">
        <f t="shared" si="184"/>
        <v>-2.3628514317641736E-2</v>
      </c>
      <c r="Q885" s="15">
        <f ca="1">STDEV(P885:OFFSET(P885,-$Q$5+1,0))</f>
        <v>1.7733941079714199</v>
      </c>
      <c r="R885" s="15">
        <f ca="1">STDEV(P885:OFFSET(P885,-$R$5+1,0))</f>
        <v>2.0664661454335596</v>
      </c>
      <c r="S885" s="18">
        <f t="shared" ref="S885:S948" si="185">C885-D885</f>
        <v>89.159999999999854</v>
      </c>
      <c r="T885" s="18">
        <f t="shared" ref="T885:T948" si="186">MAX(C885,E884)-MIN(D885,E884)</f>
        <v>89.159999999999854</v>
      </c>
      <c r="U885" s="18">
        <f t="shared" si="180"/>
        <v>170.51822607134002</v>
      </c>
      <c r="V885" s="33">
        <f ca="1">AVERAGE(E885:OFFSET(E885,-V$5+1,0))</f>
        <v>7059.369285714286</v>
      </c>
      <c r="W885" s="33">
        <f t="shared" ref="W885:W948" ca="1" si="187">V885+W$5*U885</f>
        <v>7315.1466248212964</v>
      </c>
      <c r="X885" s="33">
        <f t="shared" ref="X885:X948" ca="1" si="188">V885-W$5*U885</f>
        <v>6803.5919466072755</v>
      </c>
      <c r="Y885" s="32">
        <f t="shared" ca="1" si="181"/>
        <v>0</v>
      </c>
    </row>
    <row r="886" spans="1:25">
      <c r="A886" s="5">
        <v>39668</v>
      </c>
      <c r="B886" s="4">
        <v>7000.75</v>
      </c>
      <c r="C886" s="4">
        <v>7216.58</v>
      </c>
      <c r="D886" s="4">
        <v>7000.75</v>
      </c>
      <c r="E886" s="4">
        <v>7209.04</v>
      </c>
      <c r="F886" s="4">
        <v>4943200</v>
      </c>
      <c r="G886" s="8">
        <f t="shared" si="183"/>
        <v>-23.829999999999927</v>
      </c>
      <c r="H886" s="8">
        <f t="shared" si="182"/>
        <v>208.28999999999996</v>
      </c>
      <c r="I886" s="20">
        <f t="shared" ref="I886:I949" ca="1" si="189">Y886</f>
        <v>0</v>
      </c>
      <c r="J886" s="8">
        <f t="shared" ref="J886:J949" ca="1" si="190">IF((J885+I885)&gt;=J$5,J$5,IF((J885+I885)&lt;=J$7,J$7,J885+I885))</f>
        <v>-3</v>
      </c>
      <c r="K886" s="8">
        <f t="shared" ref="K886:K949" ca="1" si="191">J885*G886+J886*H886</f>
        <v>-553.38000000000011</v>
      </c>
      <c r="L886" s="8">
        <f t="shared" ref="L886:L949" ca="1" si="192">L885+K886</f>
        <v>3519.4300000000048</v>
      </c>
      <c r="M886" s="9">
        <f ca="1">AVERAGE(E886:OFFSET(E886,-M$5+1,0))</f>
        <v>7039.5660000000007</v>
      </c>
      <c r="N886" s="9">
        <f ca="1">AVERAGE(E886:OFFSET(E886,-N$5+1,0))</f>
        <v>7048.0660000000007</v>
      </c>
      <c r="O886" s="9">
        <f t="shared" ref="O886:O949" ca="1" si="193">IF(AND(M885&lt;=N885,M886&gt;N886),1,IF(AND(M885&gt;=N885,M886&lt;N886),-1,0))</f>
        <v>-1</v>
      </c>
      <c r="P886" s="14">
        <f t="shared" si="184"/>
        <v>2.5920367071170349</v>
      </c>
      <c r="Q886" s="15">
        <f ca="1">STDEV(P886:OFFSET(P886,-$Q$5+1,0))</f>
        <v>1.9860974037407315</v>
      </c>
      <c r="R886" s="15">
        <f ca="1">STDEV(P886:OFFSET(P886,-$R$5+1,0))</f>
        <v>2.060801684296071</v>
      </c>
      <c r="S886" s="18">
        <f t="shared" si="185"/>
        <v>215.82999999999993</v>
      </c>
      <c r="T886" s="18">
        <f t="shared" si="186"/>
        <v>215.82999999999993</v>
      </c>
      <c r="U886" s="18">
        <f t="shared" ref="U886:U949" si="194">$U$5*T886+(1-$U$5)*U885</f>
        <v>176.55979592849468</v>
      </c>
      <c r="V886" s="33">
        <f ca="1">AVERAGE(E886:OFFSET(E886,-V$5+1,0))</f>
        <v>7087.4921428571424</v>
      </c>
      <c r="W886" s="33">
        <f t="shared" ca="1" si="187"/>
        <v>7352.3318367498841</v>
      </c>
      <c r="X886" s="33">
        <f t="shared" ca="1" si="188"/>
        <v>6822.6524489644007</v>
      </c>
      <c r="Y886" s="32">
        <f t="shared" ref="Y886:Y949" ca="1" si="195">IF(AND(E885&gt;X885,E886&lt;X886),-1,IF(AND(E885&lt;W885,E886&gt;W886),1,0))</f>
        <v>0</v>
      </c>
    </row>
    <row r="887" spans="1:25">
      <c r="A887" s="5">
        <v>39671</v>
      </c>
      <c r="B887" s="4">
        <v>7313.08</v>
      </c>
      <c r="C887" s="4">
        <v>7357.69</v>
      </c>
      <c r="D887" s="4">
        <v>7278.9</v>
      </c>
      <c r="E887" s="4">
        <v>7325.62</v>
      </c>
      <c r="F887" s="4">
        <v>4737000</v>
      </c>
      <c r="G887" s="8">
        <f t="shared" si="183"/>
        <v>104.03999999999996</v>
      </c>
      <c r="H887" s="8">
        <f t="shared" si="182"/>
        <v>12.539999999999964</v>
      </c>
      <c r="I887" s="20">
        <f t="shared" ca="1" si="189"/>
        <v>0</v>
      </c>
      <c r="J887" s="8">
        <f t="shared" ca="1" si="190"/>
        <v>-3</v>
      </c>
      <c r="K887" s="8">
        <f t="shared" ca="1" si="191"/>
        <v>-349.73999999999978</v>
      </c>
      <c r="L887" s="8">
        <f t="shared" ca="1" si="192"/>
        <v>3169.6900000000051</v>
      </c>
      <c r="M887" s="9">
        <f ca="1">AVERAGE(E887:OFFSET(E887,-M$5+1,0))</f>
        <v>7048.7660000000005</v>
      </c>
      <c r="N887" s="9">
        <f ca="1">AVERAGE(E887:OFFSET(E887,-N$5+1,0))</f>
        <v>7052.1089999999995</v>
      </c>
      <c r="O887" s="9">
        <f t="shared" ca="1" si="193"/>
        <v>0</v>
      </c>
      <c r="P887" s="14">
        <f t="shared" si="184"/>
        <v>1.6041998932626051</v>
      </c>
      <c r="Q887" s="15">
        <f ca="1">STDEV(P887:OFFSET(P887,-$Q$5+1,0))</f>
        <v>1.9720009111345267</v>
      </c>
      <c r="R887" s="15">
        <f ca="1">STDEV(P887:OFFSET(P887,-$R$5+1,0))</f>
        <v>2.0784937532072085</v>
      </c>
      <c r="S887" s="18">
        <f t="shared" si="185"/>
        <v>78.789999999999964</v>
      </c>
      <c r="T887" s="18">
        <f t="shared" si="186"/>
        <v>148.64999999999964</v>
      </c>
      <c r="U887" s="18">
        <f t="shared" si="194"/>
        <v>172.83848980469537</v>
      </c>
      <c r="V887" s="33">
        <f ca="1">AVERAGE(E887:OFFSET(E887,-V$5+1,0))</f>
        <v>7104.631428571427</v>
      </c>
      <c r="W887" s="33">
        <f t="shared" ca="1" si="187"/>
        <v>7363.8891632784698</v>
      </c>
      <c r="X887" s="33">
        <f t="shared" ca="1" si="188"/>
        <v>6845.3736938643842</v>
      </c>
      <c r="Y887" s="32">
        <f t="shared" ca="1" si="195"/>
        <v>0</v>
      </c>
    </row>
    <row r="888" spans="1:25">
      <c r="A888" s="5">
        <v>39672</v>
      </c>
      <c r="B888" s="4">
        <v>7337.67</v>
      </c>
      <c r="C888" s="4">
        <v>7337.67</v>
      </c>
      <c r="D888" s="4">
        <v>7260.12</v>
      </c>
      <c r="E888" s="4">
        <v>7293.8</v>
      </c>
      <c r="F888" s="4">
        <v>4271800</v>
      </c>
      <c r="G888" s="8">
        <f t="shared" si="183"/>
        <v>12.050000000000182</v>
      </c>
      <c r="H888" s="8">
        <f t="shared" si="182"/>
        <v>-43.869999999999891</v>
      </c>
      <c r="I888" s="20">
        <f t="shared" ca="1" si="189"/>
        <v>0</v>
      </c>
      <c r="J888" s="8">
        <f t="shared" ca="1" si="190"/>
        <v>-3</v>
      </c>
      <c r="K888" s="8">
        <f t="shared" ca="1" si="191"/>
        <v>95.459999999999127</v>
      </c>
      <c r="L888" s="8">
        <f t="shared" ca="1" si="192"/>
        <v>3265.1500000000042</v>
      </c>
      <c r="M888" s="9">
        <f ca="1">AVERAGE(E888:OFFSET(E888,-M$5+1,0))</f>
        <v>7076.6990000000005</v>
      </c>
      <c r="N888" s="9">
        <f ca="1">AVERAGE(E888:OFFSET(E888,-N$5+1,0))</f>
        <v>7058.9509999999991</v>
      </c>
      <c r="O888" s="9">
        <f t="shared" ca="1" si="193"/>
        <v>1</v>
      </c>
      <c r="P888" s="14">
        <f t="shared" si="184"/>
        <v>-0.43531207459894122</v>
      </c>
      <c r="Q888" s="15">
        <f ca="1">STDEV(P888:OFFSET(P888,-$Q$5+1,0))</f>
        <v>1.6451590280999611</v>
      </c>
      <c r="R888" s="15">
        <f ca="1">STDEV(P888:OFFSET(P888,-$R$5+1,0))</f>
        <v>2.0717646722909318</v>
      </c>
      <c r="S888" s="18">
        <f t="shared" si="185"/>
        <v>77.550000000000182</v>
      </c>
      <c r="T888" s="18">
        <f t="shared" si="186"/>
        <v>77.550000000000182</v>
      </c>
      <c r="U888" s="18">
        <f t="shared" si="194"/>
        <v>160.13335783073603</v>
      </c>
      <c r="V888" s="33">
        <f ca="1">AVERAGE(E888:OFFSET(E888,-V$5+1,0))</f>
        <v>7120.9278571428567</v>
      </c>
      <c r="W888" s="33">
        <f t="shared" ca="1" si="187"/>
        <v>7361.1278938889609</v>
      </c>
      <c r="X888" s="33">
        <f t="shared" ca="1" si="188"/>
        <v>6880.7278203967526</v>
      </c>
      <c r="Y888" s="32">
        <f t="shared" ca="1" si="195"/>
        <v>0</v>
      </c>
    </row>
    <row r="889" spans="1:25">
      <c r="A889" s="5">
        <v>39673</v>
      </c>
      <c r="B889" s="4">
        <v>7272.49</v>
      </c>
      <c r="C889" s="4">
        <v>7311.3</v>
      </c>
      <c r="D889" s="4">
        <v>7213.11</v>
      </c>
      <c r="E889" s="4">
        <v>7292.34</v>
      </c>
      <c r="F889" s="4">
        <v>4123000</v>
      </c>
      <c r="G889" s="8">
        <f t="shared" si="183"/>
        <v>-21.3100000000004</v>
      </c>
      <c r="H889" s="8">
        <f t="shared" si="182"/>
        <v>19.850000000000364</v>
      </c>
      <c r="I889" s="20">
        <f t="shared" ca="1" si="189"/>
        <v>0</v>
      </c>
      <c r="J889" s="8">
        <f t="shared" ca="1" si="190"/>
        <v>-3</v>
      </c>
      <c r="K889" s="8">
        <f t="shared" ca="1" si="191"/>
        <v>4.3800000000001091</v>
      </c>
      <c r="L889" s="8">
        <f t="shared" ca="1" si="192"/>
        <v>3269.5300000000043</v>
      </c>
      <c r="M889" s="9">
        <f ca="1">AVERAGE(E889:OFFSET(E889,-M$5+1,0))</f>
        <v>7098.898000000001</v>
      </c>
      <c r="N889" s="9">
        <f ca="1">AVERAGE(E889:OFFSET(E889,-N$5+1,0))</f>
        <v>7081.8559999999998</v>
      </c>
      <c r="O889" s="9">
        <f t="shared" ca="1" si="193"/>
        <v>0</v>
      </c>
      <c r="P889" s="14">
        <f t="shared" si="184"/>
        <v>-2.0019004409338341E-2</v>
      </c>
      <c r="Q889" s="15">
        <f ca="1">STDEV(P889:OFFSET(P889,-$Q$5+1,0))</f>
        <v>1.6431297574242831</v>
      </c>
      <c r="R889" s="15">
        <f ca="1">STDEV(P889:OFFSET(P889,-$R$5+1,0))</f>
        <v>2.069349784434122</v>
      </c>
      <c r="S889" s="18">
        <f t="shared" si="185"/>
        <v>98.190000000000509</v>
      </c>
      <c r="T889" s="18">
        <f t="shared" si="186"/>
        <v>98.190000000000509</v>
      </c>
      <c r="U889" s="18">
        <f t="shared" si="194"/>
        <v>151.87424345330464</v>
      </c>
      <c r="V889" s="33">
        <f ca="1">AVERAGE(E889:OFFSET(E889,-V$5+1,0))</f>
        <v>7119.6785714285706</v>
      </c>
      <c r="W889" s="33">
        <f t="shared" ca="1" si="187"/>
        <v>7347.4899366085274</v>
      </c>
      <c r="X889" s="33">
        <f t="shared" ca="1" si="188"/>
        <v>6891.8672062486139</v>
      </c>
      <c r="Y889" s="32">
        <f t="shared" ca="1" si="195"/>
        <v>0</v>
      </c>
    </row>
    <row r="890" spans="1:25">
      <c r="A890" s="5">
        <v>39674</v>
      </c>
      <c r="B890" s="4">
        <v>7265.01</v>
      </c>
      <c r="C890" s="4">
        <v>7353.31</v>
      </c>
      <c r="D890" s="4">
        <v>7253.63</v>
      </c>
      <c r="E890" s="4">
        <v>7326.07</v>
      </c>
      <c r="F890" s="4">
        <v>4276400</v>
      </c>
      <c r="G890" s="8">
        <f t="shared" si="183"/>
        <v>-27.329999999999927</v>
      </c>
      <c r="H890" s="8">
        <f t="shared" si="182"/>
        <v>61.059999999999491</v>
      </c>
      <c r="I890" s="20">
        <f t="shared" ca="1" si="189"/>
        <v>0</v>
      </c>
      <c r="J890" s="8">
        <f t="shared" ca="1" si="190"/>
        <v>-3</v>
      </c>
      <c r="K890" s="8">
        <f t="shared" ca="1" si="191"/>
        <v>-101.18999999999869</v>
      </c>
      <c r="L890" s="8">
        <f t="shared" ca="1" si="192"/>
        <v>3168.3400000000056</v>
      </c>
      <c r="M890" s="9">
        <f ca="1">AVERAGE(E890:OFFSET(E890,-M$5+1,0))</f>
        <v>7129.099000000002</v>
      </c>
      <c r="N890" s="9">
        <f ca="1">AVERAGE(E890:OFFSET(E890,-N$5+1,0))</f>
        <v>7112.6275000000005</v>
      </c>
      <c r="O890" s="9">
        <f t="shared" ca="1" si="193"/>
        <v>0</v>
      </c>
      <c r="P890" s="14">
        <f t="shared" si="184"/>
        <v>0.46147371511566565</v>
      </c>
      <c r="Q890" s="15">
        <f ca="1">STDEV(P890:OFFSET(P890,-$Q$5+1,0))</f>
        <v>1.6077538911019105</v>
      </c>
      <c r="R890" s="15">
        <f ca="1">STDEV(P890:OFFSET(P890,-$R$5+1,0))</f>
        <v>2.071407577347284</v>
      </c>
      <c r="S890" s="18">
        <f t="shared" si="185"/>
        <v>99.680000000000291</v>
      </c>
      <c r="T890" s="18">
        <f t="shared" si="186"/>
        <v>99.680000000000291</v>
      </c>
      <c r="U890" s="18">
        <f t="shared" si="194"/>
        <v>144.91501099286407</v>
      </c>
      <c r="V890" s="33">
        <f ca="1">AVERAGE(E890:OFFSET(E890,-V$5+1,0))</f>
        <v>7116.6778571428567</v>
      </c>
      <c r="W890" s="33">
        <f t="shared" ca="1" si="187"/>
        <v>7334.0503736321525</v>
      </c>
      <c r="X890" s="33">
        <f t="shared" ca="1" si="188"/>
        <v>6899.305340653561</v>
      </c>
      <c r="Y890" s="32">
        <f t="shared" ca="1" si="195"/>
        <v>0</v>
      </c>
    </row>
    <row r="891" spans="1:25">
      <c r="A891" s="5">
        <v>39675</v>
      </c>
      <c r="B891" s="4">
        <v>7374.38</v>
      </c>
      <c r="C891" s="4">
        <v>7376.69</v>
      </c>
      <c r="D891" s="4">
        <v>7181.69</v>
      </c>
      <c r="E891" s="4">
        <v>7196.5</v>
      </c>
      <c r="F891" s="4">
        <v>3853200</v>
      </c>
      <c r="G891" s="8">
        <f t="shared" si="183"/>
        <v>48.3100000000004</v>
      </c>
      <c r="H891" s="8">
        <f t="shared" si="182"/>
        <v>-177.88000000000011</v>
      </c>
      <c r="I891" s="20">
        <f t="shared" ca="1" si="189"/>
        <v>0</v>
      </c>
      <c r="J891" s="8">
        <f t="shared" ca="1" si="190"/>
        <v>-3</v>
      </c>
      <c r="K891" s="8">
        <f t="shared" ca="1" si="191"/>
        <v>388.70999999999913</v>
      </c>
      <c r="L891" s="8">
        <f t="shared" ca="1" si="192"/>
        <v>3557.0500000000047</v>
      </c>
      <c r="M891" s="9">
        <f ca="1">AVERAGE(E891:OFFSET(E891,-M$5+1,0))</f>
        <v>7148.4950000000008</v>
      </c>
      <c r="N891" s="9">
        <f ca="1">AVERAGE(E891:OFFSET(E891,-N$5+1,0))</f>
        <v>7123.726999999999</v>
      </c>
      <c r="O891" s="9">
        <f t="shared" ca="1" si="193"/>
        <v>0</v>
      </c>
      <c r="P891" s="14">
        <f t="shared" si="184"/>
        <v>-1.7844422599940384</v>
      </c>
      <c r="Q891" s="15">
        <f ca="1">STDEV(P891:OFFSET(P891,-$Q$5+1,0))</f>
        <v>1.7441863970627287</v>
      </c>
      <c r="R891" s="15">
        <f ca="1">STDEV(P891:OFFSET(P891,-$R$5+1,0))</f>
        <v>2.0651771959721366</v>
      </c>
      <c r="S891" s="18">
        <f t="shared" si="185"/>
        <v>195</v>
      </c>
      <c r="T891" s="18">
        <f t="shared" si="186"/>
        <v>195</v>
      </c>
      <c r="U891" s="18">
        <f t="shared" si="194"/>
        <v>151.59300952714887</v>
      </c>
      <c r="V891" s="33">
        <f ca="1">AVERAGE(E891:OFFSET(E891,-V$5+1,0))</f>
        <v>7114.0264285714284</v>
      </c>
      <c r="W891" s="33">
        <f t="shared" ca="1" si="187"/>
        <v>7341.4159428621515</v>
      </c>
      <c r="X891" s="33">
        <f t="shared" ca="1" si="188"/>
        <v>6886.6369142807052</v>
      </c>
      <c r="Y891" s="32">
        <f t="shared" ca="1" si="195"/>
        <v>0</v>
      </c>
    </row>
    <row r="892" spans="1:25">
      <c r="A892" s="5">
        <v>39678</v>
      </c>
      <c r="B892" s="4">
        <v>7189.68</v>
      </c>
      <c r="C892" s="4">
        <v>7213.69</v>
      </c>
      <c r="D892" s="4">
        <v>6996.78</v>
      </c>
      <c r="E892" s="4">
        <v>7000.74</v>
      </c>
      <c r="F892" s="4">
        <v>3594600</v>
      </c>
      <c r="G892" s="8">
        <f t="shared" si="183"/>
        <v>-6.819999999999709</v>
      </c>
      <c r="H892" s="8">
        <f t="shared" si="182"/>
        <v>-188.94000000000051</v>
      </c>
      <c r="I892" s="20">
        <f t="shared" ca="1" si="189"/>
        <v>0</v>
      </c>
      <c r="J892" s="8">
        <f t="shared" ca="1" si="190"/>
        <v>-3</v>
      </c>
      <c r="K892" s="8">
        <f t="shared" ca="1" si="191"/>
        <v>587.28000000000065</v>
      </c>
      <c r="L892" s="8">
        <f t="shared" ca="1" si="192"/>
        <v>4144.3300000000054</v>
      </c>
      <c r="M892" s="9">
        <f ca="1">AVERAGE(E892:OFFSET(E892,-M$5+1,0))</f>
        <v>7150.8330000000005</v>
      </c>
      <c r="N892" s="9">
        <f ca="1">AVERAGE(E892:OFFSET(E892,-N$5+1,0))</f>
        <v>7132.9979999999996</v>
      </c>
      <c r="O892" s="9">
        <f t="shared" ca="1" si="193"/>
        <v>0</v>
      </c>
      <c r="P892" s="14">
        <f t="shared" si="184"/>
        <v>-2.757893896692218</v>
      </c>
      <c r="Q892" s="15">
        <f ca="1">STDEV(P892:OFFSET(P892,-$Q$5+1,0))</f>
        <v>1.9886114828670378</v>
      </c>
      <c r="R892" s="15">
        <f ca="1">STDEV(P892:OFFSET(P892,-$R$5+1,0))</f>
        <v>2.0882740199348548</v>
      </c>
      <c r="S892" s="18">
        <f t="shared" si="185"/>
        <v>216.90999999999985</v>
      </c>
      <c r="T892" s="18">
        <f t="shared" si="186"/>
        <v>216.90999999999985</v>
      </c>
      <c r="U892" s="18">
        <f t="shared" si="194"/>
        <v>160.30194159019567</v>
      </c>
      <c r="V892" s="33">
        <f ca="1">AVERAGE(E892:OFFSET(E892,-V$5+1,0))</f>
        <v>7113.045714285714</v>
      </c>
      <c r="W892" s="33">
        <f t="shared" ca="1" si="187"/>
        <v>7353.4986266710075</v>
      </c>
      <c r="X892" s="33">
        <f t="shared" ca="1" si="188"/>
        <v>6872.5928019004205</v>
      </c>
      <c r="Y892" s="32">
        <f t="shared" ca="1" si="195"/>
        <v>0</v>
      </c>
    </row>
    <row r="893" spans="1:25">
      <c r="A893" s="5">
        <v>39679</v>
      </c>
      <c r="B893" s="4">
        <v>6876.23</v>
      </c>
      <c r="C893" s="4">
        <v>6998.24</v>
      </c>
      <c r="D893" s="4">
        <v>6849.83</v>
      </c>
      <c r="E893" s="4">
        <v>6978.6</v>
      </c>
      <c r="F893" s="4">
        <v>3468400</v>
      </c>
      <c r="G893" s="8">
        <f t="shared" si="183"/>
        <v>-124.51000000000022</v>
      </c>
      <c r="H893" s="8">
        <f t="shared" si="182"/>
        <v>102.3700000000008</v>
      </c>
      <c r="I893" s="20">
        <f t="shared" ca="1" si="189"/>
        <v>0</v>
      </c>
      <c r="J893" s="8">
        <f t="shared" ca="1" si="190"/>
        <v>-3</v>
      </c>
      <c r="K893" s="8">
        <f t="shared" ca="1" si="191"/>
        <v>66.419999999998254</v>
      </c>
      <c r="L893" s="8">
        <f t="shared" ca="1" si="192"/>
        <v>4210.7500000000036</v>
      </c>
      <c r="M893" s="9">
        <f ca="1">AVERAGE(E893:OFFSET(E893,-M$5+1,0))</f>
        <v>7167.3530000000001</v>
      </c>
      <c r="N893" s="9">
        <f ca="1">AVERAGE(E893:OFFSET(E893,-N$5+1,0))</f>
        <v>7127.6444999999994</v>
      </c>
      <c r="O893" s="9">
        <f t="shared" ca="1" si="193"/>
        <v>0</v>
      </c>
      <c r="P893" s="14">
        <f t="shared" si="184"/>
        <v>-0.31675341627550918</v>
      </c>
      <c r="Q893" s="15">
        <f ca="1">STDEV(P893:OFFSET(P893,-$Q$5+1,0))</f>
        <v>1.8096710372547038</v>
      </c>
      <c r="R893" s="15">
        <f ca="1">STDEV(P893:OFFSET(P893,-$R$5+1,0))</f>
        <v>2.0882710173222518</v>
      </c>
      <c r="S893" s="18">
        <f t="shared" si="185"/>
        <v>148.40999999999985</v>
      </c>
      <c r="T893" s="18">
        <f t="shared" si="186"/>
        <v>150.90999999999985</v>
      </c>
      <c r="U893" s="18">
        <f t="shared" si="194"/>
        <v>159.0496827115029</v>
      </c>
      <c r="V893" s="33">
        <f ca="1">AVERAGE(E893:OFFSET(E893,-V$5+1,0))</f>
        <v>7106.4921428571452</v>
      </c>
      <c r="W893" s="33">
        <f t="shared" ca="1" si="187"/>
        <v>7345.0666669243992</v>
      </c>
      <c r="X893" s="33">
        <f t="shared" ca="1" si="188"/>
        <v>6867.9176187898911</v>
      </c>
      <c r="Y893" s="32">
        <f t="shared" ca="1" si="195"/>
        <v>0</v>
      </c>
    </row>
    <row r="894" spans="1:25">
      <c r="A894" s="5">
        <v>39680</v>
      </c>
      <c r="B894" s="4">
        <v>6927.46</v>
      </c>
      <c r="C894" s="4">
        <v>7053.56</v>
      </c>
      <c r="D894" s="4">
        <v>6898.29</v>
      </c>
      <c r="E894" s="4">
        <v>7040.9</v>
      </c>
      <c r="F894" s="4">
        <v>3446000</v>
      </c>
      <c r="G894" s="8">
        <f t="shared" si="183"/>
        <v>-51.140000000000327</v>
      </c>
      <c r="H894" s="8">
        <f t="shared" si="182"/>
        <v>113.4399999999996</v>
      </c>
      <c r="I894" s="20">
        <f t="shared" ca="1" si="189"/>
        <v>0</v>
      </c>
      <c r="J894" s="8">
        <f t="shared" ca="1" si="190"/>
        <v>-3</v>
      </c>
      <c r="K894" s="8">
        <f t="shared" ca="1" si="191"/>
        <v>-186.89999999999782</v>
      </c>
      <c r="L894" s="8">
        <f t="shared" ca="1" si="192"/>
        <v>4023.8500000000058</v>
      </c>
      <c r="M894" s="9">
        <f ca="1">AVERAGE(E894:OFFSET(E894,-M$5+1,0))</f>
        <v>7168.8189999999986</v>
      </c>
      <c r="N894" s="9">
        <f ca="1">AVERAGE(E894:OFFSET(E894,-N$5+1,0))</f>
        <v>7126.4069999999992</v>
      </c>
      <c r="O894" s="9">
        <f t="shared" ca="1" si="193"/>
        <v>0</v>
      </c>
      <c r="P894" s="14">
        <f t="shared" si="184"/>
        <v>0.88876793171781299</v>
      </c>
      <c r="Q894" s="15">
        <f ca="1">STDEV(P894:OFFSET(P894,-$Q$5+1,0))</f>
        <v>1.5409821928276066</v>
      </c>
      <c r="R894" s="15">
        <f ca="1">STDEV(P894:OFFSET(P894,-$R$5+1,0))</f>
        <v>2.0826277711715528</v>
      </c>
      <c r="S894" s="18">
        <f t="shared" si="185"/>
        <v>155.27000000000044</v>
      </c>
      <c r="T894" s="18">
        <f t="shared" si="186"/>
        <v>155.27000000000044</v>
      </c>
      <c r="U894" s="18">
        <f t="shared" si="194"/>
        <v>158.54572501663588</v>
      </c>
      <c r="V894" s="33">
        <f ca="1">AVERAGE(E894:OFFSET(E894,-V$5+1,0))</f>
        <v>7107.6950000000015</v>
      </c>
      <c r="W894" s="33">
        <f t="shared" ca="1" si="187"/>
        <v>7345.5135875249553</v>
      </c>
      <c r="X894" s="33">
        <f t="shared" ca="1" si="188"/>
        <v>6869.8764124750478</v>
      </c>
      <c r="Y894" s="32">
        <f t="shared" ca="1" si="195"/>
        <v>0</v>
      </c>
    </row>
    <row r="895" spans="1:25">
      <c r="A895" s="5">
        <v>39681</v>
      </c>
      <c r="B895" s="4">
        <v>6989.94</v>
      </c>
      <c r="C895" s="4">
        <v>7017.1</v>
      </c>
      <c r="D895" s="4">
        <v>6918.48</v>
      </c>
      <c r="E895" s="4">
        <v>6918.48</v>
      </c>
      <c r="F895" s="4">
        <v>3318600</v>
      </c>
      <c r="G895" s="8">
        <f t="shared" si="183"/>
        <v>-50.960000000000036</v>
      </c>
      <c r="H895" s="8">
        <f t="shared" si="182"/>
        <v>-71.460000000000036</v>
      </c>
      <c r="I895" s="20">
        <f t="shared" ca="1" si="189"/>
        <v>0</v>
      </c>
      <c r="J895" s="8">
        <f t="shared" ca="1" si="190"/>
        <v>-3</v>
      </c>
      <c r="K895" s="8">
        <f t="shared" ca="1" si="191"/>
        <v>367.26000000000022</v>
      </c>
      <c r="L895" s="8">
        <f t="shared" ca="1" si="192"/>
        <v>4391.110000000006</v>
      </c>
      <c r="M895" s="9">
        <f ca="1">AVERAGE(E895:OFFSET(E895,-M$5+1,0))</f>
        <v>7158.2089999999998</v>
      </c>
      <c r="N895" s="9">
        <f ca="1">AVERAGE(E895:OFFSET(E895,-N$5+1,0))</f>
        <v>7106.8395</v>
      </c>
      <c r="O895" s="9">
        <f t="shared" ca="1" si="193"/>
        <v>0</v>
      </c>
      <c r="P895" s="14">
        <f t="shared" si="184"/>
        <v>-1.7539910584994636</v>
      </c>
      <c r="Q895" s="15">
        <f ca="1">STDEV(P895:OFFSET(P895,-$Q$5+1,0))</f>
        <v>1.640470038184612</v>
      </c>
      <c r="R895" s="15">
        <f ca="1">STDEV(P895:OFFSET(P895,-$R$5+1,0))</f>
        <v>2.0766221855414826</v>
      </c>
      <c r="S895" s="18">
        <f t="shared" si="185"/>
        <v>98.6200000000008</v>
      </c>
      <c r="T895" s="18">
        <f t="shared" si="186"/>
        <v>122.42000000000007</v>
      </c>
      <c r="U895" s="18">
        <f t="shared" si="194"/>
        <v>153.72896168108446</v>
      </c>
      <c r="V895" s="33">
        <f ca="1">AVERAGE(E895:OFFSET(E895,-V$5+1,0))</f>
        <v>7101.6907142857153</v>
      </c>
      <c r="W895" s="33">
        <f t="shared" ca="1" si="187"/>
        <v>7332.2841568073418</v>
      </c>
      <c r="X895" s="33">
        <f t="shared" ca="1" si="188"/>
        <v>6871.0972717640889</v>
      </c>
      <c r="Y895" s="32">
        <f t="shared" ca="1" si="195"/>
        <v>0</v>
      </c>
    </row>
    <row r="896" spans="1:25">
      <c r="A896" s="5">
        <v>39682</v>
      </c>
      <c r="B896" s="4">
        <v>6966.12</v>
      </c>
      <c r="C896" s="4">
        <v>6994.8</v>
      </c>
      <c r="D896" s="4">
        <v>6837.25</v>
      </c>
      <c r="E896" s="4">
        <v>6911.64</v>
      </c>
      <c r="F896" s="4">
        <v>3240400</v>
      </c>
      <c r="G896" s="8">
        <f t="shared" si="183"/>
        <v>47.640000000000327</v>
      </c>
      <c r="H896" s="8">
        <f t="shared" si="182"/>
        <v>-54.479999999999563</v>
      </c>
      <c r="I896" s="20">
        <f t="shared" ca="1" si="189"/>
        <v>0</v>
      </c>
      <c r="J896" s="8">
        <f t="shared" ca="1" si="190"/>
        <v>-3</v>
      </c>
      <c r="K896" s="8">
        <f t="shared" ca="1" si="191"/>
        <v>20.519999999997708</v>
      </c>
      <c r="L896" s="8">
        <f t="shared" ca="1" si="192"/>
        <v>4411.6300000000037</v>
      </c>
      <c r="M896" s="9">
        <f ca="1">AVERAGE(E896:OFFSET(E896,-M$5+1,0))</f>
        <v>7128.4690000000001</v>
      </c>
      <c r="N896" s="9">
        <f ca="1">AVERAGE(E896:OFFSET(E896,-N$5+1,0))</f>
        <v>7084.0174999999999</v>
      </c>
      <c r="O896" s="9">
        <f t="shared" ca="1" si="193"/>
        <v>0</v>
      </c>
      <c r="P896" s="14">
        <f t="shared" si="184"/>
        <v>-9.8914551105737103E-2</v>
      </c>
      <c r="Q896" s="15">
        <f ca="1">STDEV(P896:OFFSET(P896,-$Q$5+1,0))</f>
        <v>1.3320074946411538</v>
      </c>
      <c r="R896" s="15">
        <f ca="1">STDEV(P896:OFFSET(P896,-$R$5+1,0))</f>
        <v>2.0765446895905422</v>
      </c>
      <c r="S896" s="18">
        <f t="shared" si="185"/>
        <v>157.55000000000018</v>
      </c>
      <c r="T896" s="18">
        <f t="shared" si="186"/>
        <v>157.55000000000018</v>
      </c>
      <c r="U896" s="18">
        <f t="shared" si="194"/>
        <v>154.2384334569399</v>
      </c>
      <c r="V896" s="33">
        <f ca="1">AVERAGE(E896:OFFSET(E896,-V$5+1,0))</f>
        <v>7096.9964285714286</v>
      </c>
      <c r="W896" s="33">
        <f t="shared" ca="1" si="187"/>
        <v>7328.3540787568381</v>
      </c>
      <c r="X896" s="33">
        <f t="shared" ca="1" si="188"/>
        <v>6865.6387783860191</v>
      </c>
      <c r="Y896" s="32">
        <f t="shared" ca="1" si="195"/>
        <v>0</v>
      </c>
    </row>
    <row r="897" spans="1:25">
      <c r="A897" s="5">
        <v>39685</v>
      </c>
      <c r="B897" s="4">
        <v>6974.07</v>
      </c>
      <c r="C897" s="4">
        <v>7050.31</v>
      </c>
      <c r="D897" s="4">
        <v>6935.59</v>
      </c>
      <c r="E897" s="4">
        <v>7030.72</v>
      </c>
      <c r="F897" s="4">
        <v>3047200</v>
      </c>
      <c r="G897" s="8">
        <f t="shared" si="183"/>
        <v>62.429999999999382</v>
      </c>
      <c r="H897" s="8">
        <f t="shared" si="182"/>
        <v>56.650000000000546</v>
      </c>
      <c r="I897" s="20">
        <f t="shared" ca="1" si="189"/>
        <v>0</v>
      </c>
      <c r="J897" s="8">
        <f t="shared" ca="1" si="190"/>
        <v>-3</v>
      </c>
      <c r="K897" s="8">
        <f t="shared" ca="1" si="191"/>
        <v>-357.23999999999978</v>
      </c>
      <c r="L897" s="8">
        <f t="shared" ca="1" si="192"/>
        <v>4054.390000000004</v>
      </c>
      <c r="M897" s="9">
        <f ca="1">AVERAGE(E897:OFFSET(E897,-M$5+1,0))</f>
        <v>7098.9789999999994</v>
      </c>
      <c r="N897" s="9">
        <f ca="1">AVERAGE(E897:OFFSET(E897,-N$5+1,0))</f>
        <v>7073.8725000000004</v>
      </c>
      <c r="O897" s="9">
        <f t="shared" ca="1" si="193"/>
        <v>0</v>
      </c>
      <c r="P897" s="14">
        <f t="shared" si="184"/>
        <v>1.7082171973831086</v>
      </c>
      <c r="Q897" s="15">
        <f ca="1">STDEV(P897:OFFSET(P897,-$Q$5+1,0))</f>
        <v>1.3498685125356786</v>
      </c>
      <c r="R897" s="15">
        <f ca="1">STDEV(P897:OFFSET(P897,-$R$5+1,0))</f>
        <v>2.0370856815824543</v>
      </c>
      <c r="S897" s="18">
        <f t="shared" si="185"/>
        <v>114.72000000000025</v>
      </c>
      <c r="T897" s="18">
        <f t="shared" si="186"/>
        <v>138.67000000000007</v>
      </c>
      <c r="U897" s="18">
        <f t="shared" si="194"/>
        <v>152.16264232934793</v>
      </c>
      <c r="V897" s="33">
        <f ca="1">AVERAGE(E897:OFFSET(E897,-V$5+1,0))</f>
        <v>7112.5192857142847</v>
      </c>
      <c r="W897" s="33">
        <f t="shared" ca="1" si="187"/>
        <v>7340.7632492083067</v>
      </c>
      <c r="X897" s="33">
        <f t="shared" ca="1" si="188"/>
        <v>6884.2753222202628</v>
      </c>
      <c r="Y897" s="32">
        <f t="shared" ca="1" si="195"/>
        <v>0</v>
      </c>
    </row>
    <row r="898" spans="1:25">
      <c r="A898" s="5">
        <v>39686</v>
      </c>
      <c r="B898" s="4">
        <v>6945.14</v>
      </c>
      <c r="C898" s="4">
        <v>6980.85</v>
      </c>
      <c r="D898" s="4">
        <v>6917.31</v>
      </c>
      <c r="E898" s="4">
        <v>6964.6</v>
      </c>
      <c r="F898" s="4">
        <v>2548200</v>
      </c>
      <c r="G898" s="8">
        <f t="shared" si="183"/>
        <v>-85.579999999999927</v>
      </c>
      <c r="H898" s="8">
        <f t="shared" si="182"/>
        <v>19.460000000000036</v>
      </c>
      <c r="I898" s="20">
        <f t="shared" ca="1" si="189"/>
        <v>0</v>
      </c>
      <c r="J898" s="8">
        <f t="shared" ca="1" si="190"/>
        <v>-3</v>
      </c>
      <c r="K898" s="8">
        <f t="shared" ca="1" si="191"/>
        <v>198.35999999999967</v>
      </c>
      <c r="L898" s="8">
        <f t="shared" ca="1" si="192"/>
        <v>4252.7500000000036</v>
      </c>
      <c r="M898" s="9">
        <f ca="1">AVERAGE(E898:OFFSET(E898,-M$5+1,0))</f>
        <v>7066.0590000000011</v>
      </c>
      <c r="N898" s="9">
        <f ca="1">AVERAGE(E898:OFFSET(E898,-N$5+1,0))</f>
        <v>7071.378999999999</v>
      </c>
      <c r="O898" s="9">
        <f t="shared" ca="1" si="193"/>
        <v>-1</v>
      </c>
      <c r="P898" s="14">
        <f t="shared" si="184"/>
        <v>-0.94489432104440596</v>
      </c>
      <c r="Q898" s="15">
        <f ca="1">STDEV(P898:OFFSET(P898,-$Q$5+1,0))</f>
        <v>1.3604698984583652</v>
      </c>
      <c r="R898" s="15">
        <f ca="1">STDEV(P898:OFFSET(P898,-$R$5+1,0))</f>
        <v>2.0405730990952962</v>
      </c>
      <c r="S898" s="18">
        <f t="shared" si="185"/>
        <v>63.539999999999964</v>
      </c>
      <c r="T898" s="18">
        <f t="shared" si="186"/>
        <v>113.40999999999985</v>
      </c>
      <c r="U898" s="18">
        <f t="shared" si="194"/>
        <v>146.99562335210155</v>
      </c>
      <c r="V898" s="33">
        <f ca="1">AVERAGE(E898:OFFSET(E898,-V$5+1,0))</f>
        <v>7108.1164285714276</v>
      </c>
      <c r="W898" s="33">
        <f t="shared" ca="1" si="187"/>
        <v>7328.6098635995795</v>
      </c>
      <c r="X898" s="33">
        <f t="shared" ca="1" si="188"/>
        <v>6887.6229935432757</v>
      </c>
      <c r="Y898" s="32">
        <f t="shared" ca="1" si="195"/>
        <v>0</v>
      </c>
    </row>
    <row r="899" spans="1:25">
      <c r="A899" s="5">
        <v>39687</v>
      </c>
      <c r="B899" s="4">
        <v>6950.88</v>
      </c>
      <c r="C899" s="4">
        <v>7106.64</v>
      </c>
      <c r="D899" s="4">
        <v>6929.87</v>
      </c>
      <c r="E899" s="4">
        <v>7080.97</v>
      </c>
      <c r="F899" s="4">
        <v>3440000</v>
      </c>
      <c r="G899" s="8">
        <f t="shared" si="183"/>
        <v>-13.720000000000255</v>
      </c>
      <c r="H899" s="8">
        <f t="shared" si="182"/>
        <v>130.09000000000015</v>
      </c>
      <c r="I899" s="20">
        <f t="shared" ca="1" si="189"/>
        <v>0</v>
      </c>
      <c r="J899" s="8">
        <f t="shared" ca="1" si="190"/>
        <v>-3</v>
      </c>
      <c r="K899" s="8">
        <f t="shared" ca="1" si="191"/>
        <v>-349.10999999999967</v>
      </c>
      <c r="L899" s="8">
        <f t="shared" ca="1" si="192"/>
        <v>3903.640000000004</v>
      </c>
      <c r="M899" s="9">
        <f ca="1">AVERAGE(E899:OFFSET(E899,-M$5+1,0))</f>
        <v>7044.9219999999987</v>
      </c>
      <c r="N899" s="9">
        <f ca="1">AVERAGE(E899:OFFSET(E899,-N$5+1,0))</f>
        <v>7071.9100000000008</v>
      </c>
      <c r="O899" s="9">
        <f t="shared" ca="1" si="193"/>
        <v>0</v>
      </c>
      <c r="P899" s="14">
        <f t="shared" si="184"/>
        <v>1.6570728395504628</v>
      </c>
      <c r="Q899" s="15">
        <f ca="1">STDEV(P899:OFFSET(P899,-$Q$5+1,0))</f>
        <v>1.5155213215191892</v>
      </c>
      <c r="R899" s="15">
        <f ca="1">STDEV(P899:OFFSET(P899,-$R$5+1,0))</f>
        <v>2.0489132603723683</v>
      </c>
      <c r="S899" s="18">
        <f t="shared" si="185"/>
        <v>176.77000000000044</v>
      </c>
      <c r="T899" s="18">
        <f t="shared" si="186"/>
        <v>176.77000000000044</v>
      </c>
      <c r="U899" s="18">
        <f t="shared" si="194"/>
        <v>150.96554023848807</v>
      </c>
      <c r="V899" s="33">
        <f ca="1">AVERAGE(E899:OFFSET(E899,-V$5+1,0))</f>
        <v>7112.1442857142856</v>
      </c>
      <c r="W899" s="33">
        <f t="shared" ca="1" si="187"/>
        <v>7338.5925960720178</v>
      </c>
      <c r="X899" s="33">
        <f t="shared" ca="1" si="188"/>
        <v>6885.6959753565534</v>
      </c>
      <c r="Y899" s="32">
        <f t="shared" ca="1" si="195"/>
        <v>0</v>
      </c>
    </row>
    <row r="900" spans="1:25">
      <c r="A900" s="5">
        <v>39688</v>
      </c>
      <c r="B900" s="4">
        <v>7090.32</v>
      </c>
      <c r="C900" s="4">
        <v>7127.84</v>
      </c>
      <c r="D900" s="4">
        <v>7025.3</v>
      </c>
      <c r="E900" s="4">
        <v>7033.37</v>
      </c>
      <c r="F900" s="4">
        <v>3807800</v>
      </c>
      <c r="G900" s="8">
        <f t="shared" si="183"/>
        <v>9.3499999999994543</v>
      </c>
      <c r="H900" s="8">
        <f t="shared" ref="H900:H963" si="196">E900-B900</f>
        <v>-56.949999999999818</v>
      </c>
      <c r="I900" s="20">
        <f t="shared" ca="1" si="189"/>
        <v>0</v>
      </c>
      <c r="J900" s="8">
        <f t="shared" ca="1" si="190"/>
        <v>-3</v>
      </c>
      <c r="K900" s="8">
        <f t="shared" ca="1" si="191"/>
        <v>142.80000000000109</v>
      </c>
      <c r="L900" s="8">
        <f t="shared" ca="1" si="192"/>
        <v>4046.4400000000051</v>
      </c>
      <c r="M900" s="9">
        <f ca="1">AVERAGE(E900:OFFSET(E900,-M$5+1,0))</f>
        <v>7015.652</v>
      </c>
      <c r="N900" s="9">
        <f ca="1">AVERAGE(E900:OFFSET(E900,-N$5+1,0))</f>
        <v>7072.3755000000001</v>
      </c>
      <c r="O900" s="9">
        <f t="shared" ca="1" si="193"/>
        <v>0</v>
      </c>
      <c r="P900" s="14">
        <f t="shared" si="184"/>
        <v>-0.67449389004648419</v>
      </c>
      <c r="Q900" s="15">
        <f ca="1">STDEV(P900:OFFSET(P900,-$Q$5+1,0))</f>
        <v>1.4950261321415952</v>
      </c>
      <c r="R900" s="15">
        <f ca="1">STDEV(P900:OFFSET(P900,-$R$5+1,0))</f>
        <v>2.0484781453386893</v>
      </c>
      <c r="S900" s="18">
        <f t="shared" si="185"/>
        <v>102.53999999999996</v>
      </c>
      <c r="T900" s="18">
        <f t="shared" si="186"/>
        <v>102.53999999999996</v>
      </c>
      <c r="U900" s="18">
        <f t="shared" si="194"/>
        <v>144.508801540023</v>
      </c>
      <c r="V900" s="33">
        <f ca="1">AVERAGE(E900:OFFSET(E900,-V$5+1,0))</f>
        <v>7099.596428571429</v>
      </c>
      <c r="W900" s="33">
        <f t="shared" ca="1" si="187"/>
        <v>7316.3596308814631</v>
      </c>
      <c r="X900" s="33">
        <f t="shared" ca="1" si="188"/>
        <v>6882.8332262613949</v>
      </c>
      <c r="Y900" s="32">
        <f t="shared" ca="1" si="195"/>
        <v>0</v>
      </c>
    </row>
    <row r="901" spans="1:25">
      <c r="A901" s="5">
        <v>39689</v>
      </c>
      <c r="B901" s="4">
        <v>7092.85</v>
      </c>
      <c r="C901" s="4">
        <v>7111.7</v>
      </c>
      <c r="D901" s="4">
        <v>7021.32</v>
      </c>
      <c r="E901" s="4">
        <v>7046.11</v>
      </c>
      <c r="F901" s="4">
        <v>3494400</v>
      </c>
      <c r="G901" s="8">
        <f t="shared" ref="G901:G964" si="197">B901-E900</f>
        <v>59.480000000000473</v>
      </c>
      <c r="H901" s="8">
        <f t="shared" si="196"/>
        <v>-46.740000000000691</v>
      </c>
      <c r="I901" s="20">
        <f t="shared" ca="1" si="189"/>
        <v>0</v>
      </c>
      <c r="J901" s="8">
        <f t="shared" ca="1" si="190"/>
        <v>-3</v>
      </c>
      <c r="K901" s="8">
        <f t="shared" ca="1" si="191"/>
        <v>-38.219999999999345</v>
      </c>
      <c r="L901" s="8">
        <f t="shared" ca="1" si="192"/>
        <v>4008.2200000000057</v>
      </c>
      <c r="M901" s="9">
        <f ca="1">AVERAGE(E901:OFFSET(E901,-M$5+1,0))</f>
        <v>7000.6130000000003</v>
      </c>
      <c r="N901" s="9">
        <f ca="1">AVERAGE(E901:OFFSET(E901,-N$5+1,0))</f>
        <v>7074.554000000001</v>
      </c>
      <c r="O901" s="9">
        <f t="shared" ca="1" si="193"/>
        <v>0</v>
      </c>
      <c r="P901" s="14">
        <f t="shared" ref="P901:P964" si="198">100*LN(E901/E900)</f>
        <v>0.18097264212988382</v>
      </c>
      <c r="Q901" s="15">
        <f ca="1">STDEV(P901:OFFSET(P901,-$Q$5+1,0))</f>
        <v>1.4213017037012772</v>
      </c>
      <c r="R901" s="15">
        <f ca="1">STDEV(P901:OFFSET(P901,-$R$5+1,0))</f>
        <v>2.0462888067073943</v>
      </c>
      <c r="S901" s="18">
        <f t="shared" si="185"/>
        <v>90.380000000000109</v>
      </c>
      <c r="T901" s="18">
        <f t="shared" si="186"/>
        <v>90.380000000000109</v>
      </c>
      <c r="U901" s="18">
        <f t="shared" si="194"/>
        <v>137.29162800135327</v>
      </c>
      <c r="V901" s="33">
        <f ca="1">AVERAGE(E901:OFFSET(E901,-V$5+1,0))</f>
        <v>7079.6314285714279</v>
      </c>
      <c r="W901" s="33">
        <f t="shared" ca="1" si="187"/>
        <v>7285.5688705734574</v>
      </c>
      <c r="X901" s="33">
        <f t="shared" ca="1" si="188"/>
        <v>6873.6939865693985</v>
      </c>
      <c r="Y901" s="32">
        <f t="shared" ca="1" si="195"/>
        <v>0</v>
      </c>
    </row>
    <row r="902" spans="1:25">
      <c r="A902" s="5">
        <v>39692</v>
      </c>
      <c r="B902" s="4">
        <v>6967.22</v>
      </c>
      <c r="C902" s="4">
        <v>6967.22</v>
      </c>
      <c r="D902" s="4">
        <v>6801.22</v>
      </c>
      <c r="E902" s="4">
        <v>6813.09</v>
      </c>
      <c r="F902" s="4">
        <v>3445000</v>
      </c>
      <c r="G902" s="8">
        <f t="shared" si="197"/>
        <v>-78.889999999999418</v>
      </c>
      <c r="H902" s="8">
        <f t="shared" si="196"/>
        <v>-154.13000000000011</v>
      </c>
      <c r="I902" s="20">
        <f t="shared" ca="1" si="189"/>
        <v>-1</v>
      </c>
      <c r="J902" s="8">
        <f t="shared" ca="1" si="190"/>
        <v>-3</v>
      </c>
      <c r="K902" s="8">
        <f t="shared" ca="1" si="191"/>
        <v>699.05999999999858</v>
      </c>
      <c r="L902" s="8">
        <f t="shared" ca="1" si="192"/>
        <v>4707.2800000000043</v>
      </c>
      <c r="M902" s="9">
        <f ca="1">AVERAGE(E902:OFFSET(E902,-M$5+1,0))</f>
        <v>6981.848</v>
      </c>
      <c r="N902" s="9">
        <f ca="1">AVERAGE(E902:OFFSET(E902,-N$5+1,0))</f>
        <v>7066.3405000000002</v>
      </c>
      <c r="O902" s="9">
        <f t="shared" ca="1" si="193"/>
        <v>0</v>
      </c>
      <c r="P902" s="14">
        <f t="shared" si="198"/>
        <v>-3.3629929747853629</v>
      </c>
      <c r="Q902" s="15">
        <f ca="1">STDEV(P902:OFFSET(P902,-$Q$5+1,0))</f>
        <v>1.5489219293154153</v>
      </c>
      <c r="R902" s="15">
        <f ca="1">STDEV(P902:OFFSET(P902,-$R$5+1,0))</f>
        <v>2.0827970127903779</v>
      </c>
      <c r="S902" s="18">
        <f t="shared" si="185"/>
        <v>166</v>
      </c>
      <c r="T902" s="18">
        <f t="shared" si="186"/>
        <v>244.88999999999942</v>
      </c>
      <c r="U902" s="18">
        <f t="shared" si="194"/>
        <v>151.63807760117277</v>
      </c>
      <c r="V902" s="33">
        <f ca="1">AVERAGE(E902:OFFSET(E902,-V$5+1,0))</f>
        <v>7045.2950000000001</v>
      </c>
      <c r="W902" s="33">
        <f t="shared" ca="1" si="187"/>
        <v>7272.7521164017589</v>
      </c>
      <c r="X902" s="33">
        <f t="shared" ca="1" si="188"/>
        <v>6817.8378835982412</v>
      </c>
      <c r="Y902" s="32">
        <f t="shared" ca="1" si="195"/>
        <v>-1</v>
      </c>
    </row>
    <row r="903" spans="1:25">
      <c r="A903" s="5">
        <v>39693</v>
      </c>
      <c r="B903" s="4">
        <v>6802.96</v>
      </c>
      <c r="C903" s="4">
        <v>6811.57</v>
      </c>
      <c r="D903" s="4">
        <v>6675.09</v>
      </c>
      <c r="E903" s="4">
        <v>6699.82</v>
      </c>
      <c r="F903" s="4">
        <v>3458400</v>
      </c>
      <c r="G903" s="8">
        <f t="shared" si="197"/>
        <v>-10.130000000000109</v>
      </c>
      <c r="H903" s="8">
        <f t="shared" si="196"/>
        <v>-103.14000000000033</v>
      </c>
      <c r="I903" s="20">
        <f t="shared" ca="1" si="189"/>
        <v>0</v>
      </c>
      <c r="J903" s="8">
        <f t="shared" ca="1" si="190"/>
        <v>-3</v>
      </c>
      <c r="K903" s="8">
        <f t="shared" ca="1" si="191"/>
        <v>339.81000000000131</v>
      </c>
      <c r="L903" s="8">
        <f t="shared" ca="1" si="192"/>
        <v>5047.0900000000056</v>
      </c>
      <c r="M903" s="9">
        <f ca="1">AVERAGE(E903:OFFSET(E903,-M$5+1,0))</f>
        <v>6953.9700000000012</v>
      </c>
      <c r="N903" s="9">
        <f ca="1">AVERAGE(E903:OFFSET(E903,-N$5+1,0))</f>
        <v>7060.6615000000002</v>
      </c>
      <c r="O903" s="9">
        <f t="shared" ca="1" si="193"/>
        <v>0</v>
      </c>
      <c r="P903" s="14">
        <f t="shared" si="198"/>
        <v>-1.6765101379519538</v>
      </c>
      <c r="Q903" s="15">
        <f ca="1">STDEV(P903:OFFSET(P903,-$Q$5+1,0))</f>
        <v>1.6117277670661903</v>
      </c>
      <c r="R903" s="15">
        <f ca="1">STDEV(P903:OFFSET(P903,-$R$5+1,0))</f>
        <v>2.0778892354285765</v>
      </c>
      <c r="S903" s="18">
        <f t="shared" si="185"/>
        <v>136.47999999999956</v>
      </c>
      <c r="T903" s="18">
        <f t="shared" si="186"/>
        <v>138</v>
      </c>
      <c r="U903" s="18">
        <f t="shared" si="194"/>
        <v>149.81966725434975</v>
      </c>
      <c r="V903" s="33">
        <f ca="1">AVERAGE(E903:OFFSET(E903,-V$5+1,0))</f>
        <v>7002.972142857142</v>
      </c>
      <c r="W903" s="33">
        <f t="shared" ca="1" si="187"/>
        <v>7227.7016437386665</v>
      </c>
      <c r="X903" s="33">
        <f t="shared" ca="1" si="188"/>
        <v>6778.2426419756175</v>
      </c>
      <c r="Y903" s="32">
        <f t="shared" ca="1" si="195"/>
        <v>0</v>
      </c>
    </row>
    <row r="904" spans="1:25">
      <c r="A904" s="5">
        <v>39694</v>
      </c>
      <c r="B904" s="4">
        <v>6706.87</v>
      </c>
      <c r="C904" s="4">
        <v>6748.52</v>
      </c>
      <c r="D904" s="4">
        <v>6552.1</v>
      </c>
      <c r="E904" s="4">
        <v>6584.93</v>
      </c>
      <c r="F904" s="4">
        <v>3934800</v>
      </c>
      <c r="G904" s="8">
        <f t="shared" si="197"/>
        <v>7.0500000000001819</v>
      </c>
      <c r="H904" s="8">
        <f t="shared" si="196"/>
        <v>-121.9399999999996</v>
      </c>
      <c r="I904" s="20">
        <f t="shared" ca="1" si="189"/>
        <v>0</v>
      </c>
      <c r="J904" s="8">
        <f t="shared" ca="1" si="190"/>
        <v>-3</v>
      </c>
      <c r="K904" s="8">
        <f t="shared" ca="1" si="191"/>
        <v>344.66999999999825</v>
      </c>
      <c r="L904" s="8">
        <f t="shared" ca="1" si="192"/>
        <v>5391.7600000000039</v>
      </c>
      <c r="M904" s="9">
        <f ca="1">AVERAGE(E904:OFFSET(E904,-M$5+1,0))</f>
        <v>6908.3730000000014</v>
      </c>
      <c r="N904" s="9">
        <f ca="1">AVERAGE(E904:OFFSET(E904,-N$5+1,0))</f>
        <v>7038.5959999999995</v>
      </c>
      <c r="O904" s="9">
        <f t="shared" ca="1" si="193"/>
        <v>0</v>
      </c>
      <c r="P904" s="14">
        <f t="shared" si="198"/>
        <v>-1.7296955445844155</v>
      </c>
      <c r="Q904" s="15">
        <f ca="1">STDEV(P904:OFFSET(P904,-$Q$5+1,0))</f>
        <v>1.5902595160526869</v>
      </c>
      <c r="R904" s="15">
        <f ca="1">STDEV(P904:OFFSET(P904,-$R$5+1,0))</f>
        <v>2.0008610993436236</v>
      </c>
      <c r="S904" s="18">
        <f t="shared" si="185"/>
        <v>196.42000000000007</v>
      </c>
      <c r="T904" s="18">
        <f t="shared" si="186"/>
        <v>196.42000000000007</v>
      </c>
      <c r="U904" s="18">
        <f t="shared" si="194"/>
        <v>156.0330449537698</v>
      </c>
      <c r="V904" s="33">
        <f ca="1">AVERAGE(E904:OFFSET(E904,-V$5+1,0))</f>
        <v>6950.0335714285711</v>
      </c>
      <c r="W904" s="33">
        <f t="shared" ca="1" si="187"/>
        <v>7184.083138859226</v>
      </c>
      <c r="X904" s="33">
        <f t="shared" ca="1" si="188"/>
        <v>6715.9840039979163</v>
      </c>
      <c r="Y904" s="32">
        <f t="shared" ca="1" si="195"/>
        <v>0</v>
      </c>
    </row>
    <row r="905" spans="1:25">
      <c r="A905" s="5">
        <v>39695</v>
      </c>
      <c r="B905" s="4">
        <v>6534.67</v>
      </c>
      <c r="C905" s="4">
        <v>6603.1</v>
      </c>
      <c r="D905" s="4">
        <v>6384.14</v>
      </c>
      <c r="E905" s="4">
        <v>6412.63</v>
      </c>
      <c r="F905" s="4">
        <v>4126400</v>
      </c>
      <c r="G905" s="8">
        <f t="shared" si="197"/>
        <v>-50.260000000000218</v>
      </c>
      <c r="H905" s="8">
        <f t="shared" si="196"/>
        <v>-122.03999999999996</v>
      </c>
      <c r="I905" s="20">
        <f t="shared" ca="1" si="189"/>
        <v>0</v>
      </c>
      <c r="J905" s="8">
        <f t="shared" ca="1" si="190"/>
        <v>-3</v>
      </c>
      <c r="K905" s="8">
        <f t="shared" ca="1" si="191"/>
        <v>516.90000000000055</v>
      </c>
      <c r="L905" s="8">
        <f t="shared" ca="1" si="192"/>
        <v>5908.6600000000044</v>
      </c>
      <c r="M905" s="9">
        <f ca="1">AVERAGE(E905:OFFSET(E905,-M$5+1,0))</f>
        <v>6857.7880000000005</v>
      </c>
      <c r="N905" s="9">
        <f ca="1">AVERAGE(E905:OFFSET(E905,-N$5+1,0))</f>
        <v>7007.9984999999997</v>
      </c>
      <c r="O905" s="9">
        <f t="shared" ca="1" si="193"/>
        <v>0</v>
      </c>
      <c r="P905" s="14">
        <f t="shared" si="198"/>
        <v>-2.651422172266694</v>
      </c>
      <c r="Q905" s="15">
        <f ca="1">STDEV(P905:OFFSET(P905,-$Q$5+1,0))</f>
        <v>1.6809931948563466</v>
      </c>
      <c r="R905" s="15">
        <f ca="1">STDEV(P905:OFFSET(P905,-$R$5+1,0))</f>
        <v>2.0387404433384622</v>
      </c>
      <c r="S905" s="18">
        <f t="shared" si="185"/>
        <v>218.96000000000004</v>
      </c>
      <c r="T905" s="18">
        <f t="shared" si="186"/>
        <v>218.96000000000004</v>
      </c>
      <c r="U905" s="18">
        <f t="shared" si="194"/>
        <v>164.42330562660052</v>
      </c>
      <c r="V905" s="33">
        <f ca="1">AVERAGE(E905:OFFSET(E905,-V$5+1,0))</f>
        <v>6894.0428571428574</v>
      </c>
      <c r="W905" s="33">
        <f t="shared" ca="1" si="187"/>
        <v>7140.6778155827578</v>
      </c>
      <c r="X905" s="33">
        <f t="shared" ca="1" si="188"/>
        <v>6647.407898702957</v>
      </c>
      <c r="Y905" s="32">
        <f t="shared" ca="1" si="195"/>
        <v>0</v>
      </c>
    </row>
    <row r="906" spans="1:25">
      <c r="A906" s="5">
        <v>39696</v>
      </c>
      <c r="B906" s="4">
        <v>6227.07</v>
      </c>
      <c r="C906" s="4">
        <v>6347.47</v>
      </c>
      <c r="D906" s="4">
        <v>6211.35</v>
      </c>
      <c r="E906" s="4">
        <v>6307.28</v>
      </c>
      <c r="F906" s="4">
        <v>3958400</v>
      </c>
      <c r="G906" s="8">
        <f t="shared" si="197"/>
        <v>-185.5600000000004</v>
      </c>
      <c r="H906" s="8">
        <f t="shared" si="196"/>
        <v>80.210000000000036</v>
      </c>
      <c r="I906" s="20">
        <f t="shared" ca="1" si="189"/>
        <v>0</v>
      </c>
      <c r="J906" s="8">
        <f t="shared" ca="1" si="190"/>
        <v>-3</v>
      </c>
      <c r="K906" s="8">
        <f t="shared" ca="1" si="191"/>
        <v>316.05000000000109</v>
      </c>
      <c r="L906" s="8">
        <f t="shared" ca="1" si="192"/>
        <v>6224.7100000000055</v>
      </c>
      <c r="M906" s="9">
        <f ca="1">AVERAGE(E906:OFFSET(E906,-M$5+1,0))</f>
        <v>6797.3520000000008</v>
      </c>
      <c r="N906" s="9">
        <f ca="1">AVERAGE(E906:OFFSET(E906,-N$5+1,0))</f>
        <v>6962.9105</v>
      </c>
      <c r="O906" s="9">
        <f t="shared" ca="1" si="193"/>
        <v>0</v>
      </c>
      <c r="P906" s="14">
        <f t="shared" si="198"/>
        <v>-1.6564961383261567</v>
      </c>
      <c r="Q906" s="15">
        <f ca="1">STDEV(P906:OFFSET(P906,-$Q$5+1,0))</f>
        <v>1.685163844689282</v>
      </c>
      <c r="R906" s="15">
        <f ca="1">STDEV(P906:OFFSET(P906,-$R$5+1,0))</f>
        <v>2.048294215417644</v>
      </c>
      <c r="S906" s="18">
        <f t="shared" si="185"/>
        <v>136.11999999999989</v>
      </c>
      <c r="T906" s="18">
        <f t="shared" si="186"/>
        <v>201.27999999999975</v>
      </c>
      <c r="U906" s="18">
        <f t="shared" si="194"/>
        <v>169.33753154305376</v>
      </c>
      <c r="V906" s="33">
        <f ca="1">AVERAGE(E906:OFFSET(E906,-V$5+1,0))</f>
        <v>6844.5099999999993</v>
      </c>
      <c r="W906" s="33">
        <f t="shared" ca="1" si="187"/>
        <v>7098.5162973145798</v>
      </c>
      <c r="X906" s="33">
        <f t="shared" ca="1" si="188"/>
        <v>6590.5037026854188</v>
      </c>
      <c r="Y906" s="32">
        <f t="shared" ca="1" si="195"/>
        <v>0</v>
      </c>
    </row>
    <row r="907" spans="1:25">
      <c r="A907" s="5">
        <v>39699</v>
      </c>
      <c r="B907" s="4">
        <v>6560.73</v>
      </c>
      <c r="C907" s="4">
        <v>6668.45</v>
      </c>
      <c r="D907" s="4">
        <v>6548.36</v>
      </c>
      <c r="E907" s="4">
        <v>6658.69</v>
      </c>
      <c r="F907" s="4">
        <v>3317200</v>
      </c>
      <c r="G907" s="8">
        <f t="shared" si="197"/>
        <v>253.44999999999982</v>
      </c>
      <c r="H907" s="8">
        <f t="shared" si="196"/>
        <v>97.960000000000036</v>
      </c>
      <c r="I907" s="20">
        <f t="shared" ca="1" si="189"/>
        <v>0</v>
      </c>
      <c r="J907" s="8">
        <f t="shared" ca="1" si="190"/>
        <v>-3</v>
      </c>
      <c r="K907" s="8">
        <f t="shared" ca="1" si="191"/>
        <v>-1054.2299999999996</v>
      </c>
      <c r="L907" s="8">
        <f t="shared" ca="1" si="192"/>
        <v>5170.4800000000059</v>
      </c>
      <c r="M907" s="9">
        <f ca="1">AVERAGE(E907:OFFSET(E907,-M$5+1,0))</f>
        <v>6760.1489999999994</v>
      </c>
      <c r="N907" s="9">
        <f ca="1">AVERAGE(E907:OFFSET(E907,-N$5+1,0))</f>
        <v>6929.5640000000003</v>
      </c>
      <c r="O907" s="9">
        <f t="shared" ca="1" si="193"/>
        <v>0</v>
      </c>
      <c r="P907" s="14">
        <f t="shared" si="198"/>
        <v>5.4218246695651446</v>
      </c>
      <c r="Q907" s="15">
        <f ca="1">STDEV(P907:OFFSET(P907,-$Q$5+1,0))</f>
        <v>2.5265955386507595</v>
      </c>
      <c r="R907" s="15">
        <f ca="1">STDEV(P907:OFFSET(P907,-$R$5+1,0))</f>
        <v>2.2012064627431425</v>
      </c>
      <c r="S907" s="18">
        <f t="shared" si="185"/>
        <v>120.09000000000015</v>
      </c>
      <c r="T907" s="18">
        <f t="shared" si="186"/>
        <v>361.17000000000007</v>
      </c>
      <c r="U907" s="18">
        <f t="shared" si="194"/>
        <v>194.91519400397993</v>
      </c>
      <c r="V907" s="33">
        <f ca="1">AVERAGE(E907:OFFSET(E907,-V$5+1,0))</f>
        <v>6821.6592857142869</v>
      </c>
      <c r="W907" s="33">
        <f t="shared" ca="1" si="187"/>
        <v>7114.0320767202566</v>
      </c>
      <c r="X907" s="33">
        <f t="shared" ca="1" si="188"/>
        <v>6529.2864947083172</v>
      </c>
      <c r="Y907" s="32">
        <f t="shared" ca="1" si="195"/>
        <v>0</v>
      </c>
    </row>
    <row r="908" spans="1:25">
      <c r="A908" s="5">
        <v>39700</v>
      </c>
      <c r="B908" s="4">
        <v>6598.61</v>
      </c>
      <c r="C908" s="4">
        <v>6598.61</v>
      </c>
      <c r="D908" s="4">
        <v>6407.75</v>
      </c>
      <c r="E908" s="4">
        <v>6424.77</v>
      </c>
      <c r="F908" s="4">
        <v>3529400</v>
      </c>
      <c r="G908" s="8">
        <f t="shared" si="197"/>
        <v>-60.079999999999927</v>
      </c>
      <c r="H908" s="8">
        <f t="shared" si="196"/>
        <v>-173.83999999999924</v>
      </c>
      <c r="I908" s="20">
        <f t="shared" ca="1" si="189"/>
        <v>-1</v>
      </c>
      <c r="J908" s="8">
        <f t="shared" ca="1" si="190"/>
        <v>-3</v>
      </c>
      <c r="K908" s="8">
        <f t="shared" ca="1" si="191"/>
        <v>701.75999999999749</v>
      </c>
      <c r="L908" s="8">
        <f t="shared" ca="1" si="192"/>
        <v>5872.2400000000034</v>
      </c>
      <c r="M908" s="9">
        <f ca="1">AVERAGE(E908:OFFSET(E908,-M$5+1,0))</f>
        <v>6706.1660000000002</v>
      </c>
      <c r="N908" s="9">
        <f ca="1">AVERAGE(E908:OFFSET(E908,-N$5+1,0))</f>
        <v>6886.1125000000002</v>
      </c>
      <c r="O908" s="9">
        <f t="shared" ca="1" si="193"/>
        <v>0</v>
      </c>
      <c r="P908" s="14">
        <f t="shared" si="198"/>
        <v>-3.5761936033106525</v>
      </c>
      <c r="Q908" s="15">
        <f ca="1">STDEV(P908:OFFSET(P908,-$Q$5+1,0))</f>
        <v>2.7038253599340858</v>
      </c>
      <c r="R908" s="15">
        <f ca="1">STDEV(P908:OFFSET(P908,-$R$5+1,0))</f>
        <v>2.2596605545393764</v>
      </c>
      <c r="S908" s="18">
        <f t="shared" si="185"/>
        <v>190.85999999999967</v>
      </c>
      <c r="T908" s="18">
        <f t="shared" si="186"/>
        <v>250.9399999999996</v>
      </c>
      <c r="U908" s="18">
        <f t="shared" si="194"/>
        <v>202.38516813678257</v>
      </c>
      <c r="V908" s="33">
        <f ca="1">AVERAGE(E908:OFFSET(E908,-V$5+1,0))</f>
        <v>6777.6500000000015</v>
      </c>
      <c r="W908" s="33">
        <f t="shared" ca="1" si="187"/>
        <v>7081.2277522051754</v>
      </c>
      <c r="X908" s="33">
        <f t="shared" ca="1" si="188"/>
        <v>6474.0722477948275</v>
      </c>
      <c r="Y908" s="32">
        <f t="shared" ca="1" si="195"/>
        <v>-1</v>
      </c>
    </row>
    <row r="909" spans="1:25">
      <c r="A909" s="5">
        <v>39701</v>
      </c>
      <c r="B909" s="4">
        <v>6396.28</v>
      </c>
      <c r="C909" s="4">
        <v>6497.72</v>
      </c>
      <c r="D909" s="4">
        <v>6396.28</v>
      </c>
      <c r="E909" s="4">
        <v>6458.01</v>
      </c>
      <c r="F909" s="4">
        <v>3995200</v>
      </c>
      <c r="G909" s="8">
        <f t="shared" si="197"/>
        <v>-28.490000000000691</v>
      </c>
      <c r="H909" s="8">
        <f t="shared" si="196"/>
        <v>61.730000000000473</v>
      </c>
      <c r="I909" s="20">
        <f t="shared" ca="1" si="189"/>
        <v>0</v>
      </c>
      <c r="J909" s="8">
        <f t="shared" ca="1" si="190"/>
        <v>-3</v>
      </c>
      <c r="K909" s="8">
        <f t="shared" ca="1" si="191"/>
        <v>-99.719999999999345</v>
      </c>
      <c r="L909" s="8">
        <f t="shared" ca="1" si="192"/>
        <v>5772.5200000000041</v>
      </c>
      <c r="M909" s="9">
        <f ca="1">AVERAGE(E909:OFFSET(E909,-M$5+1,0))</f>
        <v>6643.87</v>
      </c>
      <c r="N909" s="9">
        <f ca="1">AVERAGE(E909:OFFSET(E909,-N$5+1,0))</f>
        <v>6844.3959999999988</v>
      </c>
      <c r="O909" s="9">
        <f t="shared" ca="1" si="193"/>
        <v>0</v>
      </c>
      <c r="P909" s="14">
        <f t="shared" si="198"/>
        <v>0.51603883267399819</v>
      </c>
      <c r="Q909" s="15">
        <f ca="1">STDEV(P909:OFFSET(P909,-$Q$5+1,0))</f>
        <v>2.610770353137045</v>
      </c>
      <c r="R909" s="15">
        <f ca="1">STDEV(P909:OFFSET(P909,-$R$5+1,0))</f>
        <v>2.1496820533441428</v>
      </c>
      <c r="S909" s="18">
        <f t="shared" si="185"/>
        <v>101.44000000000051</v>
      </c>
      <c r="T909" s="18">
        <f t="shared" si="186"/>
        <v>101.44000000000051</v>
      </c>
      <c r="U909" s="18">
        <f t="shared" si="194"/>
        <v>188.92581238521163</v>
      </c>
      <c r="V909" s="33">
        <f ca="1">AVERAGE(E909:OFFSET(E909,-V$5+1,0))</f>
        <v>6744.7592857142863</v>
      </c>
      <c r="W909" s="33">
        <f t="shared" ca="1" si="187"/>
        <v>7028.1480042921039</v>
      </c>
      <c r="X909" s="33">
        <f t="shared" ca="1" si="188"/>
        <v>6461.3705671364687</v>
      </c>
      <c r="Y909" s="32">
        <f t="shared" ca="1" si="195"/>
        <v>0</v>
      </c>
    </row>
    <row r="910" spans="1:25">
      <c r="A910" s="5">
        <v>39702</v>
      </c>
      <c r="B910" s="4">
        <v>6438.49</v>
      </c>
      <c r="C910" s="4">
        <v>6438.49</v>
      </c>
      <c r="D910" s="4">
        <v>6249.52</v>
      </c>
      <c r="E910" s="4">
        <v>6251.95</v>
      </c>
      <c r="F910" s="4">
        <v>3718000</v>
      </c>
      <c r="G910" s="8">
        <f t="shared" si="197"/>
        <v>-19.520000000000437</v>
      </c>
      <c r="H910" s="8">
        <f t="shared" si="196"/>
        <v>-186.53999999999996</v>
      </c>
      <c r="I910" s="20">
        <f t="shared" ca="1" si="189"/>
        <v>0</v>
      </c>
      <c r="J910" s="8">
        <f t="shared" ca="1" si="190"/>
        <v>-3</v>
      </c>
      <c r="K910" s="8">
        <f t="shared" ca="1" si="191"/>
        <v>618.1800000000012</v>
      </c>
      <c r="L910" s="8">
        <f t="shared" ca="1" si="192"/>
        <v>6390.7000000000053</v>
      </c>
      <c r="M910" s="9">
        <f ca="1">AVERAGE(E910:OFFSET(E910,-M$5+1,0))</f>
        <v>6565.728000000001</v>
      </c>
      <c r="N910" s="9">
        <f ca="1">AVERAGE(E910:OFFSET(E910,-N$5+1,0))</f>
        <v>6790.6900000000005</v>
      </c>
      <c r="O910" s="9">
        <f t="shared" ca="1" si="193"/>
        <v>0</v>
      </c>
      <c r="P910" s="14">
        <f t="shared" si="198"/>
        <v>-3.2427805715470783</v>
      </c>
      <c r="Q910" s="15">
        <f ca="1">STDEV(P910:OFFSET(P910,-$Q$5+1,0))</f>
        <v>2.7083393143584704</v>
      </c>
      <c r="R910" s="15">
        <f ca="1">STDEV(P910:OFFSET(P910,-$R$5+1,0))</f>
        <v>2.1894690766052394</v>
      </c>
      <c r="S910" s="18">
        <f t="shared" si="185"/>
        <v>188.96999999999935</v>
      </c>
      <c r="T910" s="18">
        <f t="shared" si="186"/>
        <v>208.48999999999978</v>
      </c>
      <c r="U910" s="18">
        <f t="shared" si="194"/>
        <v>191.53437073385004</v>
      </c>
      <c r="V910" s="33">
        <f ca="1">AVERAGE(E910:OFFSET(E910,-V$5+1,0))</f>
        <v>6697.6385714285716</v>
      </c>
      <c r="W910" s="33">
        <f t="shared" ca="1" si="187"/>
        <v>6984.9401275293467</v>
      </c>
      <c r="X910" s="33">
        <f t="shared" ca="1" si="188"/>
        <v>6410.3370153277965</v>
      </c>
      <c r="Y910" s="32">
        <f t="shared" ca="1" si="195"/>
        <v>0</v>
      </c>
    </row>
    <row r="911" spans="1:25">
      <c r="A911" s="5">
        <v>39703</v>
      </c>
      <c r="B911" s="4">
        <v>6338.61</v>
      </c>
      <c r="C911" s="4">
        <v>6354.68</v>
      </c>
      <c r="D911" s="4">
        <v>6171.35</v>
      </c>
      <c r="E911" s="4">
        <v>6310.68</v>
      </c>
      <c r="F911" s="4">
        <v>3648800</v>
      </c>
      <c r="G911" s="8">
        <f t="shared" si="197"/>
        <v>86.659999999999854</v>
      </c>
      <c r="H911" s="8">
        <f t="shared" si="196"/>
        <v>-27.929999999999382</v>
      </c>
      <c r="I911" s="20">
        <f t="shared" ca="1" si="189"/>
        <v>0</v>
      </c>
      <c r="J911" s="8">
        <f t="shared" ca="1" si="190"/>
        <v>-3</v>
      </c>
      <c r="K911" s="8">
        <f t="shared" ca="1" si="191"/>
        <v>-176.19000000000142</v>
      </c>
      <c r="L911" s="8">
        <f t="shared" ca="1" si="192"/>
        <v>6214.5100000000039</v>
      </c>
      <c r="M911" s="9">
        <f ca="1">AVERAGE(E911:OFFSET(E911,-M$5+1,0))</f>
        <v>6492.1850000000004</v>
      </c>
      <c r="N911" s="9">
        <f ca="1">AVERAGE(E911:OFFSET(E911,-N$5+1,0))</f>
        <v>6746.3990000000003</v>
      </c>
      <c r="O911" s="9">
        <f t="shared" ca="1" si="193"/>
        <v>0</v>
      </c>
      <c r="P911" s="14">
        <f t="shared" si="198"/>
        <v>0.93500211120751309</v>
      </c>
      <c r="Q911" s="15">
        <f ca="1">STDEV(P911:OFFSET(P911,-$Q$5+1,0))</f>
        <v>2.7603666795225319</v>
      </c>
      <c r="R911" s="15">
        <f ca="1">STDEV(P911:OFFSET(P911,-$R$5+1,0))</f>
        <v>2.0982837682476472</v>
      </c>
      <c r="S911" s="18">
        <f t="shared" si="185"/>
        <v>183.32999999999993</v>
      </c>
      <c r="T911" s="18">
        <f t="shared" si="186"/>
        <v>183.32999999999993</v>
      </c>
      <c r="U911" s="18">
        <f t="shared" si="194"/>
        <v>190.44045463600335</v>
      </c>
      <c r="V911" s="33">
        <f ca="1">AVERAGE(E911:OFFSET(E911,-V$5+1,0))</f>
        <v>6646.2071428571426</v>
      </c>
      <c r="W911" s="33">
        <f t="shared" ca="1" si="187"/>
        <v>6931.8678248111473</v>
      </c>
      <c r="X911" s="33">
        <f t="shared" ca="1" si="188"/>
        <v>6360.5464609031378</v>
      </c>
      <c r="Y911" s="32">
        <f t="shared" ca="1" si="195"/>
        <v>0</v>
      </c>
    </row>
    <row r="912" spans="1:25">
      <c r="A912" s="5">
        <v>39706</v>
      </c>
      <c r="B912" s="4">
        <v>6198.3</v>
      </c>
      <c r="C912" s="4">
        <v>6202.14</v>
      </c>
      <c r="D912" s="4">
        <v>6020.7</v>
      </c>
      <c r="E912" s="4">
        <v>6052.45</v>
      </c>
      <c r="F912" s="4">
        <v>3130600</v>
      </c>
      <c r="G912" s="8">
        <f t="shared" si="197"/>
        <v>-112.38000000000011</v>
      </c>
      <c r="H912" s="8">
        <f t="shared" si="196"/>
        <v>-145.85000000000036</v>
      </c>
      <c r="I912" s="20">
        <f t="shared" ca="1" si="189"/>
        <v>0</v>
      </c>
      <c r="J912" s="8">
        <f t="shared" ca="1" si="190"/>
        <v>-3</v>
      </c>
      <c r="K912" s="8">
        <f t="shared" ca="1" si="191"/>
        <v>774.69000000000142</v>
      </c>
      <c r="L912" s="8">
        <f t="shared" ca="1" si="192"/>
        <v>6989.2000000000053</v>
      </c>
      <c r="M912" s="9">
        <f ca="1">AVERAGE(E912:OFFSET(E912,-M$5+1,0))</f>
        <v>6416.1209999999992</v>
      </c>
      <c r="N912" s="9">
        <f ca="1">AVERAGE(E912:OFFSET(E912,-N$5+1,0))</f>
        <v>6698.9845000000005</v>
      </c>
      <c r="O912" s="9">
        <f t="shared" ca="1" si="193"/>
        <v>0</v>
      </c>
      <c r="P912" s="14">
        <f t="shared" si="198"/>
        <v>-4.17802874517061</v>
      </c>
      <c r="Q912" s="15">
        <f ca="1">STDEV(P912:OFFSET(P912,-$Q$5+1,0))</f>
        <v>2.8452597487906641</v>
      </c>
      <c r="R912" s="15">
        <f ca="1">STDEV(P912:OFFSET(P912,-$R$5+1,0))</f>
        <v>2.1650593603996358</v>
      </c>
      <c r="S912" s="18">
        <f t="shared" si="185"/>
        <v>181.44000000000051</v>
      </c>
      <c r="T912" s="18">
        <f t="shared" si="186"/>
        <v>289.98000000000047</v>
      </c>
      <c r="U912" s="18">
        <f t="shared" si="194"/>
        <v>203.71239401786966</v>
      </c>
      <c r="V912" s="33">
        <f ca="1">AVERAGE(E912:OFFSET(E912,-V$5+1,0))</f>
        <v>6581.0535714285706</v>
      </c>
      <c r="W912" s="33">
        <f t="shared" ca="1" si="187"/>
        <v>6886.6221624553755</v>
      </c>
      <c r="X912" s="33">
        <f t="shared" ca="1" si="188"/>
        <v>6275.4849804017658</v>
      </c>
      <c r="Y912" s="32">
        <f t="shared" ca="1" si="195"/>
        <v>0</v>
      </c>
    </row>
    <row r="913" spans="1:25">
      <c r="A913" s="5">
        <v>39707</v>
      </c>
      <c r="B913" s="4">
        <v>5748.17</v>
      </c>
      <c r="C913" s="4">
        <v>5851.9</v>
      </c>
      <c r="D913" s="4">
        <v>5724.52</v>
      </c>
      <c r="E913" s="4">
        <v>5756.59</v>
      </c>
      <c r="F913" s="4">
        <v>3532000</v>
      </c>
      <c r="G913" s="8">
        <f t="shared" si="197"/>
        <v>-304.27999999999975</v>
      </c>
      <c r="H913" s="8">
        <f t="shared" si="196"/>
        <v>8.4200000000000728</v>
      </c>
      <c r="I913" s="20">
        <f t="shared" ca="1" si="189"/>
        <v>0</v>
      </c>
      <c r="J913" s="8">
        <f t="shared" ca="1" si="190"/>
        <v>-3</v>
      </c>
      <c r="K913" s="8">
        <f t="shared" ca="1" si="191"/>
        <v>887.57999999999902</v>
      </c>
      <c r="L913" s="8">
        <f t="shared" ca="1" si="192"/>
        <v>7876.7800000000043</v>
      </c>
      <c r="M913" s="9">
        <f ca="1">AVERAGE(E913:OFFSET(E913,-M$5+1,0))</f>
        <v>6321.7979999999998</v>
      </c>
      <c r="N913" s="9">
        <f ca="1">AVERAGE(E913:OFFSET(E913,-N$5+1,0))</f>
        <v>6637.8840000000009</v>
      </c>
      <c r="O913" s="9">
        <f t="shared" ca="1" si="193"/>
        <v>0</v>
      </c>
      <c r="P913" s="14">
        <f t="shared" si="198"/>
        <v>-5.0117863237305746</v>
      </c>
      <c r="Q913" s="15">
        <f ca="1">STDEV(P913:OFFSET(P913,-$Q$5+1,0))</f>
        <v>3.0940383954476731</v>
      </c>
      <c r="R913" s="15">
        <f ca="1">STDEV(P913:OFFSET(P913,-$R$5+1,0))</f>
        <v>2.1811062754027239</v>
      </c>
      <c r="S913" s="18">
        <f t="shared" si="185"/>
        <v>127.3799999999992</v>
      </c>
      <c r="T913" s="18">
        <f t="shared" si="186"/>
        <v>327.92999999999938</v>
      </c>
      <c r="U913" s="18">
        <f t="shared" si="194"/>
        <v>220.27474148215362</v>
      </c>
      <c r="V913" s="33">
        <f ca="1">AVERAGE(E913:OFFSET(E913,-V$5+1,0))</f>
        <v>6486.454999999999</v>
      </c>
      <c r="W913" s="33">
        <f t="shared" ca="1" si="187"/>
        <v>6816.8671122232299</v>
      </c>
      <c r="X913" s="33">
        <f t="shared" ca="1" si="188"/>
        <v>6156.0428877767681</v>
      </c>
      <c r="Y913" s="32">
        <f t="shared" ca="1" si="195"/>
        <v>0</v>
      </c>
    </row>
    <row r="914" spans="1:25">
      <c r="A914" s="5">
        <v>39708</v>
      </c>
      <c r="B914" s="4">
        <v>5953.88</v>
      </c>
      <c r="C914" s="4">
        <v>6027.29</v>
      </c>
      <c r="D914" s="4">
        <v>5747.3</v>
      </c>
      <c r="E914" s="4">
        <v>5800.87</v>
      </c>
      <c r="F914" s="4">
        <v>4704800</v>
      </c>
      <c r="G914" s="8">
        <f t="shared" si="197"/>
        <v>197.28999999999996</v>
      </c>
      <c r="H914" s="8">
        <f t="shared" si="196"/>
        <v>-153.01000000000022</v>
      </c>
      <c r="I914" s="20">
        <f t="shared" ca="1" si="189"/>
        <v>0</v>
      </c>
      <c r="J914" s="8">
        <f t="shared" ca="1" si="190"/>
        <v>-3</v>
      </c>
      <c r="K914" s="8">
        <f t="shared" ca="1" si="191"/>
        <v>-132.83999999999924</v>
      </c>
      <c r="L914" s="8">
        <f t="shared" ca="1" si="192"/>
        <v>7743.9400000000051</v>
      </c>
      <c r="M914" s="9">
        <f ca="1">AVERAGE(E914:OFFSET(E914,-M$5+1,0))</f>
        <v>6243.3919999999989</v>
      </c>
      <c r="N914" s="9">
        <f ca="1">AVERAGE(E914:OFFSET(E914,-N$5+1,0))</f>
        <v>6575.8825000000015</v>
      </c>
      <c r="O914" s="9">
        <f t="shared" ca="1" si="193"/>
        <v>0</v>
      </c>
      <c r="P914" s="14">
        <f t="shared" si="198"/>
        <v>0.76626207940036406</v>
      </c>
      <c r="Q914" s="15">
        <f ca="1">STDEV(P914:OFFSET(P914,-$Q$5+1,0))</f>
        <v>3.174630233897485</v>
      </c>
      <c r="R914" s="15">
        <f ca="1">STDEV(P914:OFFSET(P914,-$R$5+1,0))</f>
        <v>2.1903113630582589</v>
      </c>
      <c r="S914" s="18">
        <f t="shared" si="185"/>
        <v>279.98999999999978</v>
      </c>
      <c r="T914" s="18">
        <f t="shared" si="186"/>
        <v>279.98999999999978</v>
      </c>
      <c r="U914" s="18">
        <f t="shared" si="194"/>
        <v>228.23677595119977</v>
      </c>
      <c r="V914" s="33">
        <f ca="1">AVERAGE(E914:OFFSET(E914,-V$5+1,0))</f>
        <v>6398.4192857142862</v>
      </c>
      <c r="W914" s="33">
        <f t="shared" ca="1" si="187"/>
        <v>6740.774449641086</v>
      </c>
      <c r="X914" s="33">
        <f t="shared" ca="1" si="188"/>
        <v>6056.0641217874863</v>
      </c>
      <c r="Y914" s="32">
        <f t="shared" ca="1" si="195"/>
        <v>0</v>
      </c>
    </row>
    <row r="915" spans="1:25">
      <c r="A915" s="5">
        <v>39709</v>
      </c>
      <c r="B915" s="4">
        <v>5558.05</v>
      </c>
      <c r="C915" s="4">
        <v>5681.83</v>
      </c>
      <c r="D915" s="4">
        <v>5530.19</v>
      </c>
      <c r="E915" s="4">
        <v>5641.95</v>
      </c>
      <c r="F915" s="4">
        <v>4143800</v>
      </c>
      <c r="G915" s="8">
        <f t="shared" si="197"/>
        <v>-242.81999999999971</v>
      </c>
      <c r="H915" s="8">
        <f t="shared" si="196"/>
        <v>83.899999999999636</v>
      </c>
      <c r="I915" s="20">
        <f t="shared" ca="1" si="189"/>
        <v>0</v>
      </c>
      <c r="J915" s="8">
        <f t="shared" ca="1" si="190"/>
        <v>-3</v>
      </c>
      <c r="K915" s="8">
        <f t="shared" ca="1" si="191"/>
        <v>476.76000000000022</v>
      </c>
      <c r="L915" s="8">
        <f t="shared" ca="1" si="192"/>
        <v>8220.7000000000044</v>
      </c>
      <c r="M915" s="9">
        <f ca="1">AVERAGE(E915:OFFSET(E915,-M$5+1,0))</f>
        <v>6166.3239999999996</v>
      </c>
      <c r="N915" s="9">
        <f ca="1">AVERAGE(E915:OFFSET(E915,-N$5+1,0))</f>
        <v>6512.0559999999996</v>
      </c>
      <c r="O915" s="9">
        <f t="shared" ca="1" si="193"/>
        <v>0</v>
      </c>
      <c r="P915" s="14">
        <f t="shared" si="198"/>
        <v>-2.7778155868599006</v>
      </c>
      <c r="Q915" s="15">
        <f ca="1">STDEV(P915:OFFSET(P915,-$Q$5+1,0))</f>
        <v>3.1809964187652895</v>
      </c>
      <c r="R915" s="15">
        <f ca="1">STDEV(P915:OFFSET(P915,-$R$5+1,0))</f>
        <v>2.1257334879394603</v>
      </c>
      <c r="S915" s="18">
        <f t="shared" si="185"/>
        <v>151.64000000000033</v>
      </c>
      <c r="T915" s="18">
        <f t="shared" si="186"/>
        <v>270.68000000000029</v>
      </c>
      <c r="U915" s="18">
        <f t="shared" si="194"/>
        <v>233.89587249103982</v>
      </c>
      <c r="V915" s="33">
        <f ca="1">AVERAGE(E915:OFFSET(E915,-V$5+1,0))</f>
        <v>6298.1221428571425</v>
      </c>
      <c r="W915" s="33">
        <f t="shared" ca="1" si="187"/>
        <v>6648.9659515937019</v>
      </c>
      <c r="X915" s="33">
        <f t="shared" ca="1" si="188"/>
        <v>5947.2783341205832</v>
      </c>
      <c r="Y915" s="32">
        <f t="shared" ca="1" si="195"/>
        <v>0</v>
      </c>
    </row>
    <row r="916" spans="1:25">
      <c r="A916" s="5">
        <v>39710</v>
      </c>
      <c r="B916" s="4">
        <v>5910.76</v>
      </c>
      <c r="C916" s="4">
        <v>5982.64</v>
      </c>
      <c r="D916" s="4">
        <v>5858.19</v>
      </c>
      <c r="E916" s="4">
        <v>5970.38</v>
      </c>
      <c r="F916" s="4">
        <v>4413200</v>
      </c>
      <c r="G916" s="8">
        <f t="shared" si="197"/>
        <v>268.8100000000004</v>
      </c>
      <c r="H916" s="8">
        <f t="shared" si="196"/>
        <v>59.619999999999891</v>
      </c>
      <c r="I916" s="20">
        <f t="shared" ca="1" si="189"/>
        <v>0</v>
      </c>
      <c r="J916" s="8">
        <f t="shared" ca="1" si="190"/>
        <v>-3</v>
      </c>
      <c r="K916" s="8">
        <f t="shared" ca="1" si="191"/>
        <v>-985.29000000000087</v>
      </c>
      <c r="L916" s="8">
        <f t="shared" ca="1" si="192"/>
        <v>7235.4100000000035</v>
      </c>
      <c r="M916" s="9">
        <f ca="1">AVERAGE(E916:OFFSET(E916,-M$5+1,0))</f>
        <v>6132.634</v>
      </c>
      <c r="N916" s="9">
        <f ca="1">AVERAGE(E916:OFFSET(E916,-N$5+1,0))</f>
        <v>6464.9929999999995</v>
      </c>
      <c r="O916" s="9">
        <f t="shared" ca="1" si="193"/>
        <v>0</v>
      </c>
      <c r="P916" s="14">
        <f t="shared" si="198"/>
        <v>5.6580826535224356</v>
      </c>
      <c r="Q916" s="15">
        <f ca="1">STDEV(P916:OFFSET(P916,-$Q$5+1,0))</f>
        <v>3.8545700407108781</v>
      </c>
      <c r="R916" s="15">
        <f ca="1">STDEV(P916:OFFSET(P916,-$R$5+1,0))</f>
        <v>2.3387617691759024</v>
      </c>
      <c r="S916" s="18">
        <f t="shared" si="185"/>
        <v>124.45000000000073</v>
      </c>
      <c r="T916" s="18">
        <f t="shared" si="186"/>
        <v>340.69000000000051</v>
      </c>
      <c r="U916" s="18">
        <f t="shared" si="194"/>
        <v>248.13508949223461</v>
      </c>
      <c r="V916" s="33">
        <f ca="1">AVERAGE(E916:OFFSET(E916,-V$5+1,0))</f>
        <v>6237.9285714285706</v>
      </c>
      <c r="W916" s="33">
        <f t="shared" ca="1" si="187"/>
        <v>6610.1312056669231</v>
      </c>
      <c r="X916" s="33">
        <f t="shared" ca="1" si="188"/>
        <v>5865.7259371902182</v>
      </c>
      <c r="Y916" s="32">
        <f t="shared" ca="1" si="195"/>
        <v>0</v>
      </c>
    </row>
    <row r="917" spans="1:25">
      <c r="A917" s="5">
        <v>39713</v>
      </c>
      <c r="B917" s="4">
        <v>6156.86</v>
      </c>
      <c r="C917" s="4">
        <v>6156.86</v>
      </c>
      <c r="D917" s="4">
        <v>6032.16</v>
      </c>
      <c r="E917" s="4">
        <v>6110.6</v>
      </c>
      <c r="F917" s="4">
        <v>4353800</v>
      </c>
      <c r="G917" s="8">
        <f t="shared" si="197"/>
        <v>186.47999999999956</v>
      </c>
      <c r="H917" s="8">
        <f t="shared" si="196"/>
        <v>-46.259999999999309</v>
      </c>
      <c r="I917" s="20">
        <f t="shared" ca="1" si="189"/>
        <v>0</v>
      </c>
      <c r="J917" s="8">
        <f t="shared" ca="1" si="190"/>
        <v>-3</v>
      </c>
      <c r="K917" s="8">
        <f t="shared" ca="1" si="191"/>
        <v>-420.66000000000076</v>
      </c>
      <c r="L917" s="8">
        <f t="shared" ca="1" si="192"/>
        <v>6814.7500000000027</v>
      </c>
      <c r="M917" s="9">
        <f ca="1">AVERAGE(E917:OFFSET(E917,-M$5+1,0))</f>
        <v>6077.8249999999989</v>
      </c>
      <c r="N917" s="9">
        <f ca="1">AVERAGE(E917:OFFSET(E917,-N$5+1,0))</f>
        <v>6418.9869999999992</v>
      </c>
      <c r="O917" s="9">
        <f t="shared" ca="1" si="193"/>
        <v>0</v>
      </c>
      <c r="P917" s="14">
        <f t="shared" si="198"/>
        <v>2.3214391064775572</v>
      </c>
      <c r="Q917" s="15">
        <f ca="1">STDEV(P917:OFFSET(P917,-$Q$5+1,0))</f>
        <v>3.4212928293994165</v>
      </c>
      <c r="R917" s="15">
        <f ca="1">STDEV(P917:OFFSET(P917,-$R$5+1,0))</f>
        <v>2.3711121393897301</v>
      </c>
      <c r="S917" s="18">
        <f t="shared" si="185"/>
        <v>124.69999999999982</v>
      </c>
      <c r="T917" s="18">
        <f t="shared" si="186"/>
        <v>186.47999999999956</v>
      </c>
      <c r="U917" s="18">
        <f t="shared" si="194"/>
        <v>239.91441089326995</v>
      </c>
      <c r="V917" s="33">
        <f ca="1">AVERAGE(E917:OFFSET(E917,-V$5+1,0))</f>
        <v>6195.8414285714289</v>
      </c>
      <c r="W917" s="33">
        <f t="shared" ca="1" si="187"/>
        <v>6555.7130449113338</v>
      </c>
      <c r="X917" s="33">
        <f t="shared" ca="1" si="188"/>
        <v>5835.969812231524</v>
      </c>
      <c r="Y917" s="32">
        <f t="shared" ca="1" si="195"/>
        <v>0</v>
      </c>
    </row>
    <row r="918" spans="1:25">
      <c r="A918" s="5">
        <v>39714</v>
      </c>
      <c r="B918" s="4">
        <v>6016.56</v>
      </c>
      <c r="C918" s="4">
        <v>6182.21</v>
      </c>
      <c r="D918" s="4">
        <v>6011.71</v>
      </c>
      <c r="E918" s="4">
        <v>6182.21</v>
      </c>
      <c r="F918" s="4">
        <v>4144000</v>
      </c>
      <c r="G918" s="8">
        <f t="shared" si="197"/>
        <v>-94.039999999999964</v>
      </c>
      <c r="H918" s="8">
        <f t="shared" si="196"/>
        <v>165.64999999999964</v>
      </c>
      <c r="I918" s="20">
        <f t="shared" ca="1" si="189"/>
        <v>0</v>
      </c>
      <c r="J918" s="8">
        <f t="shared" ca="1" si="190"/>
        <v>-3</v>
      </c>
      <c r="K918" s="8">
        <f t="shared" ca="1" si="191"/>
        <v>-214.82999999999902</v>
      </c>
      <c r="L918" s="8">
        <f t="shared" ca="1" si="192"/>
        <v>6599.9200000000037</v>
      </c>
      <c r="M918" s="9">
        <f ca="1">AVERAGE(E918:OFFSET(E918,-M$5+1,0))</f>
        <v>6053.5689999999995</v>
      </c>
      <c r="N918" s="9">
        <f ca="1">AVERAGE(E918:OFFSET(E918,-N$5+1,0))</f>
        <v>6379.8674999999994</v>
      </c>
      <c r="O918" s="9">
        <f t="shared" ca="1" si="193"/>
        <v>0</v>
      </c>
      <c r="P918" s="14">
        <f t="shared" si="198"/>
        <v>1.1650844687201405</v>
      </c>
      <c r="Q918" s="15">
        <f ca="1">STDEV(P918:OFFSET(P918,-$Q$5+1,0))</f>
        <v>3.3302118406451915</v>
      </c>
      <c r="R918" s="15">
        <f ca="1">STDEV(P918:OFFSET(P918,-$R$5+1,0))</f>
        <v>2.344037311095339</v>
      </c>
      <c r="S918" s="18">
        <f t="shared" si="185"/>
        <v>170.5</v>
      </c>
      <c r="T918" s="18">
        <f t="shared" si="186"/>
        <v>170.5</v>
      </c>
      <c r="U918" s="18">
        <f t="shared" si="194"/>
        <v>230.65915610750062</v>
      </c>
      <c r="V918" s="33">
        <f ca="1">AVERAGE(E918:OFFSET(E918,-V$5+1,0))</f>
        <v>6167.0757142857155</v>
      </c>
      <c r="W918" s="33">
        <f t="shared" ca="1" si="187"/>
        <v>6513.0644484469667</v>
      </c>
      <c r="X918" s="33">
        <f t="shared" ca="1" si="188"/>
        <v>5821.0869801244644</v>
      </c>
      <c r="Y918" s="32">
        <f t="shared" ca="1" si="195"/>
        <v>0</v>
      </c>
    </row>
    <row r="919" spans="1:25">
      <c r="A919" s="5">
        <v>39715</v>
      </c>
      <c r="B919" s="4">
        <v>6136.98</v>
      </c>
      <c r="C919" s="4">
        <v>6198.48</v>
      </c>
      <c r="D919" s="4">
        <v>6100.33</v>
      </c>
      <c r="E919" s="4">
        <v>6132.6</v>
      </c>
      <c r="F919" s="4">
        <v>4209000</v>
      </c>
      <c r="G919" s="8">
        <f t="shared" si="197"/>
        <v>-45.230000000000473</v>
      </c>
      <c r="H919" s="8">
        <f t="shared" si="196"/>
        <v>-4.3799999999991996</v>
      </c>
      <c r="I919" s="20">
        <f t="shared" ca="1" si="189"/>
        <v>0</v>
      </c>
      <c r="J919" s="8">
        <f t="shared" ca="1" si="190"/>
        <v>-3</v>
      </c>
      <c r="K919" s="8">
        <f t="shared" ca="1" si="191"/>
        <v>148.82999999999902</v>
      </c>
      <c r="L919" s="8">
        <f t="shared" ca="1" si="192"/>
        <v>6748.7500000000027</v>
      </c>
      <c r="M919" s="9">
        <f ca="1">AVERAGE(E919:OFFSET(E919,-M$5+1,0))</f>
        <v>6021.0279999999993</v>
      </c>
      <c r="N919" s="9">
        <f ca="1">AVERAGE(E919:OFFSET(E919,-N$5+1,0))</f>
        <v>6332.4489999999996</v>
      </c>
      <c r="O919" s="9">
        <f t="shared" ca="1" si="193"/>
        <v>0</v>
      </c>
      <c r="P919" s="14">
        <f t="shared" si="198"/>
        <v>-0.80570091411523126</v>
      </c>
      <c r="Q919" s="15">
        <f ca="1">STDEV(P919:OFFSET(P919,-$Q$5+1,0))</f>
        <v>3.3166853067691182</v>
      </c>
      <c r="R919" s="15">
        <f ca="1">STDEV(P919:OFFSET(P919,-$R$5+1,0))</f>
        <v>2.3382639371136604</v>
      </c>
      <c r="S919" s="18">
        <f t="shared" si="185"/>
        <v>98.149999999999636</v>
      </c>
      <c r="T919" s="18">
        <f t="shared" si="186"/>
        <v>98.149999999999636</v>
      </c>
      <c r="U919" s="18">
        <f t="shared" si="194"/>
        <v>212.9912686265005</v>
      </c>
      <c r="V919" s="33">
        <f ca="1">AVERAGE(E919:OFFSET(E919,-V$5+1,0))</f>
        <v>6147.073571428572</v>
      </c>
      <c r="W919" s="33">
        <f t="shared" ca="1" si="187"/>
        <v>6466.5604743683225</v>
      </c>
      <c r="X919" s="33">
        <f t="shared" ca="1" si="188"/>
        <v>5827.5866684888215</v>
      </c>
      <c r="Y919" s="32">
        <f t="shared" ca="1" si="195"/>
        <v>0</v>
      </c>
    </row>
    <row r="920" spans="1:25">
      <c r="A920" s="5">
        <v>39716</v>
      </c>
      <c r="B920" s="4">
        <v>6056.7</v>
      </c>
      <c r="C920" s="4">
        <v>6164.59</v>
      </c>
      <c r="D920" s="4">
        <v>6028.77</v>
      </c>
      <c r="E920" s="4">
        <v>6060.83</v>
      </c>
      <c r="F920" s="4">
        <v>3768200</v>
      </c>
      <c r="G920" s="8">
        <f t="shared" si="197"/>
        <v>-75.900000000000546</v>
      </c>
      <c r="H920" s="8">
        <f t="shared" si="196"/>
        <v>4.1300000000001091</v>
      </c>
      <c r="I920" s="20">
        <f t="shared" ca="1" si="189"/>
        <v>0</v>
      </c>
      <c r="J920" s="8">
        <f t="shared" ca="1" si="190"/>
        <v>-3</v>
      </c>
      <c r="K920" s="8">
        <f t="shared" ca="1" si="191"/>
        <v>215.31000000000131</v>
      </c>
      <c r="L920" s="8">
        <f t="shared" ca="1" si="192"/>
        <v>6964.060000000004</v>
      </c>
      <c r="M920" s="9">
        <f ca="1">AVERAGE(E920:OFFSET(E920,-M$5+1,0))</f>
        <v>6001.9159999999993</v>
      </c>
      <c r="N920" s="9">
        <f ca="1">AVERAGE(E920:OFFSET(E920,-N$5+1,0))</f>
        <v>6283.8220000000019</v>
      </c>
      <c r="O920" s="9">
        <f t="shared" ca="1" si="193"/>
        <v>0</v>
      </c>
      <c r="P920" s="14">
        <f t="shared" si="198"/>
        <v>-1.1772049182026572</v>
      </c>
      <c r="Q920" s="15">
        <f ca="1">STDEV(P920:OFFSET(P920,-$Q$5+1,0))</f>
        <v>3.1899676628128484</v>
      </c>
      <c r="R920" s="15">
        <f ca="1">STDEV(P920:OFFSET(P920,-$R$5+1,0))</f>
        <v>2.3414275019272996</v>
      </c>
      <c r="S920" s="18">
        <f t="shared" si="185"/>
        <v>135.81999999999971</v>
      </c>
      <c r="T920" s="18">
        <f t="shared" si="186"/>
        <v>135.81999999999971</v>
      </c>
      <c r="U920" s="18">
        <f t="shared" si="194"/>
        <v>202.70176614296707</v>
      </c>
      <c r="V920" s="33">
        <f ca="1">AVERAGE(E920:OFFSET(E920,-V$5+1,0))</f>
        <v>6129.4700000000012</v>
      </c>
      <c r="W920" s="33">
        <f t="shared" ca="1" si="187"/>
        <v>6433.522649214452</v>
      </c>
      <c r="X920" s="33">
        <f t="shared" ca="1" si="188"/>
        <v>5825.4173507855503</v>
      </c>
      <c r="Y920" s="32">
        <f t="shared" ca="1" si="195"/>
        <v>0</v>
      </c>
    </row>
    <row r="921" spans="1:25">
      <c r="A921" s="5">
        <v>39717</v>
      </c>
      <c r="B921" s="4">
        <v>6095.14</v>
      </c>
      <c r="C921" s="4">
        <v>6095.14</v>
      </c>
      <c r="D921" s="4">
        <v>5881.58</v>
      </c>
      <c r="E921" s="4">
        <v>5929.63</v>
      </c>
      <c r="F921" s="4">
        <v>3924400</v>
      </c>
      <c r="G921" s="8">
        <f t="shared" si="197"/>
        <v>34.3100000000004</v>
      </c>
      <c r="H921" s="8">
        <f t="shared" si="196"/>
        <v>-165.51000000000022</v>
      </c>
      <c r="I921" s="20">
        <f t="shared" ca="1" si="189"/>
        <v>0</v>
      </c>
      <c r="J921" s="8">
        <f t="shared" ca="1" si="190"/>
        <v>-3</v>
      </c>
      <c r="K921" s="8">
        <f t="shared" ca="1" si="191"/>
        <v>393.59999999999945</v>
      </c>
      <c r="L921" s="8">
        <f t="shared" ca="1" si="192"/>
        <v>7357.6600000000035</v>
      </c>
      <c r="M921" s="9">
        <f ca="1">AVERAGE(E921:OFFSET(E921,-M$5+1,0))</f>
        <v>5963.8109999999997</v>
      </c>
      <c r="N921" s="9">
        <f ca="1">AVERAGE(E921:OFFSET(E921,-N$5+1,0))</f>
        <v>6227.9980000000014</v>
      </c>
      <c r="O921" s="9">
        <f t="shared" ca="1" si="193"/>
        <v>0</v>
      </c>
      <c r="P921" s="14">
        <f t="shared" si="198"/>
        <v>-2.1884937939622042</v>
      </c>
      <c r="Q921" s="15">
        <f ca="1">STDEV(P921:OFFSET(P921,-$Q$5+1,0))</f>
        <v>3.2073390550922389</v>
      </c>
      <c r="R921" s="15">
        <f ca="1">STDEV(P921:OFFSET(P921,-$R$5+1,0))</f>
        <v>2.3589882548931445</v>
      </c>
      <c r="S921" s="18">
        <f t="shared" si="185"/>
        <v>213.5600000000004</v>
      </c>
      <c r="T921" s="18">
        <f t="shared" si="186"/>
        <v>213.5600000000004</v>
      </c>
      <c r="U921" s="18">
        <f t="shared" si="194"/>
        <v>204.14953065723819</v>
      </c>
      <c r="V921" s="33">
        <f ca="1">AVERAGE(E921:OFFSET(E921,-V$5+1,0))</f>
        <v>6077.3942857142856</v>
      </c>
      <c r="W921" s="33">
        <f t="shared" ca="1" si="187"/>
        <v>6383.6185817001433</v>
      </c>
      <c r="X921" s="33">
        <f t="shared" ca="1" si="188"/>
        <v>5771.1699897284279</v>
      </c>
      <c r="Y921" s="32">
        <f t="shared" ca="1" si="195"/>
        <v>0</v>
      </c>
    </row>
    <row r="922" spans="1:25">
      <c r="A922" s="5">
        <v>39721</v>
      </c>
      <c r="B922" s="4">
        <v>5534.72</v>
      </c>
      <c r="C922" s="4">
        <v>5719.28</v>
      </c>
      <c r="D922" s="4">
        <v>5534.72</v>
      </c>
      <c r="E922" s="4">
        <v>5719.28</v>
      </c>
      <c r="F922" s="4">
        <v>2947000</v>
      </c>
      <c r="G922" s="8">
        <f t="shared" si="197"/>
        <v>-394.90999999999985</v>
      </c>
      <c r="H922" s="8">
        <f t="shared" si="196"/>
        <v>184.55999999999949</v>
      </c>
      <c r="I922" s="20">
        <f t="shared" ca="1" si="189"/>
        <v>0</v>
      </c>
      <c r="J922" s="8">
        <f t="shared" ca="1" si="190"/>
        <v>-3</v>
      </c>
      <c r="K922" s="8">
        <f t="shared" ca="1" si="191"/>
        <v>631.05000000000109</v>
      </c>
      <c r="L922" s="8">
        <f t="shared" ca="1" si="192"/>
        <v>7988.7100000000046</v>
      </c>
      <c r="M922" s="9">
        <f ca="1">AVERAGE(E922:OFFSET(E922,-M$5+1,0))</f>
        <v>5930.4939999999997</v>
      </c>
      <c r="N922" s="9">
        <f ca="1">AVERAGE(E922:OFFSET(E922,-N$5+1,0))</f>
        <v>6173.3075000000008</v>
      </c>
      <c r="O922" s="9">
        <f t="shared" ca="1" si="193"/>
        <v>0</v>
      </c>
      <c r="P922" s="14">
        <f t="shared" si="198"/>
        <v>-3.6118893116280164</v>
      </c>
      <c r="Q922" s="15">
        <f ca="1">STDEV(P922:OFFSET(P922,-$Q$5+1,0))</f>
        <v>3.1419418052009527</v>
      </c>
      <c r="R922" s="15">
        <f ca="1">STDEV(P922:OFFSET(P922,-$R$5+1,0))</f>
        <v>2.4124458774771367</v>
      </c>
      <c r="S922" s="18">
        <f t="shared" si="185"/>
        <v>184.55999999999949</v>
      </c>
      <c r="T922" s="18">
        <f t="shared" si="186"/>
        <v>394.90999999999985</v>
      </c>
      <c r="U922" s="18">
        <f t="shared" si="194"/>
        <v>229.58425990293975</v>
      </c>
      <c r="V922" s="33">
        <f ca="1">AVERAGE(E922:OFFSET(E922,-V$5+1,0))</f>
        <v>6027.0021428571426</v>
      </c>
      <c r="W922" s="33">
        <f t="shared" ca="1" si="187"/>
        <v>6371.378532711552</v>
      </c>
      <c r="X922" s="33">
        <f t="shared" ca="1" si="188"/>
        <v>5682.6257530027333</v>
      </c>
      <c r="Y922" s="32">
        <f t="shared" ca="1" si="195"/>
        <v>0</v>
      </c>
    </row>
    <row r="923" spans="1:25">
      <c r="A923" s="5">
        <v>39722</v>
      </c>
      <c r="B923" s="4">
        <v>5854</v>
      </c>
      <c r="C923" s="4">
        <v>5854</v>
      </c>
      <c r="D923" s="4">
        <v>5727.72</v>
      </c>
      <c r="E923" s="4">
        <v>5764.01</v>
      </c>
      <c r="F923" s="4">
        <v>2825800</v>
      </c>
      <c r="G923" s="8">
        <f t="shared" si="197"/>
        <v>134.72000000000025</v>
      </c>
      <c r="H923" s="8">
        <f t="shared" si="196"/>
        <v>-89.989999999999782</v>
      </c>
      <c r="I923" s="20">
        <f t="shared" ca="1" si="189"/>
        <v>0</v>
      </c>
      <c r="J923" s="8">
        <f t="shared" ca="1" si="190"/>
        <v>-3</v>
      </c>
      <c r="K923" s="8">
        <f t="shared" ca="1" si="191"/>
        <v>-134.19000000000142</v>
      </c>
      <c r="L923" s="8">
        <f t="shared" ca="1" si="192"/>
        <v>7854.5200000000032</v>
      </c>
      <c r="M923" s="9">
        <f ca="1">AVERAGE(E923:OFFSET(E923,-M$5+1,0))</f>
        <v>5931.2359999999999</v>
      </c>
      <c r="N923" s="9">
        <f ca="1">AVERAGE(E923:OFFSET(E923,-N$5+1,0))</f>
        <v>6126.5170000000007</v>
      </c>
      <c r="O923" s="9">
        <f t="shared" ca="1" si="193"/>
        <v>0</v>
      </c>
      <c r="P923" s="14">
        <f t="shared" si="198"/>
        <v>0.77904896990659778</v>
      </c>
      <c r="Q923" s="15">
        <f ca="1">STDEV(P923:OFFSET(P923,-$Q$5+1,0))</f>
        <v>2.7394097206928683</v>
      </c>
      <c r="R923" s="15">
        <f ca="1">STDEV(P923:OFFSET(P923,-$R$5+1,0))</f>
        <v>2.4009483346040823</v>
      </c>
      <c r="S923" s="18">
        <f t="shared" si="185"/>
        <v>126.27999999999975</v>
      </c>
      <c r="T923" s="18">
        <f t="shared" si="186"/>
        <v>134.72000000000025</v>
      </c>
      <c r="U923" s="18">
        <f t="shared" si="194"/>
        <v>216.93569191588116</v>
      </c>
      <c r="V923" s="33">
        <f ca="1">AVERAGE(E923:OFFSET(E923,-V$5+1,0))</f>
        <v>5977.4307142857133</v>
      </c>
      <c r="W923" s="33">
        <f t="shared" ca="1" si="187"/>
        <v>6302.834252159535</v>
      </c>
      <c r="X923" s="33">
        <f t="shared" ca="1" si="188"/>
        <v>5652.0271764118916</v>
      </c>
      <c r="Y923" s="32">
        <f t="shared" ca="1" si="195"/>
        <v>0</v>
      </c>
    </row>
    <row r="924" spans="1:25">
      <c r="A924" s="5">
        <v>39723</v>
      </c>
      <c r="B924" s="4">
        <v>5764.48</v>
      </c>
      <c r="C924" s="4">
        <v>5840.09</v>
      </c>
      <c r="D924" s="4">
        <v>5672.39</v>
      </c>
      <c r="E924" s="4">
        <v>5703.72</v>
      </c>
      <c r="F924" s="4">
        <v>3026800</v>
      </c>
      <c r="G924" s="8">
        <f t="shared" si="197"/>
        <v>0.46999999999934516</v>
      </c>
      <c r="H924" s="8">
        <f t="shared" si="196"/>
        <v>-60.759999999999309</v>
      </c>
      <c r="I924" s="20">
        <f t="shared" ca="1" si="189"/>
        <v>0</v>
      </c>
      <c r="J924" s="8">
        <f t="shared" ca="1" si="190"/>
        <v>-3</v>
      </c>
      <c r="K924" s="8">
        <f t="shared" ca="1" si="191"/>
        <v>180.86999999999989</v>
      </c>
      <c r="L924" s="8">
        <f t="shared" ca="1" si="192"/>
        <v>8035.3900000000031</v>
      </c>
      <c r="M924" s="9">
        <f ca="1">AVERAGE(E924:OFFSET(E924,-M$5+1,0))</f>
        <v>5921.5209999999997</v>
      </c>
      <c r="N924" s="9">
        <f ca="1">AVERAGE(E924:OFFSET(E924,-N$5+1,0))</f>
        <v>6082.4565000000011</v>
      </c>
      <c r="O924" s="9">
        <f t="shared" ca="1" si="193"/>
        <v>0</v>
      </c>
      <c r="P924" s="14">
        <f t="shared" si="198"/>
        <v>-1.0514819494010157</v>
      </c>
      <c r="Q924" s="15">
        <f ca="1">STDEV(P924:OFFSET(P924,-$Q$5+1,0))</f>
        <v>2.7441687197728553</v>
      </c>
      <c r="R924" s="15">
        <f ca="1">STDEV(P924:OFFSET(P924,-$R$5+1,0))</f>
        <v>2.3347069539662639</v>
      </c>
      <c r="S924" s="18">
        <f t="shared" si="185"/>
        <v>167.69999999999982</v>
      </c>
      <c r="T924" s="18">
        <f t="shared" si="186"/>
        <v>167.69999999999982</v>
      </c>
      <c r="U924" s="18">
        <f t="shared" si="194"/>
        <v>210.37093299376366</v>
      </c>
      <c r="V924" s="33">
        <f ca="1">AVERAGE(E924:OFFSET(E924,-V$5+1,0))</f>
        <v>5938.2714285714274</v>
      </c>
      <c r="W924" s="33">
        <f t="shared" ca="1" si="187"/>
        <v>6253.8278280620725</v>
      </c>
      <c r="X924" s="33">
        <f t="shared" ca="1" si="188"/>
        <v>5622.7150290807822</v>
      </c>
      <c r="Y924" s="32">
        <f t="shared" ca="1" si="195"/>
        <v>0</v>
      </c>
    </row>
    <row r="925" spans="1:25">
      <c r="A925" s="5">
        <v>39724</v>
      </c>
      <c r="B925" s="4">
        <v>5611.51</v>
      </c>
      <c r="C925" s="4">
        <v>5747.73</v>
      </c>
      <c r="D925" s="4">
        <v>5558.35</v>
      </c>
      <c r="E925" s="4">
        <v>5742.23</v>
      </c>
      <c r="F925" s="4">
        <v>3179600</v>
      </c>
      <c r="G925" s="8">
        <f t="shared" si="197"/>
        <v>-92.210000000000036</v>
      </c>
      <c r="H925" s="8">
        <f t="shared" si="196"/>
        <v>130.71999999999935</v>
      </c>
      <c r="I925" s="20">
        <f t="shared" ca="1" si="189"/>
        <v>0</v>
      </c>
      <c r="J925" s="8">
        <f t="shared" ca="1" si="190"/>
        <v>-3</v>
      </c>
      <c r="K925" s="8">
        <f t="shared" ca="1" si="191"/>
        <v>-115.52999999999793</v>
      </c>
      <c r="L925" s="8">
        <f t="shared" ca="1" si="192"/>
        <v>7919.8600000000051</v>
      </c>
      <c r="M925" s="9">
        <f ca="1">AVERAGE(E925:OFFSET(E925,-M$5+1,0))</f>
        <v>5931.5490000000009</v>
      </c>
      <c r="N925" s="9">
        <f ca="1">AVERAGE(E925:OFFSET(E925,-N$5+1,0))</f>
        <v>6048.9365000000007</v>
      </c>
      <c r="O925" s="9">
        <f t="shared" ca="1" si="193"/>
        <v>0</v>
      </c>
      <c r="P925" s="14">
        <f t="shared" si="198"/>
        <v>0.67290430782981403</v>
      </c>
      <c r="Q925" s="15">
        <f ca="1">STDEV(P925:OFFSET(P925,-$Q$5+1,0))</f>
        <v>2.5924153775454486</v>
      </c>
      <c r="R925" s="15">
        <f ca="1">STDEV(P925:OFFSET(P925,-$R$5+1,0))</f>
        <v>2.341103014384319</v>
      </c>
      <c r="S925" s="18">
        <f t="shared" si="185"/>
        <v>189.3799999999992</v>
      </c>
      <c r="T925" s="18">
        <f t="shared" si="186"/>
        <v>189.3799999999992</v>
      </c>
      <c r="U925" s="18">
        <f t="shared" si="194"/>
        <v>207.57214192792839</v>
      </c>
      <c r="V925" s="33">
        <f ca="1">AVERAGE(E925:OFFSET(E925,-V$5+1,0))</f>
        <v>5897.6678571428565</v>
      </c>
      <c r="W925" s="33">
        <f t="shared" ca="1" si="187"/>
        <v>6209.026070034749</v>
      </c>
      <c r="X925" s="33">
        <f t="shared" ca="1" si="188"/>
        <v>5586.3096442509641</v>
      </c>
      <c r="Y925" s="32">
        <f t="shared" ca="1" si="195"/>
        <v>0</v>
      </c>
    </row>
    <row r="926" spans="1:25">
      <c r="A926" s="5">
        <v>39727</v>
      </c>
      <c r="B926" s="4">
        <v>5566.56</v>
      </c>
      <c r="C926" s="4">
        <v>5590.52</v>
      </c>
      <c r="D926" s="4">
        <v>5505.7</v>
      </c>
      <c r="E926" s="4">
        <v>5505.7</v>
      </c>
      <c r="F926" s="4">
        <v>2945200</v>
      </c>
      <c r="G926" s="8">
        <f t="shared" si="197"/>
        <v>-175.66999999999916</v>
      </c>
      <c r="H926" s="8">
        <f t="shared" si="196"/>
        <v>-60.860000000000582</v>
      </c>
      <c r="I926" s="20">
        <f t="shared" ca="1" si="189"/>
        <v>-1</v>
      </c>
      <c r="J926" s="8">
        <f t="shared" ca="1" si="190"/>
        <v>-3</v>
      </c>
      <c r="K926" s="8">
        <f t="shared" ca="1" si="191"/>
        <v>709.58999999999924</v>
      </c>
      <c r="L926" s="8">
        <f t="shared" ca="1" si="192"/>
        <v>8629.4500000000044</v>
      </c>
      <c r="M926" s="9">
        <f ca="1">AVERAGE(E926:OFFSET(E926,-M$5+1,0))</f>
        <v>5885.081000000001</v>
      </c>
      <c r="N926" s="9">
        <f ca="1">AVERAGE(E926:OFFSET(E926,-N$5+1,0))</f>
        <v>6008.8575000000001</v>
      </c>
      <c r="O926" s="9">
        <f t="shared" ca="1" si="193"/>
        <v>0</v>
      </c>
      <c r="P926" s="14">
        <f t="shared" si="198"/>
        <v>-4.2063717405631147</v>
      </c>
      <c r="Q926" s="15">
        <f ca="1">STDEV(P926:OFFSET(P926,-$Q$5+1,0))</f>
        <v>2.1058197654527655</v>
      </c>
      <c r="R926" s="15">
        <f ca="1">STDEV(P926:OFFSET(P926,-$R$5+1,0))</f>
        <v>2.3572991867860726</v>
      </c>
      <c r="S926" s="18">
        <f t="shared" si="185"/>
        <v>84.820000000000618</v>
      </c>
      <c r="T926" s="18">
        <f t="shared" si="186"/>
        <v>236.52999999999975</v>
      </c>
      <c r="U926" s="18">
        <f t="shared" si="194"/>
        <v>211.43318967087123</v>
      </c>
      <c r="V926" s="33">
        <f ca="1">AVERAGE(E926:OFFSET(E926,-V$5+1,0))</f>
        <v>5858.614285714285</v>
      </c>
      <c r="W926" s="33">
        <f t="shared" ca="1" si="187"/>
        <v>6175.7640702205917</v>
      </c>
      <c r="X926" s="33">
        <f t="shared" ca="1" si="188"/>
        <v>5541.4645012079782</v>
      </c>
      <c r="Y926" s="32">
        <f t="shared" ca="1" si="195"/>
        <v>-1</v>
      </c>
    </row>
    <row r="927" spans="1:25">
      <c r="A927" s="5">
        <v>39728</v>
      </c>
      <c r="B927" s="4">
        <v>5352.9</v>
      </c>
      <c r="C927" s="4">
        <v>5539.31</v>
      </c>
      <c r="D927" s="4">
        <v>5352.08</v>
      </c>
      <c r="E927" s="4">
        <v>5524.66</v>
      </c>
      <c r="F927" s="4">
        <v>3008200</v>
      </c>
      <c r="G927" s="8">
        <f t="shared" si="197"/>
        <v>-152.80000000000018</v>
      </c>
      <c r="H927" s="8">
        <f t="shared" si="196"/>
        <v>171.76000000000022</v>
      </c>
      <c r="I927" s="20">
        <f t="shared" ca="1" si="189"/>
        <v>0</v>
      </c>
      <c r="J927" s="8">
        <f t="shared" ca="1" si="190"/>
        <v>-3</v>
      </c>
      <c r="K927" s="8">
        <f t="shared" ca="1" si="191"/>
        <v>-56.880000000000109</v>
      </c>
      <c r="L927" s="8">
        <f t="shared" ca="1" si="192"/>
        <v>8572.5700000000033</v>
      </c>
      <c r="M927" s="9">
        <f ca="1">AVERAGE(E927:OFFSET(E927,-M$5+1,0))</f>
        <v>5826.4869999999992</v>
      </c>
      <c r="N927" s="9">
        <f ca="1">AVERAGE(E927:OFFSET(E927,-N$5+1,0))</f>
        <v>5952.1559999999999</v>
      </c>
      <c r="O927" s="9">
        <f t="shared" ca="1" si="193"/>
        <v>0</v>
      </c>
      <c r="P927" s="14">
        <f t="shared" si="198"/>
        <v>0.34377878279666901</v>
      </c>
      <c r="Q927" s="15">
        <f ca="1">STDEV(P927:OFFSET(P927,-$Q$5+1,0))</f>
        <v>1.8572206871842754</v>
      </c>
      <c r="R927" s="15">
        <f ca="1">STDEV(P927:OFFSET(P927,-$R$5+1,0))</f>
        <v>2.334379533428899</v>
      </c>
      <c r="S927" s="18">
        <f t="shared" si="185"/>
        <v>187.23000000000047</v>
      </c>
      <c r="T927" s="18">
        <f t="shared" si="186"/>
        <v>187.23000000000047</v>
      </c>
      <c r="U927" s="18">
        <f t="shared" si="194"/>
        <v>208.20609771475512</v>
      </c>
      <c r="V927" s="33">
        <f ca="1">AVERAGE(E927:OFFSET(E927,-V$5+1,0))</f>
        <v>5842.0478571428566</v>
      </c>
      <c r="W927" s="33">
        <f t="shared" ca="1" si="187"/>
        <v>6154.3570037149893</v>
      </c>
      <c r="X927" s="33">
        <f t="shared" ca="1" si="188"/>
        <v>5529.7387105707239</v>
      </c>
      <c r="Y927" s="32">
        <f t="shared" ca="1" si="195"/>
        <v>0</v>
      </c>
    </row>
    <row r="928" spans="1:25">
      <c r="A928" s="5">
        <v>39729</v>
      </c>
      <c r="B928" s="4">
        <v>5374.27</v>
      </c>
      <c r="C928" s="4">
        <v>5411.72</v>
      </c>
      <c r="D928" s="4">
        <v>5206.3999999999996</v>
      </c>
      <c r="E928" s="4">
        <v>5206.3999999999996</v>
      </c>
      <c r="F928" s="4">
        <v>3213800</v>
      </c>
      <c r="G928" s="8">
        <f t="shared" si="197"/>
        <v>-150.38999999999942</v>
      </c>
      <c r="H928" s="8">
        <f t="shared" si="196"/>
        <v>-167.8700000000008</v>
      </c>
      <c r="I928" s="20">
        <f t="shared" ca="1" si="189"/>
        <v>0</v>
      </c>
      <c r="J928" s="8">
        <f t="shared" ca="1" si="190"/>
        <v>-3</v>
      </c>
      <c r="K928" s="8">
        <f t="shared" ca="1" si="191"/>
        <v>954.78000000000065</v>
      </c>
      <c r="L928" s="8">
        <f t="shared" ca="1" si="192"/>
        <v>9527.350000000004</v>
      </c>
      <c r="M928" s="9">
        <f ca="1">AVERAGE(E928:OFFSET(E928,-M$5+1,0))</f>
        <v>5728.9060000000009</v>
      </c>
      <c r="N928" s="9">
        <f ca="1">AVERAGE(E928:OFFSET(E928,-N$5+1,0))</f>
        <v>5891.2374999999993</v>
      </c>
      <c r="O928" s="9">
        <f t="shared" ca="1" si="193"/>
        <v>0</v>
      </c>
      <c r="P928" s="14">
        <f t="shared" si="198"/>
        <v>-5.9333069006127648</v>
      </c>
      <c r="Q928" s="15">
        <f ca="1">STDEV(P928:OFFSET(P928,-$Q$5+1,0))</f>
        <v>2.2494589751224767</v>
      </c>
      <c r="R928" s="15">
        <f ca="1">STDEV(P928:OFFSET(P928,-$R$5+1,0))</f>
        <v>2.4756571592316652</v>
      </c>
      <c r="S928" s="18">
        <f t="shared" si="185"/>
        <v>205.32000000000062</v>
      </c>
      <c r="T928" s="18">
        <f t="shared" si="186"/>
        <v>318.26000000000022</v>
      </c>
      <c r="U928" s="18">
        <f t="shared" si="194"/>
        <v>222.8799513527878</v>
      </c>
      <c r="V928" s="33">
        <f ca="1">AVERAGE(E928:OFFSET(E928,-V$5+1,0))</f>
        <v>5799.5857142857139</v>
      </c>
      <c r="W928" s="33">
        <f t="shared" ca="1" si="187"/>
        <v>6133.9056413148955</v>
      </c>
      <c r="X928" s="33">
        <f t="shared" ca="1" si="188"/>
        <v>5465.2657872565323</v>
      </c>
      <c r="Y928" s="32">
        <f t="shared" ca="1" si="195"/>
        <v>0</v>
      </c>
    </row>
    <row r="929" spans="1:25">
      <c r="A929" s="5">
        <v>39730</v>
      </c>
      <c r="B929" s="4">
        <v>5183.43</v>
      </c>
      <c r="C929" s="4">
        <v>5295.05</v>
      </c>
      <c r="D929" s="4">
        <v>5130.71</v>
      </c>
      <c r="E929" s="4">
        <v>5130.71</v>
      </c>
      <c r="F929" s="4">
        <v>3804400</v>
      </c>
      <c r="G929" s="8">
        <f t="shared" si="197"/>
        <v>-22.969999999999345</v>
      </c>
      <c r="H929" s="8">
        <f t="shared" si="196"/>
        <v>-52.720000000000255</v>
      </c>
      <c r="I929" s="20">
        <f t="shared" ca="1" si="189"/>
        <v>0</v>
      </c>
      <c r="J929" s="8">
        <f t="shared" ca="1" si="190"/>
        <v>-3</v>
      </c>
      <c r="K929" s="8">
        <f t="shared" ca="1" si="191"/>
        <v>227.0699999999988</v>
      </c>
      <c r="L929" s="8">
        <f t="shared" ca="1" si="192"/>
        <v>9754.4200000000019</v>
      </c>
      <c r="M929" s="9">
        <f ca="1">AVERAGE(E929:OFFSET(E929,-M$5+1,0))</f>
        <v>5628.7169999999996</v>
      </c>
      <c r="N929" s="9">
        <f ca="1">AVERAGE(E929:OFFSET(E929,-N$5+1,0))</f>
        <v>5824.8724999999995</v>
      </c>
      <c r="O929" s="9">
        <f t="shared" ca="1" si="193"/>
        <v>0</v>
      </c>
      <c r="P929" s="14">
        <f t="shared" si="198"/>
        <v>-1.4644586877061427</v>
      </c>
      <c r="Q929" s="15">
        <f ca="1">STDEV(P929:OFFSET(P929,-$Q$5+1,0))</f>
        <v>2.229333669680241</v>
      </c>
      <c r="R929" s="15">
        <f ca="1">STDEV(P929:OFFSET(P929,-$R$5+1,0))</f>
        <v>2.4738813656313829</v>
      </c>
      <c r="S929" s="18">
        <f t="shared" si="185"/>
        <v>164.34000000000015</v>
      </c>
      <c r="T929" s="18">
        <f t="shared" si="186"/>
        <v>164.34000000000015</v>
      </c>
      <c r="U929" s="18">
        <f t="shared" si="194"/>
        <v>215.07462450574945</v>
      </c>
      <c r="V929" s="33">
        <f ca="1">AVERAGE(E929:OFFSET(E929,-V$5+1,0))</f>
        <v>5763.0685714285719</v>
      </c>
      <c r="W929" s="33">
        <f t="shared" ca="1" si="187"/>
        <v>6085.6805081871962</v>
      </c>
      <c r="X929" s="33">
        <f t="shared" ca="1" si="188"/>
        <v>5440.4566346699476</v>
      </c>
      <c r="Y929" s="32">
        <f t="shared" ca="1" si="195"/>
        <v>0</v>
      </c>
    </row>
    <row r="930" spans="1:25">
      <c r="A930" s="5">
        <v>39734</v>
      </c>
      <c r="B930" s="4">
        <v>4996.0600000000004</v>
      </c>
      <c r="C930" s="4">
        <v>5025.7299999999996</v>
      </c>
      <c r="D930" s="4">
        <v>4971.3599999999997</v>
      </c>
      <c r="E930" s="4">
        <v>5020.4399999999996</v>
      </c>
      <c r="F930" s="4">
        <v>2205000</v>
      </c>
      <c r="G930" s="8">
        <f t="shared" si="197"/>
        <v>-134.64999999999964</v>
      </c>
      <c r="H930" s="8">
        <f t="shared" si="196"/>
        <v>24.3799999999992</v>
      </c>
      <c r="I930" s="20">
        <f t="shared" ca="1" si="189"/>
        <v>0</v>
      </c>
      <c r="J930" s="8">
        <f t="shared" ca="1" si="190"/>
        <v>-3</v>
      </c>
      <c r="K930" s="8">
        <f t="shared" ca="1" si="191"/>
        <v>330.81000000000131</v>
      </c>
      <c r="L930" s="8">
        <f t="shared" ca="1" si="192"/>
        <v>10085.230000000003</v>
      </c>
      <c r="M930" s="9">
        <f ca="1">AVERAGE(E930:OFFSET(E930,-M$5+1,0))</f>
        <v>5524.6779999999999</v>
      </c>
      <c r="N930" s="9">
        <f ca="1">AVERAGE(E930:OFFSET(E930,-N$5+1,0))</f>
        <v>5763.2969999999996</v>
      </c>
      <c r="O930" s="9">
        <f t="shared" ca="1" si="193"/>
        <v>0</v>
      </c>
      <c r="P930" s="14">
        <f t="shared" si="198"/>
        <v>-2.1726471900476385</v>
      </c>
      <c r="Q930" s="15">
        <f ca="1">STDEV(P930:OFFSET(P930,-$Q$5+1,0))</f>
        <v>2.2214513769798119</v>
      </c>
      <c r="R930" s="15">
        <f ca="1">STDEV(P930:OFFSET(P930,-$R$5+1,0))</f>
        <v>2.4723440430492611</v>
      </c>
      <c r="S930" s="18">
        <f t="shared" si="185"/>
        <v>54.369999999999891</v>
      </c>
      <c r="T930" s="18">
        <f t="shared" si="186"/>
        <v>159.35000000000036</v>
      </c>
      <c r="U930" s="18">
        <f t="shared" si="194"/>
        <v>207.6446745716496</v>
      </c>
      <c r="V930" s="33">
        <f ca="1">AVERAGE(E930:OFFSET(E930,-V$5+1,0))</f>
        <v>5695.2157142857159</v>
      </c>
      <c r="W930" s="33">
        <f t="shared" ca="1" si="187"/>
        <v>6006.6827261431899</v>
      </c>
      <c r="X930" s="33">
        <f t="shared" ca="1" si="188"/>
        <v>5383.7487024282418</v>
      </c>
      <c r="Y930" s="32">
        <f t="shared" ca="1" si="195"/>
        <v>0</v>
      </c>
    </row>
    <row r="931" spans="1:25">
      <c r="A931" s="5">
        <v>39735</v>
      </c>
      <c r="B931" s="4">
        <v>5321.25</v>
      </c>
      <c r="C931" s="4">
        <v>5321.25</v>
      </c>
      <c r="D931" s="4">
        <v>5277.3</v>
      </c>
      <c r="E931" s="4">
        <v>5291.56</v>
      </c>
      <c r="F931" s="4">
        <v>3236800</v>
      </c>
      <c r="G931" s="8">
        <f t="shared" si="197"/>
        <v>300.8100000000004</v>
      </c>
      <c r="H931" s="8">
        <f t="shared" si="196"/>
        <v>-29.6899999999996</v>
      </c>
      <c r="I931" s="20">
        <f t="shared" ca="1" si="189"/>
        <v>0</v>
      </c>
      <c r="J931" s="8">
        <f t="shared" ca="1" si="190"/>
        <v>-3</v>
      </c>
      <c r="K931" s="8">
        <f t="shared" ca="1" si="191"/>
        <v>-813.3600000000024</v>
      </c>
      <c r="L931" s="8">
        <f t="shared" ca="1" si="192"/>
        <v>9271.8700000000008</v>
      </c>
      <c r="M931" s="9">
        <f ca="1">AVERAGE(E931:OFFSET(E931,-M$5+1,0))</f>
        <v>5460.871000000001</v>
      </c>
      <c r="N931" s="9">
        <f ca="1">AVERAGE(E931:OFFSET(E931,-N$5+1,0))</f>
        <v>5712.3409999999994</v>
      </c>
      <c r="O931" s="9">
        <f t="shared" ca="1" si="193"/>
        <v>0</v>
      </c>
      <c r="P931" s="14">
        <f t="shared" si="198"/>
        <v>5.259551916212228</v>
      </c>
      <c r="Q931" s="15">
        <f ca="1">STDEV(P931:OFFSET(P931,-$Q$5+1,0))</f>
        <v>3.1586450130244277</v>
      </c>
      <c r="R931" s="15">
        <f ca="1">STDEV(P931:OFFSET(P931,-$R$5+1,0))</f>
        <v>2.6551136564118805</v>
      </c>
      <c r="S931" s="18">
        <f t="shared" si="185"/>
        <v>43.949999999999818</v>
      </c>
      <c r="T931" s="18">
        <f t="shared" si="186"/>
        <v>300.8100000000004</v>
      </c>
      <c r="U931" s="18">
        <f t="shared" si="194"/>
        <v>220.06671796209639</v>
      </c>
      <c r="V931" s="33">
        <f ca="1">AVERAGE(E931:OFFSET(E931,-V$5+1,0))</f>
        <v>5636.7128571428566</v>
      </c>
      <c r="W931" s="33">
        <f t="shared" ca="1" si="187"/>
        <v>5966.8129340860014</v>
      </c>
      <c r="X931" s="33">
        <f t="shared" ca="1" si="188"/>
        <v>5306.6127801997118</v>
      </c>
      <c r="Y931" s="32">
        <f t="shared" ca="1" si="195"/>
        <v>0</v>
      </c>
    </row>
    <row r="932" spans="1:25">
      <c r="A932" s="5">
        <v>39736</v>
      </c>
      <c r="B932" s="4">
        <v>5225.05</v>
      </c>
      <c r="C932" s="4">
        <v>5246.26</v>
      </c>
      <c r="D932" s="4">
        <v>5178.68</v>
      </c>
      <c r="E932" s="4">
        <v>5246.26</v>
      </c>
      <c r="F932" s="4">
        <v>2673600</v>
      </c>
      <c r="G932" s="8">
        <f t="shared" si="197"/>
        <v>-66.510000000000218</v>
      </c>
      <c r="H932" s="8">
        <f t="shared" si="196"/>
        <v>21.210000000000036</v>
      </c>
      <c r="I932" s="20">
        <f t="shared" ca="1" si="189"/>
        <v>0</v>
      </c>
      <c r="J932" s="8">
        <f t="shared" ca="1" si="190"/>
        <v>-3</v>
      </c>
      <c r="K932" s="8">
        <f t="shared" ca="1" si="191"/>
        <v>135.90000000000055</v>
      </c>
      <c r="L932" s="8">
        <f t="shared" ca="1" si="192"/>
        <v>9407.77</v>
      </c>
      <c r="M932" s="9">
        <f ca="1">AVERAGE(E932:OFFSET(E932,-M$5+1,0))</f>
        <v>5413.5690000000004</v>
      </c>
      <c r="N932" s="9">
        <f ca="1">AVERAGE(E932:OFFSET(E932,-N$5+1,0))</f>
        <v>5672.0314999999991</v>
      </c>
      <c r="O932" s="9">
        <f t="shared" ca="1" si="193"/>
        <v>0</v>
      </c>
      <c r="P932" s="14">
        <f t="shared" si="198"/>
        <v>-0.85976566398975429</v>
      </c>
      <c r="Q932" s="15">
        <f ca="1">STDEV(P932:OFFSET(P932,-$Q$5+1,0))</f>
        <v>3.0367360765587632</v>
      </c>
      <c r="R932" s="15">
        <f ca="1">STDEV(P932:OFFSET(P932,-$R$5+1,0))</f>
        <v>2.6355404109625487</v>
      </c>
      <c r="S932" s="18">
        <f t="shared" si="185"/>
        <v>67.579999999999927</v>
      </c>
      <c r="T932" s="18">
        <f t="shared" si="186"/>
        <v>112.88000000000011</v>
      </c>
      <c r="U932" s="18">
        <f t="shared" si="194"/>
        <v>205.77515556715022</v>
      </c>
      <c r="V932" s="33">
        <f ca="1">AVERAGE(E932:OFFSET(E932,-V$5+1,0))</f>
        <v>5569.8592857142858</v>
      </c>
      <c r="W932" s="33">
        <f t="shared" ca="1" si="187"/>
        <v>5878.5220190650107</v>
      </c>
      <c r="X932" s="33">
        <f t="shared" ca="1" si="188"/>
        <v>5261.1965523635608</v>
      </c>
      <c r="Y932" s="32">
        <f t="shared" ca="1" si="195"/>
        <v>0</v>
      </c>
    </row>
    <row r="933" spans="1:25">
      <c r="A933" s="5">
        <v>39737</v>
      </c>
      <c r="B933" s="4">
        <v>5069.07</v>
      </c>
      <c r="C933" s="4">
        <v>5085.97</v>
      </c>
      <c r="D933" s="4">
        <v>5069.07</v>
      </c>
      <c r="E933" s="4">
        <v>5075.97</v>
      </c>
      <c r="F933" s="4">
        <v>1698000</v>
      </c>
      <c r="G933" s="8">
        <f t="shared" si="197"/>
        <v>-177.19000000000051</v>
      </c>
      <c r="H933" s="8">
        <f t="shared" si="196"/>
        <v>6.9000000000005457</v>
      </c>
      <c r="I933" s="20">
        <f t="shared" ca="1" si="189"/>
        <v>0</v>
      </c>
      <c r="J933" s="8">
        <f t="shared" ca="1" si="190"/>
        <v>-3</v>
      </c>
      <c r="K933" s="8">
        <f t="shared" ca="1" si="191"/>
        <v>510.86999999999989</v>
      </c>
      <c r="L933" s="8">
        <f t="shared" ca="1" si="192"/>
        <v>9918.64</v>
      </c>
      <c r="M933" s="9">
        <f ca="1">AVERAGE(E933:OFFSET(E933,-M$5+1,0))</f>
        <v>5344.7650000000003</v>
      </c>
      <c r="N933" s="9">
        <f ca="1">AVERAGE(E933:OFFSET(E933,-N$5+1,0))</f>
        <v>5638.0005000000001</v>
      </c>
      <c r="O933" s="9">
        <f t="shared" ca="1" si="193"/>
        <v>0</v>
      </c>
      <c r="P933" s="14">
        <f t="shared" si="198"/>
        <v>-3.2997802118076938</v>
      </c>
      <c r="Q933" s="15">
        <f ca="1">STDEV(P933:OFFSET(P933,-$Q$5+1,0))</f>
        <v>3.0654262050661489</v>
      </c>
      <c r="R933" s="15">
        <f ca="1">STDEV(P933:OFFSET(P933,-$R$5+1,0))</f>
        <v>2.6658312322562541</v>
      </c>
      <c r="S933" s="18">
        <f t="shared" si="185"/>
        <v>16.900000000000546</v>
      </c>
      <c r="T933" s="18">
        <f t="shared" si="186"/>
        <v>177.19000000000051</v>
      </c>
      <c r="U933" s="18">
        <f t="shared" si="194"/>
        <v>201.96380149153026</v>
      </c>
      <c r="V933" s="33">
        <f ca="1">AVERAGE(E933:OFFSET(E933,-V$5+1,0))</f>
        <v>5494.3857142857141</v>
      </c>
      <c r="W933" s="33">
        <f t="shared" ca="1" si="187"/>
        <v>5797.3314165230095</v>
      </c>
      <c r="X933" s="33">
        <f t="shared" ca="1" si="188"/>
        <v>5191.4400120484188</v>
      </c>
      <c r="Y933" s="32">
        <f t="shared" ca="1" si="195"/>
        <v>0</v>
      </c>
    </row>
    <row r="934" spans="1:25">
      <c r="A934" s="5">
        <v>39738</v>
      </c>
      <c r="B934" s="4">
        <v>4993.79</v>
      </c>
      <c r="C934" s="4">
        <v>5024.43</v>
      </c>
      <c r="D934" s="4">
        <v>4924.7299999999996</v>
      </c>
      <c r="E934" s="4">
        <v>4960.3999999999996</v>
      </c>
      <c r="F934" s="4">
        <v>3068400</v>
      </c>
      <c r="G934" s="8">
        <f t="shared" si="197"/>
        <v>-82.180000000000291</v>
      </c>
      <c r="H934" s="8">
        <f t="shared" si="196"/>
        <v>-33.390000000000327</v>
      </c>
      <c r="I934" s="20">
        <f t="shared" ca="1" si="189"/>
        <v>0</v>
      </c>
      <c r="J934" s="8">
        <f t="shared" ca="1" si="190"/>
        <v>-3</v>
      </c>
      <c r="K934" s="8">
        <f t="shared" ca="1" si="191"/>
        <v>346.71000000000186</v>
      </c>
      <c r="L934" s="8">
        <f t="shared" ca="1" si="192"/>
        <v>10265.350000000002</v>
      </c>
      <c r="M934" s="9">
        <f ca="1">AVERAGE(E934:OFFSET(E934,-M$5+1,0))</f>
        <v>5270.433</v>
      </c>
      <c r="N934" s="9">
        <f ca="1">AVERAGE(E934:OFFSET(E934,-N$5+1,0))</f>
        <v>5595.9769999999999</v>
      </c>
      <c r="O934" s="9">
        <f t="shared" ca="1" si="193"/>
        <v>0</v>
      </c>
      <c r="P934" s="14">
        <f t="shared" si="198"/>
        <v>-2.3031257022711356</v>
      </c>
      <c r="Q934" s="15">
        <f ca="1">STDEV(P934:OFFSET(P934,-$Q$5+1,0))</f>
        <v>3.0809735041203279</v>
      </c>
      <c r="R934" s="15">
        <f ca="1">STDEV(P934:OFFSET(P934,-$R$5+1,0))</f>
        <v>2.6618818132379056</v>
      </c>
      <c r="S934" s="18">
        <f t="shared" si="185"/>
        <v>99.700000000000728</v>
      </c>
      <c r="T934" s="18">
        <f t="shared" si="186"/>
        <v>151.24000000000069</v>
      </c>
      <c r="U934" s="18">
        <f t="shared" si="194"/>
        <v>195.20062795932631</v>
      </c>
      <c r="V934" s="33">
        <f ca="1">AVERAGE(E934:OFFSET(E934,-V$5+1,0))</f>
        <v>5415.7835714285702</v>
      </c>
      <c r="W934" s="33">
        <f t="shared" ca="1" si="187"/>
        <v>5708.5845133675593</v>
      </c>
      <c r="X934" s="33">
        <f t="shared" ca="1" si="188"/>
        <v>5122.9826294895811</v>
      </c>
      <c r="Y934" s="32">
        <f t="shared" ca="1" si="195"/>
        <v>0</v>
      </c>
    </row>
    <row r="935" spans="1:25">
      <c r="A935" s="5">
        <v>39741</v>
      </c>
      <c r="B935" s="4">
        <v>4845.3100000000004</v>
      </c>
      <c r="C935" s="4">
        <v>4931.84</v>
      </c>
      <c r="D935" s="4">
        <v>4805.68</v>
      </c>
      <c r="E935" s="4">
        <v>4931.84</v>
      </c>
      <c r="F935" s="4">
        <v>2195600</v>
      </c>
      <c r="G935" s="8">
        <f t="shared" si="197"/>
        <v>-115.08999999999924</v>
      </c>
      <c r="H935" s="8">
        <f t="shared" si="196"/>
        <v>86.529999999999745</v>
      </c>
      <c r="I935" s="20">
        <f t="shared" ca="1" si="189"/>
        <v>0</v>
      </c>
      <c r="J935" s="8">
        <f t="shared" ca="1" si="190"/>
        <v>-3</v>
      </c>
      <c r="K935" s="8">
        <f t="shared" ca="1" si="191"/>
        <v>85.679999999998472</v>
      </c>
      <c r="L935" s="8">
        <f t="shared" ca="1" si="192"/>
        <v>10351.030000000001</v>
      </c>
      <c r="M935" s="9">
        <f ca="1">AVERAGE(E935:OFFSET(E935,-M$5+1,0))</f>
        <v>5189.3940000000002</v>
      </c>
      <c r="N935" s="9">
        <f ca="1">AVERAGE(E935:OFFSET(E935,-N$5+1,0))</f>
        <v>5560.4714999999997</v>
      </c>
      <c r="O935" s="9">
        <f t="shared" ca="1" si="193"/>
        <v>0</v>
      </c>
      <c r="P935" s="14">
        <f t="shared" si="198"/>
        <v>-0.57742390709337876</v>
      </c>
      <c r="Q935" s="15">
        <f ca="1">STDEV(P935:OFFSET(P935,-$Q$5+1,0))</f>
        <v>3.0122738519866012</v>
      </c>
      <c r="R935" s="15">
        <f ca="1">STDEV(P935:OFFSET(P935,-$R$5+1,0))</f>
        <v>2.6584252312071182</v>
      </c>
      <c r="S935" s="18">
        <f t="shared" si="185"/>
        <v>126.15999999999985</v>
      </c>
      <c r="T935" s="18">
        <f t="shared" si="186"/>
        <v>154.71999999999935</v>
      </c>
      <c r="U935" s="18">
        <f t="shared" si="194"/>
        <v>189.80321089808274</v>
      </c>
      <c r="V935" s="33">
        <f ca="1">AVERAGE(E935:OFFSET(E935,-V$5+1,0))</f>
        <v>5344.5128571428577</v>
      </c>
      <c r="W935" s="33">
        <f t="shared" ca="1" si="187"/>
        <v>5629.2176734899822</v>
      </c>
      <c r="X935" s="33">
        <f t="shared" ca="1" si="188"/>
        <v>5059.8080407957332</v>
      </c>
      <c r="Y935" s="32">
        <f t="shared" ca="1" si="195"/>
        <v>0</v>
      </c>
    </row>
    <row r="936" spans="1:25">
      <c r="A936" s="5">
        <v>39742</v>
      </c>
      <c r="B936" s="4">
        <v>4988.8500000000004</v>
      </c>
      <c r="C936" s="4">
        <v>5045.45</v>
      </c>
      <c r="D936" s="4">
        <v>4890.32</v>
      </c>
      <c r="E936" s="4">
        <v>4942.72</v>
      </c>
      <c r="F936" s="4">
        <v>3491800</v>
      </c>
      <c r="G936" s="8">
        <f t="shared" si="197"/>
        <v>57.010000000000218</v>
      </c>
      <c r="H936" s="8">
        <f t="shared" si="196"/>
        <v>-46.130000000000109</v>
      </c>
      <c r="I936" s="20">
        <f t="shared" ca="1" si="189"/>
        <v>0</v>
      </c>
      <c r="J936" s="8">
        <f t="shared" ca="1" si="190"/>
        <v>-3</v>
      </c>
      <c r="K936" s="8">
        <f t="shared" ca="1" si="191"/>
        <v>-32.640000000000327</v>
      </c>
      <c r="L936" s="8">
        <f t="shared" ca="1" si="192"/>
        <v>10318.39</v>
      </c>
      <c r="M936" s="9">
        <f ca="1">AVERAGE(E936:OFFSET(E936,-M$5+1,0))</f>
        <v>5133.0960000000005</v>
      </c>
      <c r="N936" s="9">
        <f ca="1">AVERAGE(E936:OFFSET(E936,-N$5+1,0))</f>
        <v>5509.0884999999998</v>
      </c>
      <c r="O936" s="9">
        <f t="shared" ca="1" si="193"/>
        <v>0</v>
      </c>
      <c r="P936" s="14">
        <f t="shared" si="198"/>
        <v>0.22036433831608931</v>
      </c>
      <c r="Q936" s="15">
        <f ca="1">STDEV(P936:OFFSET(P936,-$Q$5+1,0))</f>
        <v>2.8969105256802203</v>
      </c>
      <c r="R936" s="15">
        <f ca="1">STDEV(P936:OFFSET(P936,-$R$5+1,0))</f>
        <v>2.6612043998862935</v>
      </c>
      <c r="S936" s="18">
        <f t="shared" si="185"/>
        <v>155.13000000000011</v>
      </c>
      <c r="T936" s="18">
        <f t="shared" si="186"/>
        <v>155.13000000000011</v>
      </c>
      <c r="U936" s="18">
        <f t="shared" si="194"/>
        <v>185.18011611167174</v>
      </c>
      <c r="V936" s="33">
        <f ca="1">AVERAGE(E936:OFFSET(E936,-V$5+1,0))</f>
        <v>5289.0442857142862</v>
      </c>
      <c r="W936" s="33">
        <f t="shared" ca="1" si="187"/>
        <v>5566.8144598817935</v>
      </c>
      <c r="X936" s="33">
        <f t="shared" ca="1" si="188"/>
        <v>5011.2741115467788</v>
      </c>
      <c r="Y936" s="32">
        <f t="shared" ca="1" si="195"/>
        <v>0</v>
      </c>
    </row>
    <row r="937" spans="1:25">
      <c r="A937" s="5">
        <v>39743</v>
      </c>
      <c r="B937" s="4">
        <v>4843.71</v>
      </c>
      <c r="C937" s="4">
        <v>4955.6099999999997</v>
      </c>
      <c r="D937" s="4">
        <v>4839.17</v>
      </c>
      <c r="E937" s="4">
        <v>4862.59</v>
      </c>
      <c r="F937" s="4">
        <v>2598000</v>
      </c>
      <c r="G937" s="8">
        <f t="shared" si="197"/>
        <v>-99.010000000000218</v>
      </c>
      <c r="H937" s="8">
        <f t="shared" si="196"/>
        <v>18.880000000000109</v>
      </c>
      <c r="I937" s="20">
        <f t="shared" ca="1" si="189"/>
        <v>0</v>
      </c>
      <c r="J937" s="8">
        <f t="shared" ca="1" si="190"/>
        <v>-3</v>
      </c>
      <c r="K937" s="8">
        <f t="shared" ca="1" si="191"/>
        <v>240.39000000000033</v>
      </c>
      <c r="L937" s="8">
        <f t="shared" ca="1" si="192"/>
        <v>10558.779999999999</v>
      </c>
      <c r="M937" s="9">
        <f ca="1">AVERAGE(E937:OFFSET(E937,-M$5+1,0))</f>
        <v>5066.8890000000001</v>
      </c>
      <c r="N937" s="9">
        <f ca="1">AVERAGE(E937:OFFSET(E937,-N$5+1,0))</f>
        <v>5446.6879999999992</v>
      </c>
      <c r="O937" s="9">
        <f t="shared" ca="1" si="193"/>
        <v>0</v>
      </c>
      <c r="P937" s="14">
        <f t="shared" si="198"/>
        <v>-1.6344569188002736</v>
      </c>
      <c r="Q937" s="15">
        <f ca="1">STDEV(P937:OFFSET(P937,-$Q$5+1,0))</f>
        <v>2.8562400976122153</v>
      </c>
      <c r="R937" s="15">
        <f ca="1">STDEV(P937:OFFSET(P937,-$R$5+1,0))</f>
        <v>2.6315083260057315</v>
      </c>
      <c r="S937" s="18">
        <f t="shared" si="185"/>
        <v>116.4399999999996</v>
      </c>
      <c r="T937" s="18">
        <f t="shared" si="186"/>
        <v>116.4399999999996</v>
      </c>
      <c r="U937" s="18">
        <f t="shared" si="194"/>
        <v>176.01476729678211</v>
      </c>
      <c r="V937" s="33">
        <f ca="1">AVERAGE(E937:OFFSET(E937,-V$5+1,0))</f>
        <v>5224.6571428571424</v>
      </c>
      <c r="W937" s="33">
        <f t="shared" ca="1" si="187"/>
        <v>5488.6792938023154</v>
      </c>
      <c r="X937" s="33">
        <f t="shared" ca="1" si="188"/>
        <v>4960.6349919119693</v>
      </c>
      <c r="Y937" s="32">
        <f t="shared" ca="1" si="195"/>
        <v>0</v>
      </c>
    </row>
    <row r="938" spans="1:25">
      <c r="A938" s="5">
        <v>39744</v>
      </c>
      <c r="B938" s="4">
        <v>4706.13</v>
      </c>
      <c r="C938" s="4">
        <v>4730.51</v>
      </c>
      <c r="D938" s="4">
        <v>4706.13</v>
      </c>
      <c r="E938" s="4">
        <v>4730.51</v>
      </c>
      <c r="F938" s="4">
        <v>1710800</v>
      </c>
      <c r="G938" s="8">
        <f t="shared" si="197"/>
        <v>-156.46000000000004</v>
      </c>
      <c r="H938" s="8">
        <f t="shared" si="196"/>
        <v>24.380000000000109</v>
      </c>
      <c r="I938" s="20">
        <f t="shared" ca="1" si="189"/>
        <v>0</v>
      </c>
      <c r="J938" s="8">
        <f t="shared" ca="1" si="190"/>
        <v>-3</v>
      </c>
      <c r="K938" s="8">
        <f t="shared" ca="1" si="191"/>
        <v>396.23999999999978</v>
      </c>
      <c r="L938" s="8">
        <f t="shared" ca="1" si="192"/>
        <v>10955.019999999999</v>
      </c>
      <c r="M938" s="9">
        <f ca="1">AVERAGE(E938:OFFSET(E938,-M$5+1,0))</f>
        <v>5019.3000000000011</v>
      </c>
      <c r="N938" s="9">
        <f ca="1">AVERAGE(E938:OFFSET(E938,-N$5+1,0))</f>
        <v>5374.1029999999992</v>
      </c>
      <c r="O938" s="9">
        <f t="shared" ca="1" si="193"/>
        <v>0</v>
      </c>
      <c r="P938" s="14">
        <f t="shared" si="198"/>
        <v>-2.7538198669133278</v>
      </c>
      <c r="Q938" s="15">
        <f ca="1">STDEV(P938:OFFSET(P938,-$Q$5+1,0))</f>
        <v>2.4246124150691664</v>
      </c>
      <c r="R938" s="15">
        <f ca="1">STDEV(P938:OFFSET(P938,-$R$5+1,0))</f>
        <v>2.6474108486601589</v>
      </c>
      <c r="S938" s="18">
        <f t="shared" si="185"/>
        <v>24.380000000000109</v>
      </c>
      <c r="T938" s="18">
        <f t="shared" si="186"/>
        <v>156.46000000000004</v>
      </c>
      <c r="U938" s="18">
        <f t="shared" si="194"/>
        <v>173.4074649905445</v>
      </c>
      <c r="V938" s="33">
        <f ca="1">AVERAGE(E938:OFFSET(E938,-V$5+1,0))</f>
        <v>5155.1421428571421</v>
      </c>
      <c r="W938" s="33">
        <f t="shared" ca="1" si="187"/>
        <v>5415.2533403429588</v>
      </c>
      <c r="X938" s="33">
        <f t="shared" ca="1" si="188"/>
        <v>4895.0309453713253</v>
      </c>
      <c r="Y938" s="32">
        <f t="shared" ca="1" si="195"/>
        <v>0</v>
      </c>
    </row>
    <row r="939" spans="1:25">
      <c r="A939" s="5">
        <v>39745</v>
      </c>
      <c r="B939" s="4">
        <v>4599.13</v>
      </c>
      <c r="C939" s="4">
        <v>4603.5600000000004</v>
      </c>
      <c r="D939" s="4">
        <v>4579.62</v>
      </c>
      <c r="E939" s="4">
        <v>4579.62</v>
      </c>
      <c r="F939" s="4">
        <v>1659800</v>
      </c>
      <c r="G939" s="8">
        <f t="shared" si="197"/>
        <v>-131.38000000000011</v>
      </c>
      <c r="H939" s="8">
        <f t="shared" si="196"/>
        <v>-19.510000000000218</v>
      </c>
      <c r="I939" s="20">
        <f t="shared" ca="1" si="189"/>
        <v>0</v>
      </c>
      <c r="J939" s="8">
        <f t="shared" ca="1" si="190"/>
        <v>-3</v>
      </c>
      <c r="K939" s="8">
        <f t="shared" ca="1" si="191"/>
        <v>452.67000000000098</v>
      </c>
      <c r="L939" s="8">
        <f t="shared" ca="1" si="192"/>
        <v>11407.689999999999</v>
      </c>
      <c r="M939" s="9">
        <f ca="1">AVERAGE(E939:OFFSET(E939,-M$5+1,0))</f>
        <v>4964.1910000000007</v>
      </c>
      <c r="N939" s="9">
        <f ca="1">AVERAGE(E939:OFFSET(E939,-N$5+1,0))</f>
        <v>5296.4539999999988</v>
      </c>
      <c r="O939" s="9">
        <f t="shared" ca="1" si="193"/>
        <v>0</v>
      </c>
      <c r="P939" s="14">
        <f t="shared" si="198"/>
        <v>-3.2416993849945945</v>
      </c>
      <c r="Q939" s="15">
        <f ca="1">STDEV(P939:OFFSET(P939,-$Q$5+1,0))</f>
        <v>2.5287163044148087</v>
      </c>
      <c r="R939" s="15">
        <f ca="1">STDEV(P939:OFFSET(P939,-$R$5+1,0))</f>
        <v>2.6361926623349126</v>
      </c>
      <c r="S939" s="18">
        <f t="shared" si="185"/>
        <v>23.940000000000509</v>
      </c>
      <c r="T939" s="18">
        <f t="shared" si="186"/>
        <v>150.89000000000033</v>
      </c>
      <c r="U939" s="18">
        <f t="shared" si="194"/>
        <v>170.40513632513861</v>
      </c>
      <c r="V939" s="33">
        <f ca="1">AVERAGE(E939:OFFSET(E939,-V$5+1,0))</f>
        <v>5072.0985714285707</v>
      </c>
      <c r="W939" s="33">
        <f t="shared" ca="1" si="187"/>
        <v>5327.7062759162782</v>
      </c>
      <c r="X939" s="33">
        <f t="shared" ca="1" si="188"/>
        <v>4816.4908669408633</v>
      </c>
      <c r="Y939" s="32">
        <f t="shared" ca="1" si="195"/>
        <v>0</v>
      </c>
    </row>
    <row r="940" spans="1:25">
      <c r="A940" s="5">
        <v>39748</v>
      </c>
      <c r="B940" s="4">
        <v>4301.33</v>
      </c>
      <c r="C940" s="4">
        <v>4391.95</v>
      </c>
      <c r="D940" s="4">
        <v>4301.33</v>
      </c>
      <c r="E940" s="4">
        <v>4366.87</v>
      </c>
      <c r="F940" s="4">
        <v>2183600</v>
      </c>
      <c r="G940" s="8">
        <f t="shared" si="197"/>
        <v>-278.28999999999996</v>
      </c>
      <c r="H940" s="8">
        <f t="shared" si="196"/>
        <v>65.539999999999964</v>
      </c>
      <c r="I940" s="20">
        <f t="shared" ca="1" si="189"/>
        <v>0</v>
      </c>
      <c r="J940" s="8">
        <f t="shared" ca="1" si="190"/>
        <v>-3</v>
      </c>
      <c r="K940" s="8">
        <f t="shared" ca="1" si="191"/>
        <v>638.25</v>
      </c>
      <c r="L940" s="8">
        <f t="shared" ca="1" si="192"/>
        <v>12045.939999999999</v>
      </c>
      <c r="M940" s="9">
        <f ca="1">AVERAGE(E940:OFFSET(E940,-M$5+1,0))</f>
        <v>4898.8340000000007</v>
      </c>
      <c r="N940" s="9">
        <f ca="1">AVERAGE(E940:OFFSET(E940,-N$5+1,0))</f>
        <v>5211.7559999999985</v>
      </c>
      <c r="O940" s="9">
        <f t="shared" ca="1" si="193"/>
        <v>0</v>
      </c>
      <c r="P940" s="14">
        <f t="shared" si="198"/>
        <v>-4.7569519911243692</v>
      </c>
      <c r="Q940" s="15">
        <f ca="1">STDEV(P940:OFFSET(P940,-$Q$5+1,0))</f>
        <v>2.7672087737716655</v>
      </c>
      <c r="R940" s="15">
        <f ca="1">STDEV(P940:OFFSET(P940,-$R$5+1,0))</f>
        <v>2.6980162481419718</v>
      </c>
      <c r="S940" s="18">
        <f t="shared" si="185"/>
        <v>90.619999999999891</v>
      </c>
      <c r="T940" s="18">
        <f t="shared" si="186"/>
        <v>278.28999999999996</v>
      </c>
      <c r="U940" s="18">
        <f t="shared" si="194"/>
        <v>184.78978481512013</v>
      </c>
      <c r="V940" s="33">
        <f ca="1">AVERAGE(E940:OFFSET(E940,-V$5+1,0))</f>
        <v>4990.7535714285714</v>
      </c>
      <c r="W940" s="33">
        <f t="shared" ca="1" si="187"/>
        <v>5267.9382486512513</v>
      </c>
      <c r="X940" s="33">
        <f t="shared" ca="1" si="188"/>
        <v>4713.5688942058914</v>
      </c>
      <c r="Y940" s="32">
        <f t="shared" ca="1" si="195"/>
        <v>0</v>
      </c>
    </row>
    <row r="941" spans="1:25">
      <c r="A941" s="5">
        <v>39749</v>
      </c>
      <c r="B941" s="4">
        <v>4160.53</v>
      </c>
      <c r="C941" s="4">
        <v>4425.8999999999996</v>
      </c>
      <c r="D941" s="4">
        <v>4110.09</v>
      </c>
      <c r="E941" s="4">
        <v>4399.97</v>
      </c>
      <c r="F941" s="4">
        <v>4329200</v>
      </c>
      <c r="G941" s="8">
        <f t="shared" si="197"/>
        <v>-206.34000000000015</v>
      </c>
      <c r="H941" s="8">
        <f t="shared" si="196"/>
        <v>239.44000000000051</v>
      </c>
      <c r="I941" s="20">
        <f t="shared" ca="1" si="189"/>
        <v>0</v>
      </c>
      <c r="J941" s="8">
        <f t="shared" ca="1" si="190"/>
        <v>-3</v>
      </c>
      <c r="K941" s="8">
        <f t="shared" ca="1" si="191"/>
        <v>-99.300000000001091</v>
      </c>
      <c r="L941" s="8">
        <f t="shared" ca="1" si="192"/>
        <v>11946.639999999998</v>
      </c>
      <c r="M941" s="9">
        <f ca="1">AVERAGE(E941:OFFSET(E941,-M$5+1,0))</f>
        <v>4809.6750000000011</v>
      </c>
      <c r="N941" s="9">
        <f ca="1">AVERAGE(E941:OFFSET(E941,-N$5+1,0))</f>
        <v>5135.2729999999992</v>
      </c>
      <c r="O941" s="9">
        <f t="shared" ca="1" si="193"/>
        <v>0</v>
      </c>
      <c r="P941" s="14">
        <f t="shared" si="198"/>
        <v>0.7551217378771663</v>
      </c>
      <c r="Q941" s="15">
        <f ca="1">STDEV(P941:OFFSET(P941,-$Q$5+1,0))</f>
        <v>1.739430898230234</v>
      </c>
      <c r="R941" s="15">
        <f ca="1">STDEV(P941:OFFSET(P941,-$R$5+1,0))</f>
        <v>2.7070176846513667</v>
      </c>
      <c r="S941" s="18">
        <f t="shared" si="185"/>
        <v>315.80999999999949</v>
      </c>
      <c r="T941" s="18">
        <f t="shared" si="186"/>
        <v>315.80999999999949</v>
      </c>
      <c r="U941" s="18">
        <f t="shared" si="194"/>
        <v>202.25914683977072</v>
      </c>
      <c r="V941" s="33">
        <f ca="1">AVERAGE(E941:OFFSET(E941,-V$5+1,0))</f>
        <v>4910.4185714285713</v>
      </c>
      <c r="W941" s="33">
        <f t="shared" ca="1" si="187"/>
        <v>5213.8072916882275</v>
      </c>
      <c r="X941" s="33">
        <f t="shared" ca="1" si="188"/>
        <v>4607.0298511689152</v>
      </c>
      <c r="Y941" s="32">
        <f t="shared" ca="1" si="195"/>
        <v>0</v>
      </c>
    </row>
    <row r="942" spans="1:25">
      <c r="A942" s="5">
        <v>39750</v>
      </c>
      <c r="B942" s="4">
        <v>4622.55</v>
      </c>
      <c r="C942" s="4">
        <v>4622.55</v>
      </c>
      <c r="D942" s="4">
        <v>4395.6099999999997</v>
      </c>
      <c r="E942" s="4">
        <v>4406.5200000000004</v>
      </c>
      <c r="F942" s="4">
        <v>4528000</v>
      </c>
      <c r="G942" s="8">
        <f t="shared" si="197"/>
        <v>222.57999999999993</v>
      </c>
      <c r="H942" s="8">
        <f t="shared" si="196"/>
        <v>-216.02999999999975</v>
      </c>
      <c r="I942" s="20">
        <f t="shared" ca="1" si="189"/>
        <v>0</v>
      </c>
      <c r="J942" s="8">
        <f t="shared" ca="1" si="190"/>
        <v>-3</v>
      </c>
      <c r="K942" s="8">
        <f t="shared" ca="1" si="191"/>
        <v>-19.650000000000546</v>
      </c>
      <c r="L942" s="8">
        <f t="shared" ca="1" si="192"/>
        <v>11926.989999999998</v>
      </c>
      <c r="M942" s="9">
        <f ca="1">AVERAGE(E942:OFFSET(E942,-M$5+1,0))</f>
        <v>4725.7010000000009</v>
      </c>
      <c r="N942" s="9">
        <f ca="1">AVERAGE(E942:OFFSET(E942,-N$5+1,0))</f>
        <v>5069.6350000000002</v>
      </c>
      <c r="O942" s="9">
        <f t="shared" ca="1" si="193"/>
        <v>0</v>
      </c>
      <c r="P942" s="14">
        <f t="shared" si="198"/>
        <v>0.14875395776990569</v>
      </c>
      <c r="Q942" s="15">
        <f ca="1">STDEV(P942:OFFSET(P942,-$Q$5+1,0))</f>
        <v>1.8298010136517613</v>
      </c>
      <c r="R942" s="15">
        <f ca="1">STDEV(P942:OFFSET(P942,-$R$5+1,0))</f>
        <v>2.6912105902237142</v>
      </c>
      <c r="S942" s="18">
        <f t="shared" si="185"/>
        <v>226.94000000000051</v>
      </c>
      <c r="T942" s="18">
        <f t="shared" si="186"/>
        <v>226.94000000000051</v>
      </c>
      <c r="U942" s="18">
        <f t="shared" si="194"/>
        <v>205.54992726113468</v>
      </c>
      <c r="V942" s="33">
        <f ca="1">AVERAGE(E942:OFFSET(E942,-V$5+1,0))</f>
        <v>4853.2842857142869</v>
      </c>
      <c r="W942" s="33">
        <f t="shared" ca="1" si="187"/>
        <v>5161.609176605989</v>
      </c>
      <c r="X942" s="33">
        <f t="shared" ca="1" si="188"/>
        <v>4544.9593948225847</v>
      </c>
      <c r="Y942" s="32">
        <f t="shared" ca="1" si="195"/>
        <v>0</v>
      </c>
    </row>
    <row r="943" spans="1:25">
      <c r="A943" s="5">
        <v>39751</v>
      </c>
      <c r="B943" s="4">
        <v>4448.51</v>
      </c>
      <c r="C943" s="4">
        <v>4684.1099999999997</v>
      </c>
      <c r="D943" s="4">
        <v>4448.51</v>
      </c>
      <c r="E943" s="4">
        <v>4683.6400000000003</v>
      </c>
      <c r="F943" s="4">
        <v>4037400</v>
      </c>
      <c r="G943" s="8">
        <f t="shared" si="197"/>
        <v>41.989999999999782</v>
      </c>
      <c r="H943" s="8">
        <f t="shared" si="196"/>
        <v>235.13000000000011</v>
      </c>
      <c r="I943" s="20">
        <f t="shared" ca="1" si="189"/>
        <v>0</v>
      </c>
      <c r="J943" s="8">
        <f t="shared" ca="1" si="190"/>
        <v>-3</v>
      </c>
      <c r="K943" s="8">
        <f t="shared" ca="1" si="191"/>
        <v>-831.35999999999967</v>
      </c>
      <c r="L943" s="8">
        <f t="shared" ca="1" si="192"/>
        <v>11095.629999999997</v>
      </c>
      <c r="M943" s="9">
        <f ca="1">AVERAGE(E943:OFFSET(E943,-M$5+1,0))</f>
        <v>4686.4679999999989</v>
      </c>
      <c r="N943" s="9">
        <f ca="1">AVERAGE(E943:OFFSET(E943,-N$5+1,0))</f>
        <v>5015.6164999999992</v>
      </c>
      <c r="O943" s="9">
        <f t="shared" ca="1" si="193"/>
        <v>0</v>
      </c>
      <c r="P943" s="14">
        <f t="shared" si="198"/>
        <v>6.0990323098089156</v>
      </c>
      <c r="Q943" s="15">
        <f ca="1">STDEV(P943:OFFSET(P943,-$Q$5+1,0))</f>
        <v>2.9888339390527459</v>
      </c>
      <c r="R943" s="15">
        <f ca="1">STDEV(P943:OFFSET(P943,-$R$5+1,0))</f>
        <v>2.9189011229790811</v>
      </c>
      <c r="S943" s="18">
        <f t="shared" si="185"/>
        <v>235.59999999999945</v>
      </c>
      <c r="T943" s="18">
        <f t="shared" si="186"/>
        <v>277.58999999999924</v>
      </c>
      <c r="U943" s="18">
        <f t="shared" si="194"/>
        <v>215.15527029298329</v>
      </c>
      <c r="V943" s="33">
        <f ca="1">AVERAGE(E943:OFFSET(E943,-V$5+1,0))</f>
        <v>4821.3507142857143</v>
      </c>
      <c r="W943" s="33">
        <f t="shared" ca="1" si="187"/>
        <v>5144.0836197251892</v>
      </c>
      <c r="X943" s="33">
        <f t="shared" ca="1" si="188"/>
        <v>4498.6178088462393</v>
      </c>
      <c r="Y943" s="32">
        <f t="shared" ca="1" si="195"/>
        <v>0</v>
      </c>
    </row>
    <row r="944" spans="1:25">
      <c r="A944" s="5">
        <v>39752</v>
      </c>
      <c r="B944" s="4">
        <v>4707.75</v>
      </c>
      <c r="C944" s="4">
        <v>4911.8</v>
      </c>
      <c r="D944" s="4">
        <v>4659.67</v>
      </c>
      <c r="E944" s="4">
        <v>4870.66</v>
      </c>
      <c r="F944" s="4">
        <v>4772600</v>
      </c>
      <c r="G944" s="8">
        <f t="shared" si="197"/>
        <v>24.109999999999673</v>
      </c>
      <c r="H944" s="8">
        <f t="shared" si="196"/>
        <v>162.90999999999985</v>
      </c>
      <c r="I944" s="20">
        <f t="shared" ca="1" si="189"/>
        <v>0</v>
      </c>
      <c r="J944" s="8">
        <f t="shared" ca="1" si="190"/>
        <v>-3</v>
      </c>
      <c r="K944" s="8">
        <f t="shared" ca="1" si="191"/>
        <v>-561.05999999999858</v>
      </c>
      <c r="L944" s="8">
        <f t="shared" ca="1" si="192"/>
        <v>10534.57</v>
      </c>
      <c r="M944" s="9">
        <f ca="1">AVERAGE(E944:OFFSET(E944,-M$5+1,0))</f>
        <v>4677.4940000000006</v>
      </c>
      <c r="N944" s="9">
        <f ca="1">AVERAGE(E944:OFFSET(E944,-N$5+1,0))</f>
        <v>4973.9634999999998</v>
      </c>
      <c r="O944" s="9">
        <f t="shared" ca="1" si="193"/>
        <v>0</v>
      </c>
      <c r="P944" s="14">
        <f t="shared" si="198"/>
        <v>3.9153866131024215</v>
      </c>
      <c r="Q944" s="15">
        <f ca="1">STDEV(P944:OFFSET(P944,-$Q$5+1,0))</f>
        <v>3.2755258734476325</v>
      </c>
      <c r="R944" s="15">
        <f ca="1">STDEV(P944:OFFSET(P944,-$R$5+1,0))</f>
        <v>3.0124780625127427</v>
      </c>
      <c r="S944" s="18">
        <f t="shared" si="185"/>
        <v>252.13000000000011</v>
      </c>
      <c r="T944" s="18">
        <f t="shared" si="186"/>
        <v>252.13000000000011</v>
      </c>
      <c r="U944" s="18">
        <f t="shared" si="194"/>
        <v>220.08523425391888</v>
      </c>
      <c r="V944" s="33">
        <f ca="1">AVERAGE(E944:OFFSET(E944,-V$5+1,0))</f>
        <v>4810.6521428571441</v>
      </c>
      <c r="W944" s="33">
        <f t="shared" ca="1" si="187"/>
        <v>5140.7799942380225</v>
      </c>
      <c r="X944" s="33">
        <f t="shared" ca="1" si="188"/>
        <v>4480.5242914762657</v>
      </c>
      <c r="Y944" s="32">
        <f t="shared" ca="1" si="195"/>
        <v>0</v>
      </c>
    </row>
    <row r="945" spans="1:25">
      <c r="A945" s="5">
        <v>39755</v>
      </c>
      <c r="B945" s="4">
        <v>4925.74</v>
      </c>
      <c r="C945" s="4">
        <v>5010.57</v>
      </c>
      <c r="D945" s="4">
        <v>4836.51</v>
      </c>
      <c r="E945" s="4">
        <v>4995.0600000000004</v>
      </c>
      <c r="F945" s="4">
        <v>4325600</v>
      </c>
      <c r="G945" s="8">
        <f t="shared" si="197"/>
        <v>55.079999999999927</v>
      </c>
      <c r="H945" s="8">
        <f t="shared" si="196"/>
        <v>69.320000000000618</v>
      </c>
      <c r="I945" s="20">
        <f t="shared" ca="1" si="189"/>
        <v>0</v>
      </c>
      <c r="J945" s="8">
        <f t="shared" ca="1" si="190"/>
        <v>-3</v>
      </c>
      <c r="K945" s="8">
        <f t="shared" ca="1" si="191"/>
        <v>-373.20000000000164</v>
      </c>
      <c r="L945" s="8">
        <f t="shared" ca="1" si="192"/>
        <v>10161.369999999999</v>
      </c>
      <c r="M945" s="9">
        <f ca="1">AVERAGE(E945:OFFSET(E945,-M$5+1,0))</f>
        <v>4683.8160000000007</v>
      </c>
      <c r="N945" s="9">
        <f ca="1">AVERAGE(E945:OFFSET(E945,-N$5+1,0))</f>
        <v>4936.6049999999996</v>
      </c>
      <c r="O945" s="9">
        <f t="shared" ca="1" si="193"/>
        <v>0</v>
      </c>
      <c r="P945" s="14">
        <f t="shared" si="198"/>
        <v>2.5219972514419218</v>
      </c>
      <c r="Q945" s="15">
        <f ca="1">STDEV(P945:OFFSET(P945,-$Q$5+1,0))</f>
        <v>3.3790162394256571</v>
      </c>
      <c r="R945" s="15">
        <f ca="1">STDEV(P945:OFFSET(P945,-$R$5+1,0))</f>
        <v>3.0398532186817802</v>
      </c>
      <c r="S945" s="18">
        <f t="shared" si="185"/>
        <v>174.05999999999949</v>
      </c>
      <c r="T945" s="18">
        <f t="shared" si="186"/>
        <v>174.05999999999949</v>
      </c>
      <c r="U945" s="18">
        <f t="shared" si="194"/>
        <v>213.94853635339632</v>
      </c>
      <c r="V945" s="33">
        <f ca="1">AVERAGE(E945:OFFSET(E945,-V$5+1,0))</f>
        <v>4789.4735714285716</v>
      </c>
      <c r="W945" s="33">
        <f t="shared" ca="1" si="187"/>
        <v>5110.3963759586659</v>
      </c>
      <c r="X945" s="33">
        <f t="shared" ca="1" si="188"/>
        <v>4468.5507668984774</v>
      </c>
      <c r="Y945" s="32">
        <f t="shared" ca="1" si="195"/>
        <v>0</v>
      </c>
    </row>
    <row r="946" spans="1:25">
      <c r="A946" s="5">
        <v>39756</v>
      </c>
      <c r="B946" s="4">
        <v>4991.25</v>
      </c>
      <c r="C946" s="4">
        <v>5015.12</v>
      </c>
      <c r="D946" s="4">
        <v>4876</v>
      </c>
      <c r="E946" s="4">
        <v>4992.63</v>
      </c>
      <c r="F946" s="4">
        <v>4130200</v>
      </c>
      <c r="G946" s="8">
        <f t="shared" si="197"/>
        <v>-3.8100000000004002</v>
      </c>
      <c r="H946" s="8">
        <f t="shared" si="196"/>
        <v>1.3800000000001091</v>
      </c>
      <c r="I946" s="20">
        <f t="shared" ca="1" si="189"/>
        <v>0</v>
      </c>
      <c r="J946" s="8">
        <f t="shared" ca="1" si="190"/>
        <v>-3</v>
      </c>
      <c r="K946" s="8">
        <f t="shared" ca="1" si="191"/>
        <v>7.2900000000008731</v>
      </c>
      <c r="L946" s="8">
        <f t="shared" ca="1" si="192"/>
        <v>10168.66</v>
      </c>
      <c r="M946" s="9">
        <f ca="1">AVERAGE(E946:OFFSET(E946,-M$5+1,0))</f>
        <v>4688.8069999999998</v>
      </c>
      <c r="N946" s="9">
        <f ca="1">AVERAGE(E946:OFFSET(E946,-N$5+1,0))</f>
        <v>4910.951500000001</v>
      </c>
      <c r="O946" s="9">
        <f t="shared" ca="1" si="193"/>
        <v>0</v>
      </c>
      <c r="P946" s="14">
        <f t="shared" si="198"/>
        <v>-4.865990129746086E-2</v>
      </c>
      <c r="Q946" s="15">
        <f ca="1">STDEV(P946:OFFSET(P946,-$Q$5+1,0))</f>
        <v>3.3792645386697773</v>
      </c>
      <c r="R946" s="15">
        <f ca="1">STDEV(P946:OFFSET(P946,-$R$5+1,0))</f>
        <v>3.0364862650213995</v>
      </c>
      <c r="S946" s="18">
        <f t="shared" si="185"/>
        <v>139.11999999999989</v>
      </c>
      <c r="T946" s="18">
        <f t="shared" si="186"/>
        <v>139.11999999999989</v>
      </c>
      <c r="U946" s="18">
        <f t="shared" si="194"/>
        <v>203.97139817294348</v>
      </c>
      <c r="V946" s="33">
        <f ca="1">AVERAGE(E946:OFFSET(E946,-V$5+1,0))</f>
        <v>4771.357142857144</v>
      </c>
      <c r="W946" s="33">
        <f t="shared" ca="1" si="187"/>
        <v>5077.3142401165596</v>
      </c>
      <c r="X946" s="33">
        <f t="shared" ca="1" si="188"/>
        <v>4465.4000455977284</v>
      </c>
      <c r="Y946" s="32">
        <f t="shared" ca="1" si="195"/>
        <v>0</v>
      </c>
    </row>
    <row r="947" spans="1:25">
      <c r="A947" s="5">
        <v>39757</v>
      </c>
      <c r="B947" s="4">
        <v>5077.01</v>
      </c>
      <c r="C947" s="4">
        <v>5095.9799999999996</v>
      </c>
      <c r="D947" s="4">
        <v>4965.3999999999996</v>
      </c>
      <c r="E947" s="4">
        <v>4978.26</v>
      </c>
      <c r="F947" s="4">
        <v>4516600</v>
      </c>
      <c r="G947" s="8">
        <f t="shared" si="197"/>
        <v>84.380000000000109</v>
      </c>
      <c r="H947" s="8">
        <f t="shared" si="196"/>
        <v>-98.75</v>
      </c>
      <c r="I947" s="20">
        <f t="shared" ca="1" si="189"/>
        <v>0</v>
      </c>
      <c r="J947" s="8">
        <f t="shared" ca="1" si="190"/>
        <v>-3</v>
      </c>
      <c r="K947" s="8">
        <f t="shared" ca="1" si="191"/>
        <v>43.109999999999673</v>
      </c>
      <c r="L947" s="8">
        <f t="shared" ca="1" si="192"/>
        <v>10211.77</v>
      </c>
      <c r="M947" s="9">
        <f ca="1">AVERAGE(E947:OFFSET(E947,-M$5+1,0))</f>
        <v>4700.3739999999998</v>
      </c>
      <c r="N947" s="9">
        <f ca="1">AVERAGE(E947:OFFSET(E947,-N$5+1,0))</f>
        <v>4883.6315000000004</v>
      </c>
      <c r="O947" s="9">
        <f t="shared" ca="1" si="193"/>
        <v>0</v>
      </c>
      <c r="P947" s="14">
        <f t="shared" si="198"/>
        <v>-0.28823926347703616</v>
      </c>
      <c r="Q947" s="15">
        <f ca="1">STDEV(P947:OFFSET(P947,-$Q$5+1,0))</f>
        <v>3.3289095921806156</v>
      </c>
      <c r="R947" s="15">
        <f ca="1">STDEV(P947:OFFSET(P947,-$R$5+1,0))</f>
        <v>2.8769111056340164</v>
      </c>
      <c r="S947" s="18">
        <f t="shared" si="185"/>
        <v>130.57999999999993</v>
      </c>
      <c r="T947" s="18">
        <f t="shared" si="186"/>
        <v>130.57999999999993</v>
      </c>
      <c r="U947" s="18">
        <f t="shared" si="194"/>
        <v>194.18587841655102</v>
      </c>
      <c r="V947" s="33">
        <f ca="1">AVERAGE(E947:OFFSET(E947,-V$5+1,0))</f>
        <v>4764.3778571428566</v>
      </c>
      <c r="W947" s="33">
        <f t="shared" ca="1" si="187"/>
        <v>5055.6566747676834</v>
      </c>
      <c r="X947" s="33">
        <f t="shared" ca="1" si="188"/>
        <v>4473.0990395180297</v>
      </c>
      <c r="Y947" s="32">
        <f t="shared" ca="1" si="195"/>
        <v>0</v>
      </c>
    </row>
    <row r="948" spans="1:25">
      <c r="A948" s="5">
        <v>39758</v>
      </c>
      <c r="B948" s="4">
        <v>4699.09</v>
      </c>
      <c r="C948" s="4">
        <v>4741.1400000000003</v>
      </c>
      <c r="D948" s="4">
        <v>4688.1099999999997</v>
      </c>
      <c r="E948" s="4">
        <v>4694.12</v>
      </c>
      <c r="F948" s="4">
        <v>3419000</v>
      </c>
      <c r="G948" s="8">
        <f t="shared" si="197"/>
        <v>-279.17000000000007</v>
      </c>
      <c r="H948" s="8">
        <f t="shared" si="196"/>
        <v>-4.9700000000002547</v>
      </c>
      <c r="I948" s="20">
        <f t="shared" ca="1" si="189"/>
        <v>0</v>
      </c>
      <c r="J948" s="8">
        <f t="shared" ca="1" si="190"/>
        <v>-3</v>
      </c>
      <c r="K948" s="8">
        <f t="shared" ca="1" si="191"/>
        <v>852.42000000000098</v>
      </c>
      <c r="L948" s="8">
        <f t="shared" ca="1" si="192"/>
        <v>11064.190000000002</v>
      </c>
      <c r="M948" s="9">
        <f ca="1">AVERAGE(E948:OFFSET(E948,-M$5+1,0))</f>
        <v>4696.7350000000006</v>
      </c>
      <c r="N948" s="9">
        <f ca="1">AVERAGE(E948:OFFSET(E948,-N$5+1,0))</f>
        <v>4858.0174999999999</v>
      </c>
      <c r="O948" s="9">
        <f t="shared" ca="1" si="193"/>
        <v>0</v>
      </c>
      <c r="P948" s="14">
        <f t="shared" si="198"/>
        <v>-5.8769770740086145</v>
      </c>
      <c r="Q948" s="15">
        <f ca="1">STDEV(P948:OFFSET(P948,-$Q$5+1,0))</f>
        <v>3.7591833583135688</v>
      </c>
      <c r="R948" s="15">
        <f ca="1">STDEV(P948:OFFSET(P948,-$R$5+1,0))</f>
        <v>2.9572146259228553</v>
      </c>
      <c r="S948" s="18">
        <f t="shared" si="185"/>
        <v>53.030000000000655</v>
      </c>
      <c r="T948" s="18">
        <f t="shared" si="186"/>
        <v>290.15000000000055</v>
      </c>
      <c r="U948" s="18">
        <f t="shared" si="194"/>
        <v>206.98109462767763</v>
      </c>
      <c r="V948" s="33">
        <f ca="1">AVERAGE(E948:OFFSET(E948,-V$5+1,0))</f>
        <v>4745.357857142857</v>
      </c>
      <c r="W948" s="33">
        <f t="shared" ca="1" si="187"/>
        <v>5055.8294990843733</v>
      </c>
      <c r="X948" s="33">
        <f t="shared" ca="1" si="188"/>
        <v>4434.8862152013407</v>
      </c>
      <c r="Y948" s="32">
        <f t="shared" ca="1" si="195"/>
        <v>0</v>
      </c>
    </row>
    <row r="949" spans="1:25">
      <c r="A949" s="5">
        <v>39759</v>
      </c>
      <c r="B949" s="4">
        <v>4468.08</v>
      </c>
      <c r="C949" s="4">
        <v>4777.2299999999996</v>
      </c>
      <c r="D949" s="4">
        <v>4468.08</v>
      </c>
      <c r="E949" s="4">
        <v>4742.33</v>
      </c>
      <c r="F949" s="4">
        <v>3785800</v>
      </c>
      <c r="G949" s="8">
        <f t="shared" si="197"/>
        <v>-226.03999999999996</v>
      </c>
      <c r="H949" s="8">
        <f t="shared" si="196"/>
        <v>274.25</v>
      </c>
      <c r="I949" s="20">
        <f t="shared" ca="1" si="189"/>
        <v>0</v>
      </c>
      <c r="J949" s="8">
        <f t="shared" ca="1" si="190"/>
        <v>-3</v>
      </c>
      <c r="K949" s="8">
        <f t="shared" ca="1" si="191"/>
        <v>-144.63000000000011</v>
      </c>
      <c r="L949" s="8">
        <f t="shared" ca="1" si="192"/>
        <v>10919.560000000001</v>
      </c>
      <c r="M949" s="9">
        <f ca="1">AVERAGE(E949:OFFSET(E949,-M$5+1,0))</f>
        <v>4713.0060000000003</v>
      </c>
      <c r="N949" s="9">
        <f ca="1">AVERAGE(E949:OFFSET(E949,-N$5+1,0))</f>
        <v>4838.5985000000001</v>
      </c>
      <c r="O949" s="9">
        <f t="shared" ca="1" si="193"/>
        <v>0</v>
      </c>
      <c r="P949" s="14">
        <f t="shared" si="198"/>
        <v>1.0217914459245734</v>
      </c>
      <c r="Q949" s="15">
        <f ca="1">STDEV(P949:OFFSET(P949,-$Q$5+1,0))</f>
        <v>3.5987548332118613</v>
      </c>
      <c r="R949" s="15">
        <f ca="1">STDEV(P949:OFFSET(P949,-$R$5+1,0))</f>
        <v>2.9639917435043457</v>
      </c>
      <c r="S949" s="18">
        <f t="shared" ref="S949:S1012" si="199">C949-D949</f>
        <v>309.14999999999964</v>
      </c>
      <c r="T949" s="18">
        <f t="shared" ref="T949:T1012" si="200">MAX(C949,E948)-MIN(D949,E948)</f>
        <v>309.14999999999964</v>
      </c>
      <c r="U949" s="18">
        <f t="shared" si="194"/>
        <v>220.60361534398723</v>
      </c>
      <c r="V949" s="33">
        <f ca="1">AVERAGE(E949:OFFSET(E949,-V$5+1,0))</f>
        <v>4731.8214285714284</v>
      </c>
      <c r="W949" s="33">
        <f t="shared" ref="W949:W1012" ca="1" si="201">V949+W$5*U949</f>
        <v>5062.7268515874093</v>
      </c>
      <c r="X949" s="33">
        <f t="shared" ref="X949:X1012" ca="1" si="202">V949-W$5*U949</f>
        <v>4400.9160055554476</v>
      </c>
      <c r="Y949" s="32">
        <f t="shared" ca="1" si="195"/>
        <v>0</v>
      </c>
    </row>
    <row r="950" spans="1:25">
      <c r="A950" s="5">
        <v>39762</v>
      </c>
      <c r="B950" s="4">
        <v>4711.6099999999997</v>
      </c>
      <c r="C950" s="4">
        <v>4772.32</v>
      </c>
      <c r="D950" s="4">
        <v>4657.47</v>
      </c>
      <c r="E950" s="4">
        <v>4740.2700000000004</v>
      </c>
      <c r="F950" s="4">
        <v>3235200</v>
      </c>
      <c r="G950" s="8">
        <f t="shared" si="197"/>
        <v>-30.720000000000255</v>
      </c>
      <c r="H950" s="8">
        <f t="shared" si="196"/>
        <v>28.660000000000764</v>
      </c>
      <c r="I950" s="20">
        <f t="shared" ref="I950:I1013" ca="1" si="203">Y950</f>
        <v>0</v>
      </c>
      <c r="J950" s="8">
        <f t="shared" ref="J950:J1013" ca="1" si="204">IF((J949+I949)&gt;=J$5,J$5,IF((J949+I949)&lt;=J$7,J$7,J949+I949))</f>
        <v>-3</v>
      </c>
      <c r="K950" s="8">
        <f t="shared" ref="K950:K1013" ca="1" si="205">J949*G950+J950*H950</f>
        <v>6.179999999998472</v>
      </c>
      <c r="L950" s="8">
        <f t="shared" ref="L950:L1013" ca="1" si="206">L949+K950</f>
        <v>10925.74</v>
      </c>
      <c r="M950" s="9">
        <f ca="1">AVERAGE(E950:OFFSET(E950,-M$5+1,0))</f>
        <v>4750.3460000000005</v>
      </c>
      <c r="N950" s="9">
        <f ca="1">AVERAGE(E950:OFFSET(E950,-N$5+1,0))</f>
        <v>4824.5900000000011</v>
      </c>
      <c r="O950" s="9">
        <f t="shared" ref="O950:O1013" ca="1" si="207">IF(AND(M949&lt;=N949,M950&gt;N950),1,IF(AND(M949&gt;=N949,M950&lt;N950),-1,0))</f>
        <v>0</v>
      </c>
      <c r="P950" s="14">
        <f t="shared" si="198"/>
        <v>-4.3448000177277825E-2</v>
      </c>
      <c r="Q950" s="15">
        <f ca="1">STDEV(P950:OFFSET(P950,-$Q$5+1,0))</f>
        <v>3.1343916951106929</v>
      </c>
      <c r="R950" s="15">
        <f ca="1">STDEV(P950:OFFSET(P950,-$R$5+1,0))</f>
        <v>2.9386664325395664</v>
      </c>
      <c r="S950" s="18">
        <f t="shared" si="199"/>
        <v>114.84999999999945</v>
      </c>
      <c r="T950" s="18">
        <f t="shared" si="200"/>
        <v>114.84999999999945</v>
      </c>
      <c r="U950" s="18">
        <f t="shared" ref="U950:U1013" si="208">$U$5*T950+(1-$U$5)*U949</f>
        <v>206.50313329812218</v>
      </c>
      <c r="V950" s="33">
        <f ca="1">AVERAGE(E950:OFFSET(E950,-V$5+1,0))</f>
        <v>4717.3607142857145</v>
      </c>
      <c r="W950" s="33">
        <f t="shared" ca="1" si="201"/>
        <v>5027.1154142328978</v>
      </c>
      <c r="X950" s="33">
        <f t="shared" ca="1" si="202"/>
        <v>4407.6060143385312</v>
      </c>
      <c r="Y950" s="32">
        <f t="shared" ref="Y950:Y1013" ca="1" si="209">IF(AND(E949&gt;X949,E950&lt;X950),-1,IF(AND(E949&lt;W949,E950&gt;W950),1,0))</f>
        <v>0</v>
      </c>
    </row>
    <row r="951" spans="1:25">
      <c r="A951" s="5">
        <v>39763</v>
      </c>
      <c r="B951" s="4">
        <v>4652.63</v>
      </c>
      <c r="C951" s="4">
        <v>4706.18</v>
      </c>
      <c r="D951" s="4">
        <v>4593.8599999999997</v>
      </c>
      <c r="E951" s="4">
        <v>4638.57</v>
      </c>
      <c r="F951" s="4">
        <v>3284600</v>
      </c>
      <c r="G951" s="8">
        <f t="shared" si="197"/>
        <v>-87.640000000000327</v>
      </c>
      <c r="H951" s="8">
        <f t="shared" si="196"/>
        <v>-14.0600000000004</v>
      </c>
      <c r="I951" s="20">
        <f t="shared" ca="1" si="203"/>
        <v>0</v>
      </c>
      <c r="J951" s="8">
        <f t="shared" ca="1" si="204"/>
        <v>-3</v>
      </c>
      <c r="K951" s="8">
        <f t="shared" ca="1" si="205"/>
        <v>305.10000000000218</v>
      </c>
      <c r="L951" s="8">
        <f t="shared" ca="1" si="206"/>
        <v>11230.840000000002</v>
      </c>
      <c r="M951" s="9">
        <f ca="1">AVERAGE(E951:OFFSET(E951,-M$5+1,0))</f>
        <v>4774.2060000000001</v>
      </c>
      <c r="N951" s="9">
        <f ca="1">AVERAGE(E951:OFFSET(E951,-N$5+1,0))</f>
        <v>4791.9404999999997</v>
      </c>
      <c r="O951" s="9">
        <f t="shared" ca="1" si="207"/>
        <v>0</v>
      </c>
      <c r="P951" s="14">
        <f t="shared" si="198"/>
        <v>-2.1687967027227062</v>
      </c>
      <c r="Q951" s="15">
        <f ca="1">STDEV(P951:OFFSET(P951,-$Q$5+1,0))</f>
        <v>3.2744168497369515</v>
      </c>
      <c r="R951" s="15">
        <f ca="1">STDEV(P951:OFFSET(P951,-$R$5+1,0))</f>
        <v>2.9355802278465668</v>
      </c>
      <c r="S951" s="18">
        <f t="shared" si="199"/>
        <v>112.32000000000062</v>
      </c>
      <c r="T951" s="18">
        <f t="shared" si="200"/>
        <v>146.41000000000076</v>
      </c>
      <c r="U951" s="18">
        <f t="shared" si="208"/>
        <v>198.49071552503935</v>
      </c>
      <c r="V951" s="33">
        <f ca="1">AVERAGE(E951:OFFSET(E951,-V$5+1,0))</f>
        <v>4701.3592857142858</v>
      </c>
      <c r="W951" s="33">
        <f t="shared" ca="1" si="201"/>
        <v>4999.0953590018444</v>
      </c>
      <c r="X951" s="33">
        <f t="shared" ca="1" si="202"/>
        <v>4403.6232124267272</v>
      </c>
      <c r="Y951" s="32">
        <f t="shared" ca="1" si="209"/>
        <v>0</v>
      </c>
    </row>
    <row r="952" spans="1:25">
      <c r="A952" s="5">
        <v>39764</v>
      </c>
      <c r="B952" s="4">
        <v>4587.2</v>
      </c>
      <c r="C952" s="4">
        <v>4673.33</v>
      </c>
      <c r="D952" s="4">
        <v>4545.8599999999997</v>
      </c>
      <c r="E952" s="4">
        <v>4615.57</v>
      </c>
      <c r="F952" s="4">
        <v>2692800</v>
      </c>
      <c r="G952" s="8">
        <f t="shared" si="197"/>
        <v>-51.369999999999891</v>
      </c>
      <c r="H952" s="8">
        <f t="shared" si="196"/>
        <v>28.369999999999891</v>
      </c>
      <c r="I952" s="20">
        <f t="shared" ca="1" si="203"/>
        <v>0</v>
      </c>
      <c r="J952" s="8">
        <f t="shared" ca="1" si="204"/>
        <v>-3</v>
      </c>
      <c r="K952" s="8">
        <f t="shared" ca="1" si="205"/>
        <v>69</v>
      </c>
      <c r="L952" s="8">
        <f t="shared" ca="1" si="206"/>
        <v>11299.840000000002</v>
      </c>
      <c r="M952" s="9">
        <f ca="1">AVERAGE(E952:OFFSET(E952,-M$5+1,0))</f>
        <v>4795.1109999999999</v>
      </c>
      <c r="N952" s="9">
        <f ca="1">AVERAGE(E952:OFFSET(E952,-N$5+1,0))</f>
        <v>4760.4060000000009</v>
      </c>
      <c r="O952" s="9">
        <f t="shared" ca="1" si="207"/>
        <v>1</v>
      </c>
      <c r="P952" s="14">
        <f t="shared" si="198"/>
        <v>-0.49707584622284684</v>
      </c>
      <c r="Q952" s="15">
        <f ca="1">STDEV(P952:OFFSET(P952,-$Q$5+1,0))</f>
        <v>3.2890661161991601</v>
      </c>
      <c r="R952" s="15">
        <f ca="1">STDEV(P952:OFFSET(P952,-$R$5+1,0))</f>
        <v>2.8832216563950133</v>
      </c>
      <c r="S952" s="18">
        <f t="shared" si="199"/>
        <v>127.47000000000025</v>
      </c>
      <c r="T952" s="18">
        <f t="shared" si="200"/>
        <v>127.47000000000025</v>
      </c>
      <c r="U952" s="18">
        <f t="shared" si="208"/>
        <v>189.02128678836749</v>
      </c>
      <c r="V952" s="33">
        <f ca="1">AVERAGE(E952:OFFSET(E952,-V$5+1,0))</f>
        <v>4693.1492857142866</v>
      </c>
      <c r="W952" s="33">
        <f t="shared" ca="1" si="201"/>
        <v>4976.6812158968378</v>
      </c>
      <c r="X952" s="33">
        <f t="shared" ca="1" si="202"/>
        <v>4409.6173555317355</v>
      </c>
      <c r="Y952" s="32">
        <f t="shared" ca="1" si="209"/>
        <v>0</v>
      </c>
    </row>
    <row r="953" spans="1:25">
      <c r="A953" s="5">
        <v>39765</v>
      </c>
      <c r="B953" s="4">
        <v>4425.25</v>
      </c>
      <c r="C953" s="4">
        <v>4438.82</v>
      </c>
      <c r="D953" s="4">
        <v>4374.6400000000003</v>
      </c>
      <c r="E953" s="4">
        <v>4437.83</v>
      </c>
      <c r="F953" s="4">
        <v>3261800</v>
      </c>
      <c r="G953" s="8">
        <f t="shared" si="197"/>
        <v>-190.31999999999971</v>
      </c>
      <c r="H953" s="8">
        <f t="shared" si="196"/>
        <v>12.579999999999927</v>
      </c>
      <c r="I953" s="20">
        <f t="shared" ca="1" si="203"/>
        <v>0</v>
      </c>
      <c r="J953" s="8">
        <f t="shared" ca="1" si="204"/>
        <v>-3</v>
      </c>
      <c r="K953" s="8">
        <f t="shared" ca="1" si="205"/>
        <v>533.21999999999935</v>
      </c>
      <c r="L953" s="8">
        <f t="shared" ca="1" si="206"/>
        <v>11833.060000000001</v>
      </c>
      <c r="M953" s="9">
        <f ca="1">AVERAGE(E953:OFFSET(E953,-M$5+1,0))</f>
        <v>4770.5300000000007</v>
      </c>
      <c r="N953" s="9">
        <f ca="1">AVERAGE(E953:OFFSET(E953,-N$5+1,0))</f>
        <v>4728.4989999999998</v>
      </c>
      <c r="O953" s="9">
        <f t="shared" ca="1" si="207"/>
        <v>0</v>
      </c>
      <c r="P953" s="14">
        <f t="shared" si="198"/>
        <v>-3.9269852386882929</v>
      </c>
      <c r="Q953" s="15">
        <f ca="1">STDEV(P953:OFFSET(P953,-$Q$5+1,0))</f>
        <v>2.8834134555271884</v>
      </c>
      <c r="R953" s="15">
        <f ca="1">STDEV(P953:OFFSET(P953,-$R$5+1,0))</f>
        <v>2.8462731588217332</v>
      </c>
      <c r="S953" s="18">
        <f t="shared" si="199"/>
        <v>64.179999999999382</v>
      </c>
      <c r="T953" s="18">
        <f t="shared" si="200"/>
        <v>240.92999999999938</v>
      </c>
      <c r="U953" s="18">
        <f t="shared" si="208"/>
        <v>195.9424485499184</v>
      </c>
      <c r="V953" s="33">
        <f ca="1">AVERAGE(E953:OFFSET(E953,-V$5+1,0))</f>
        <v>4683.0214285714292</v>
      </c>
      <c r="W953" s="33">
        <f t="shared" ca="1" si="201"/>
        <v>4976.9351013963069</v>
      </c>
      <c r="X953" s="33">
        <f t="shared" ca="1" si="202"/>
        <v>4389.1077557465514</v>
      </c>
      <c r="Y953" s="32">
        <f t="shared" ca="1" si="209"/>
        <v>0</v>
      </c>
    </row>
    <row r="954" spans="1:25">
      <c r="A954" s="5">
        <v>39766</v>
      </c>
      <c r="B954" s="4">
        <v>4537.43</v>
      </c>
      <c r="C954" s="4">
        <v>4541.3500000000004</v>
      </c>
      <c r="D954" s="4">
        <v>4422.75</v>
      </c>
      <c r="E954" s="4">
        <v>4452.7</v>
      </c>
      <c r="F954" s="4">
        <v>3154600</v>
      </c>
      <c r="G954" s="8">
        <f t="shared" si="197"/>
        <v>99.600000000000364</v>
      </c>
      <c r="H954" s="8">
        <f t="shared" si="196"/>
        <v>-84.730000000000473</v>
      </c>
      <c r="I954" s="20">
        <f t="shared" ca="1" si="203"/>
        <v>0</v>
      </c>
      <c r="J954" s="8">
        <f t="shared" ca="1" si="204"/>
        <v>-3</v>
      </c>
      <c r="K954" s="8">
        <f t="shared" ca="1" si="205"/>
        <v>-44.609999999999673</v>
      </c>
      <c r="L954" s="8">
        <f t="shared" ca="1" si="206"/>
        <v>11788.45</v>
      </c>
      <c r="M954" s="9">
        <f ca="1">AVERAGE(E954:OFFSET(E954,-M$5+1,0))</f>
        <v>4728.7340000000004</v>
      </c>
      <c r="N954" s="9">
        <f ca="1">AVERAGE(E954:OFFSET(E954,-N$5+1,0))</f>
        <v>4703.1139999999996</v>
      </c>
      <c r="O954" s="9">
        <f t="shared" ca="1" si="207"/>
        <v>0</v>
      </c>
      <c r="P954" s="14">
        <f t="shared" si="198"/>
        <v>0.33451355242460468</v>
      </c>
      <c r="Q954" s="15">
        <f ca="1">STDEV(P954:OFFSET(P954,-$Q$5+1,0))</f>
        <v>2.4600166678459989</v>
      </c>
      <c r="R954" s="15">
        <f ca="1">STDEV(P954:OFFSET(P954,-$R$5+1,0))</f>
        <v>2.8415776825236692</v>
      </c>
      <c r="S954" s="18">
        <f t="shared" si="199"/>
        <v>118.60000000000036</v>
      </c>
      <c r="T954" s="18">
        <f t="shared" si="200"/>
        <v>118.60000000000036</v>
      </c>
      <c r="U954" s="18">
        <f t="shared" si="208"/>
        <v>185.630122076596</v>
      </c>
      <c r="V954" s="33">
        <f ca="1">AVERAGE(E954:OFFSET(E954,-V$5+1,0))</f>
        <v>4689.1521428571432</v>
      </c>
      <c r="W954" s="33">
        <f t="shared" ca="1" si="201"/>
        <v>4967.5973259720377</v>
      </c>
      <c r="X954" s="33">
        <f t="shared" ca="1" si="202"/>
        <v>4410.7069597422487</v>
      </c>
      <c r="Y954" s="32">
        <f t="shared" ca="1" si="209"/>
        <v>0</v>
      </c>
    </row>
    <row r="955" spans="1:25">
      <c r="A955" s="5">
        <v>39769</v>
      </c>
      <c r="B955" s="4">
        <v>4362.53</v>
      </c>
      <c r="C955" s="4">
        <v>4475.93</v>
      </c>
      <c r="D955" s="4">
        <v>4362.53</v>
      </c>
      <c r="E955" s="4">
        <v>4439.8</v>
      </c>
      <c r="F955" s="4">
        <v>2769800</v>
      </c>
      <c r="G955" s="8">
        <f t="shared" si="197"/>
        <v>-90.170000000000073</v>
      </c>
      <c r="H955" s="8">
        <f t="shared" si="196"/>
        <v>77.270000000000437</v>
      </c>
      <c r="I955" s="20">
        <f t="shared" ca="1" si="203"/>
        <v>0</v>
      </c>
      <c r="J955" s="8">
        <f t="shared" ca="1" si="204"/>
        <v>-3</v>
      </c>
      <c r="K955" s="8">
        <f t="shared" ca="1" si="205"/>
        <v>38.699999999998909</v>
      </c>
      <c r="L955" s="8">
        <f t="shared" ca="1" si="206"/>
        <v>11827.15</v>
      </c>
      <c r="M955" s="9">
        <f ca="1">AVERAGE(E955:OFFSET(E955,-M$5+1,0))</f>
        <v>4673.2080000000005</v>
      </c>
      <c r="N955" s="9">
        <f ca="1">AVERAGE(E955:OFFSET(E955,-N$5+1,0))</f>
        <v>4678.5120000000006</v>
      </c>
      <c r="O955" s="9">
        <f t="shared" ca="1" si="207"/>
        <v>-1</v>
      </c>
      <c r="P955" s="14">
        <f t="shared" si="198"/>
        <v>-0.29013233734048738</v>
      </c>
      <c r="Q955" s="15">
        <f ca="1">STDEV(P955:OFFSET(P955,-$Q$5+1,0))</f>
        <v>2.1692809789761966</v>
      </c>
      <c r="R955" s="15">
        <f ca="1">STDEV(P955:OFFSET(P955,-$R$5+1,0))</f>
        <v>2.8212159379363397</v>
      </c>
      <c r="S955" s="18">
        <f t="shared" si="199"/>
        <v>113.40000000000055</v>
      </c>
      <c r="T955" s="18">
        <f t="shared" si="200"/>
        <v>113.40000000000055</v>
      </c>
      <c r="U955" s="18">
        <f t="shared" si="208"/>
        <v>175.99943913304992</v>
      </c>
      <c r="V955" s="33">
        <f ca="1">AVERAGE(E955:OFFSET(E955,-V$5+1,0))</f>
        <v>4691.9971428571434</v>
      </c>
      <c r="W955" s="33">
        <f t="shared" ca="1" si="201"/>
        <v>4955.9963015567182</v>
      </c>
      <c r="X955" s="33">
        <f t="shared" ca="1" si="202"/>
        <v>4427.9979841575687</v>
      </c>
      <c r="Y955" s="32">
        <f t="shared" ca="1" si="209"/>
        <v>0</v>
      </c>
    </row>
    <row r="956" spans="1:25">
      <c r="A956" s="5">
        <v>39770</v>
      </c>
      <c r="B956" s="4">
        <v>4366.34</v>
      </c>
      <c r="C956" s="4">
        <v>4376.28</v>
      </c>
      <c r="D956" s="4">
        <v>4265.05</v>
      </c>
      <c r="E956" s="4">
        <v>4305.18</v>
      </c>
      <c r="F956" s="4">
        <v>3185400</v>
      </c>
      <c r="G956" s="8">
        <f t="shared" si="197"/>
        <v>-73.460000000000036</v>
      </c>
      <c r="H956" s="8">
        <f t="shared" si="196"/>
        <v>-61.159999999999854</v>
      </c>
      <c r="I956" s="20">
        <f t="shared" ca="1" si="203"/>
        <v>-1</v>
      </c>
      <c r="J956" s="8">
        <f t="shared" ca="1" si="204"/>
        <v>-3</v>
      </c>
      <c r="K956" s="8">
        <f t="shared" ca="1" si="205"/>
        <v>403.85999999999967</v>
      </c>
      <c r="L956" s="8">
        <f t="shared" ca="1" si="206"/>
        <v>12231.009999999998</v>
      </c>
      <c r="M956" s="9">
        <f ca="1">AVERAGE(E956:OFFSET(E956,-M$5+1,0))</f>
        <v>4604.4630000000006</v>
      </c>
      <c r="N956" s="9">
        <f ca="1">AVERAGE(E956:OFFSET(E956,-N$5+1,0))</f>
        <v>4646.6350000000002</v>
      </c>
      <c r="O956" s="9">
        <f t="shared" ca="1" si="207"/>
        <v>0</v>
      </c>
      <c r="P956" s="14">
        <f t="shared" si="198"/>
        <v>-3.0790381532236739</v>
      </c>
      <c r="Q956" s="15">
        <f ca="1">STDEV(P956:OFFSET(P956,-$Q$5+1,0))</f>
        <v>2.205291804309109</v>
      </c>
      <c r="R956" s="15">
        <f ca="1">STDEV(P956:OFFSET(P956,-$R$5+1,0))</f>
        <v>2.6578442065076349</v>
      </c>
      <c r="S956" s="18">
        <f t="shared" si="199"/>
        <v>111.22999999999956</v>
      </c>
      <c r="T956" s="18">
        <f t="shared" si="200"/>
        <v>174.75</v>
      </c>
      <c r="U956" s="18">
        <f t="shared" si="208"/>
        <v>175.83284724864328</v>
      </c>
      <c r="V956" s="33">
        <f ca="1">AVERAGE(E956:OFFSET(E956,-V$5+1,0))</f>
        <v>4684.7585714285715</v>
      </c>
      <c r="W956" s="33">
        <f t="shared" ca="1" si="201"/>
        <v>4948.5078423015366</v>
      </c>
      <c r="X956" s="33">
        <f t="shared" ca="1" si="202"/>
        <v>4421.0093005556064</v>
      </c>
      <c r="Y956" s="32">
        <f t="shared" ca="1" si="209"/>
        <v>-1</v>
      </c>
    </row>
    <row r="957" spans="1:25">
      <c r="A957" s="5">
        <v>39771</v>
      </c>
      <c r="B957" s="4">
        <v>4266</v>
      </c>
      <c r="C957" s="4">
        <v>4320.8500000000004</v>
      </c>
      <c r="D957" s="4">
        <v>4226.49</v>
      </c>
      <c r="E957" s="4">
        <v>4284.09</v>
      </c>
      <c r="F957" s="4">
        <v>3091600</v>
      </c>
      <c r="G957" s="8">
        <f t="shared" si="197"/>
        <v>-39.180000000000291</v>
      </c>
      <c r="H957" s="8">
        <f t="shared" si="196"/>
        <v>18.090000000000146</v>
      </c>
      <c r="I957" s="20">
        <f t="shared" ca="1" si="203"/>
        <v>0</v>
      </c>
      <c r="J957" s="8">
        <f t="shared" ca="1" si="204"/>
        <v>-3</v>
      </c>
      <c r="K957" s="8">
        <f t="shared" ca="1" si="205"/>
        <v>63.270000000000437</v>
      </c>
      <c r="L957" s="8">
        <f t="shared" ca="1" si="206"/>
        <v>12294.279999999999</v>
      </c>
      <c r="M957" s="9">
        <f ca="1">AVERAGE(E957:OFFSET(E957,-M$5+1,0))</f>
        <v>4535.0460000000003</v>
      </c>
      <c r="N957" s="9">
        <f ca="1">AVERAGE(E957:OFFSET(E957,-N$5+1,0))</f>
        <v>4617.7100000000009</v>
      </c>
      <c r="O957" s="9">
        <f t="shared" ca="1" si="207"/>
        <v>0</v>
      </c>
      <c r="P957" s="14">
        <f t="shared" si="198"/>
        <v>-0.49107880841029211</v>
      </c>
      <c r="Q957" s="15">
        <f ca="1">STDEV(P957:OFFSET(P957,-$Q$5+1,0))</f>
        <v>2.194001440437519</v>
      </c>
      <c r="R957" s="15">
        <f ca="1">STDEV(P957:OFFSET(P957,-$R$5+1,0))</f>
        <v>2.6094368711763511</v>
      </c>
      <c r="S957" s="18">
        <f t="shared" si="199"/>
        <v>94.360000000000582</v>
      </c>
      <c r="T957" s="18">
        <f t="shared" si="200"/>
        <v>94.360000000000582</v>
      </c>
      <c r="U957" s="18">
        <f t="shared" si="208"/>
        <v>164.96980094882426</v>
      </c>
      <c r="V957" s="33">
        <f ca="1">AVERAGE(E957:OFFSET(E957,-V$5+1,0))</f>
        <v>4656.2192857142863</v>
      </c>
      <c r="W957" s="33">
        <f t="shared" ca="1" si="201"/>
        <v>4903.673987137523</v>
      </c>
      <c r="X957" s="33">
        <f t="shared" ca="1" si="202"/>
        <v>4408.7645842910497</v>
      </c>
      <c r="Y957" s="32">
        <f t="shared" ca="1" si="209"/>
        <v>0</v>
      </c>
    </row>
    <row r="958" spans="1:25">
      <c r="A958" s="5">
        <v>39772</v>
      </c>
      <c r="B958" s="4">
        <v>4120.51</v>
      </c>
      <c r="C958" s="4">
        <v>4191.37</v>
      </c>
      <c r="D958" s="4">
        <v>4089.93</v>
      </c>
      <c r="E958" s="4">
        <v>4089.93</v>
      </c>
      <c r="F958" s="4">
        <v>3195600</v>
      </c>
      <c r="G958" s="8">
        <f t="shared" si="197"/>
        <v>-163.57999999999993</v>
      </c>
      <c r="H958" s="8">
        <f t="shared" si="196"/>
        <v>-30.580000000000382</v>
      </c>
      <c r="I958" s="20">
        <f t="shared" ca="1" si="203"/>
        <v>0</v>
      </c>
      <c r="J958" s="8">
        <f t="shared" ca="1" si="204"/>
        <v>-3</v>
      </c>
      <c r="K958" s="8">
        <f t="shared" ca="1" si="205"/>
        <v>582.48000000000093</v>
      </c>
      <c r="L958" s="8">
        <f t="shared" ca="1" si="206"/>
        <v>12876.76</v>
      </c>
      <c r="M958" s="9">
        <f ca="1">AVERAGE(E958:OFFSET(E958,-M$5+1,0))</f>
        <v>4474.6269999999995</v>
      </c>
      <c r="N958" s="9">
        <f ca="1">AVERAGE(E958:OFFSET(E958,-N$5+1,0))</f>
        <v>4585.6809999999996</v>
      </c>
      <c r="O958" s="9">
        <f t="shared" ca="1" si="207"/>
        <v>0</v>
      </c>
      <c r="P958" s="14">
        <f t="shared" si="198"/>
        <v>-4.638030577436723</v>
      </c>
      <c r="Q958" s="15">
        <f ca="1">STDEV(P958:OFFSET(P958,-$Q$5+1,0))</f>
        <v>1.9397267375896778</v>
      </c>
      <c r="R958" s="15">
        <f ca="1">STDEV(P958:OFFSET(P958,-$R$5+1,0))</f>
        <v>2.6533257040376994</v>
      </c>
      <c r="S958" s="18">
        <f t="shared" si="199"/>
        <v>101.44000000000005</v>
      </c>
      <c r="T958" s="18">
        <f t="shared" si="200"/>
        <v>194.16000000000031</v>
      </c>
      <c r="U958" s="18">
        <f t="shared" si="208"/>
        <v>168.86182748898105</v>
      </c>
      <c r="V958" s="33">
        <f ca="1">AVERAGE(E958:OFFSET(E958,-V$5+1,0))</f>
        <v>4600.4528571428573</v>
      </c>
      <c r="W958" s="33">
        <f t="shared" ca="1" si="201"/>
        <v>4853.7455983763284</v>
      </c>
      <c r="X958" s="33">
        <f t="shared" ca="1" si="202"/>
        <v>4347.1601159093861</v>
      </c>
      <c r="Y958" s="32">
        <f t="shared" ca="1" si="209"/>
        <v>0</v>
      </c>
    </row>
    <row r="959" spans="1:25">
      <c r="A959" s="5">
        <v>39773</v>
      </c>
      <c r="B959" s="4">
        <v>3962.69</v>
      </c>
      <c r="C959" s="4">
        <v>4194.71</v>
      </c>
      <c r="D959" s="4">
        <v>3955.43</v>
      </c>
      <c r="E959" s="4">
        <v>4171.1000000000004</v>
      </c>
      <c r="F959" s="4">
        <v>3333800</v>
      </c>
      <c r="G959" s="8">
        <f t="shared" si="197"/>
        <v>-127.23999999999978</v>
      </c>
      <c r="H959" s="8">
        <f t="shared" si="196"/>
        <v>208.41000000000031</v>
      </c>
      <c r="I959" s="20">
        <f t="shared" ca="1" si="203"/>
        <v>0</v>
      </c>
      <c r="J959" s="8">
        <f t="shared" ca="1" si="204"/>
        <v>-3</v>
      </c>
      <c r="K959" s="8">
        <f t="shared" ca="1" si="205"/>
        <v>-243.51000000000158</v>
      </c>
      <c r="L959" s="8">
        <f t="shared" ca="1" si="206"/>
        <v>12633.249999999998</v>
      </c>
      <c r="M959" s="9">
        <f ca="1">AVERAGE(E959:OFFSET(E959,-M$5+1,0))</f>
        <v>4417.503999999999</v>
      </c>
      <c r="N959" s="9">
        <f ca="1">AVERAGE(E959:OFFSET(E959,-N$5+1,0))</f>
        <v>4565.2550000000001</v>
      </c>
      <c r="O959" s="9">
        <f t="shared" ca="1" si="207"/>
        <v>0</v>
      </c>
      <c r="P959" s="14">
        <f t="shared" si="198"/>
        <v>1.9651934999519296</v>
      </c>
      <c r="Q959" s="15">
        <f ca="1">STDEV(P959:OFFSET(P959,-$Q$5+1,0))</f>
        <v>2.0867698854834913</v>
      </c>
      <c r="R959" s="15">
        <f ca="1">STDEV(P959:OFFSET(P959,-$R$5+1,0))</f>
        <v>2.6952483656581832</v>
      </c>
      <c r="S959" s="18">
        <f t="shared" si="199"/>
        <v>239.2800000000002</v>
      </c>
      <c r="T959" s="18">
        <f t="shared" si="200"/>
        <v>239.2800000000002</v>
      </c>
      <c r="U959" s="18">
        <f t="shared" si="208"/>
        <v>178.25091715711693</v>
      </c>
      <c r="V959" s="33">
        <f ca="1">AVERAGE(E959:OFFSET(E959,-V$5+1,0))</f>
        <v>4541.5985714285716</v>
      </c>
      <c r="W959" s="33">
        <f t="shared" ca="1" si="201"/>
        <v>4808.9749471642472</v>
      </c>
      <c r="X959" s="33">
        <f t="shared" ca="1" si="202"/>
        <v>4274.2221956928961</v>
      </c>
      <c r="Y959" s="32">
        <f t="shared" ca="1" si="209"/>
        <v>0</v>
      </c>
    </row>
    <row r="960" spans="1:25">
      <c r="A960" s="5">
        <v>39776</v>
      </c>
      <c r="B960" s="4">
        <v>4158.76</v>
      </c>
      <c r="C960" s="4">
        <v>4172.49</v>
      </c>
      <c r="D960" s="4">
        <v>4081.66</v>
      </c>
      <c r="E960" s="4">
        <v>4160.54</v>
      </c>
      <c r="F960" s="4">
        <v>2829600</v>
      </c>
      <c r="G960" s="8">
        <f t="shared" si="197"/>
        <v>-12.340000000000146</v>
      </c>
      <c r="H960" s="8">
        <f t="shared" si="196"/>
        <v>1.7799999999997453</v>
      </c>
      <c r="I960" s="20">
        <f t="shared" ca="1" si="203"/>
        <v>0</v>
      </c>
      <c r="J960" s="8">
        <f t="shared" ca="1" si="204"/>
        <v>-3</v>
      </c>
      <c r="K960" s="8">
        <f t="shared" ca="1" si="205"/>
        <v>31.680000000001201</v>
      </c>
      <c r="L960" s="8">
        <f t="shared" ca="1" si="206"/>
        <v>12664.93</v>
      </c>
      <c r="M960" s="9">
        <f ca="1">AVERAGE(E960:OFFSET(E960,-M$5+1,0))</f>
        <v>4359.5309999999999</v>
      </c>
      <c r="N960" s="9">
        <f ca="1">AVERAGE(E960:OFFSET(E960,-N$5+1,0))</f>
        <v>4554.9385000000002</v>
      </c>
      <c r="O960" s="9">
        <f t="shared" ca="1" si="207"/>
        <v>0</v>
      </c>
      <c r="P960" s="14">
        <f t="shared" si="198"/>
        <v>-0.25349164521522399</v>
      </c>
      <c r="Q960" s="15">
        <f ca="1">STDEV(P960:OFFSET(P960,-$Q$5+1,0))</f>
        <v>2.0739189555950768</v>
      </c>
      <c r="R960" s="15">
        <f ca="1">STDEV(P960:OFFSET(P960,-$R$5+1,0))</f>
        <v>2.6973276302624738</v>
      </c>
      <c r="S960" s="18">
        <f t="shared" si="199"/>
        <v>90.829999999999927</v>
      </c>
      <c r="T960" s="18">
        <f t="shared" si="200"/>
        <v>90.829999999999927</v>
      </c>
      <c r="U960" s="18">
        <f t="shared" si="208"/>
        <v>166.59479486950133</v>
      </c>
      <c r="V960" s="33">
        <f ca="1">AVERAGE(E960:OFFSET(E960,-V$5+1,0))</f>
        <v>4482.1635714285712</v>
      </c>
      <c r="W960" s="33">
        <f t="shared" ca="1" si="201"/>
        <v>4732.0557637328229</v>
      </c>
      <c r="X960" s="33">
        <f t="shared" ca="1" si="202"/>
        <v>4232.2713791243195</v>
      </c>
      <c r="Y960" s="32">
        <f t="shared" ca="1" si="209"/>
        <v>0</v>
      </c>
    </row>
    <row r="961" spans="1:25">
      <c r="A961" s="5">
        <v>39777</v>
      </c>
      <c r="B961" s="4">
        <v>4280.43</v>
      </c>
      <c r="C961" s="4">
        <v>4323.9399999999996</v>
      </c>
      <c r="D961" s="4">
        <v>4220.97</v>
      </c>
      <c r="E961" s="4">
        <v>4266.49</v>
      </c>
      <c r="F961" s="4">
        <v>3618400</v>
      </c>
      <c r="G961" s="8">
        <f t="shared" si="197"/>
        <v>119.89000000000033</v>
      </c>
      <c r="H961" s="8">
        <f t="shared" si="196"/>
        <v>-13.940000000000509</v>
      </c>
      <c r="I961" s="20">
        <f t="shared" ca="1" si="203"/>
        <v>0</v>
      </c>
      <c r="J961" s="8">
        <f t="shared" ca="1" si="204"/>
        <v>-3</v>
      </c>
      <c r="K961" s="8">
        <f t="shared" ca="1" si="205"/>
        <v>-317.84999999999945</v>
      </c>
      <c r="L961" s="8">
        <f t="shared" ca="1" si="206"/>
        <v>12347.080000000002</v>
      </c>
      <c r="M961" s="9">
        <f ca="1">AVERAGE(E961:OFFSET(E961,-M$5+1,0))</f>
        <v>4322.3229999999994</v>
      </c>
      <c r="N961" s="9">
        <f ca="1">AVERAGE(E961:OFFSET(E961,-N$5+1,0))</f>
        <v>4548.2645000000002</v>
      </c>
      <c r="O961" s="9">
        <f t="shared" ca="1" si="207"/>
        <v>0</v>
      </c>
      <c r="P961" s="14">
        <f t="shared" si="198"/>
        <v>2.514660160900922</v>
      </c>
      <c r="Q961" s="15">
        <f ca="1">STDEV(P961:OFFSET(P961,-$Q$5+1,0))</f>
        <v>2.3653913092532193</v>
      </c>
      <c r="R961" s="15">
        <f ca="1">STDEV(P961:OFFSET(P961,-$R$5+1,0))</f>
        <v>2.7436414763705259</v>
      </c>
      <c r="S961" s="18">
        <f t="shared" si="199"/>
        <v>102.96999999999935</v>
      </c>
      <c r="T961" s="18">
        <f t="shared" si="200"/>
        <v>163.39999999999964</v>
      </c>
      <c r="U961" s="18">
        <f t="shared" si="208"/>
        <v>166.16882222023446</v>
      </c>
      <c r="V961" s="33">
        <f ca="1">AVERAGE(E961:OFFSET(E961,-V$5+1,0))</f>
        <v>4431.3228571428572</v>
      </c>
      <c r="W961" s="33">
        <f t="shared" ca="1" si="201"/>
        <v>4680.5760904732088</v>
      </c>
      <c r="X961" s="33">
        <f t="shared" ca="1" si="202"/>
        <v>4182.0696238125056</v>
      </c>
      <c r="Y961" s="32">
        <f t="shared" ca="1" si="209"/>
        <v>0</v>
      </c>
    </row>
    <row r="962" spans="1:25">
      <c r="A962" s="5">
        <v>39778</v>
      </c>
      <c r="B962" s="4">
        <v>4265.6499999999996</v>
      </c>
      <c r="C962" s="4">
        <v>4315.08</v>
      </c>
      <c r="D962" s="4">
        <v>4244.05</v>
      </c>
      <c r="E962" s="4">
        <v>4271.8</v>
      </c>
      <c r="F962" s="4">
        <v>2964600</v>
      </c>
      <c r="G962" s="8">
        <f t="shared" si="197"/>
        <v>-0.84000000000014552</v>
      </c>
      <c r="H962" s="8">
        <f t="shared" si="196"/>
        <v>6.1500000000005457</v>
      </c>
      <c r="I962" s="20">
        <f t="shared" ca="1" si="203"/>
        <v>0</v>
      </c>
      <c r="J962" s="8">
        <f t="shared" ca="1" si="204"/>
        <v>-3</v>
      </c>
      <c r="K962" s="8">
        <f t="shared" ca="1" si="205"/>
        <v>-15.930000000001201</v>
      </c>
      <c r="L962" s="8">
        <f t="shared" ca="1" si="206"/>
        <v>12331.150000000001</v>
      </c>
      <c r="M962" s="9">
        <f ca="1">AVERAGE(E962:OFFSET(E962,-M$5+1,0))</f>
        <v>4287.9459999999999</v>
      </c>
      <c r="N962" s="9">
        <f ca="1">AVERAGE(E962:OFFSET(E962,-N$5+1,0))</f>
        <v>4541.5284999999994</v>
      </c>
      <c r="O962" s="9">
        <f t="shared" ca="1" si="207"/>
        <v>0</v>
      </c>
      <c r="P962" s="14">
        <f t="shared" si="198"/>
        <v>0.12438089323680739</v>
      </c>
      <c r="Q962" s="15">
        <f ca="1">STDEV(P962:OFFSET(P962,-$Q$5+1,0))</f>
        <v>2.3833847914933965</v>
      </c>
      <c r="R962" s="15">
        <f ca="1">STDEV(P962:OFFSET(P962,-$R$5+1,0))</f>
        <v>2.7096468381266128</v>
      </c>
      <c r="S962" s="18">
        <f t="shared" si="199"/>
        <v>71.029999999999745</v>
      </c>
      <c r="T962" s="18">
        <f t="shared" si="200"/>
        <v>71.029999999999745</v>
      </c>
      <c r="U962" s="18">
        <f t="shared" si="208"/>
        <v>153.48364592420316</v>
      </c>
      <c r="V962" s="33">
        <f ca="1">AVERAGE(E962:OFFSET(E962,-V$5+1,0))</f>
        <v>4401.1571428571424</v>
      </c>
      <c r="W962" s="33">
        <f t="shared" ca="1" si="201"/>
        <v>4631.3826117434473</v>
      </c>
      <c r="X962" s="33">
        <f t="shared" ca="1" si="202"/>
        <v>4170.9316739708374</v>
      </c>
      <c r="Y962" s="32">
        <f t="shared" ca="1" si="209"/>
        <v>0</v>
      </c>
    </row>
    <row r="963" spans="1:25">
      <c r="A963" s="5">
        <v>39779</v>
      </c>
      <c r="B963" s="4">
        <v>4348.49</v>
      </c>
      <c r="C963" s="4">
        <v>4472.07</v>
      </c>
      <c r="D963" s="4">
        <v>4348.49</v>
      </c>
      <c r="E963" s="4">
        <v>4453.75</v>
      </c>
      <c r="F963" s="4">
        <v>3900600</v>
      </c>
      <c r="G963" s="8">
        <f t="shared" si="197"/>
        <v>76.6899999999996</v>
      </c>
      <c r="H963" s="8">
        <f t="shared" si="196"/>
        <v>105.26000000000022</v>
      </c>
      <c r="I963" s="20">
        <f t="shared" ca="1" si="203"/>
        <v>0</v>
      </c>
      <c r="J963" s="8">
        <f t="shared" ca="1" si="204"/>
        <v>-3</v>
      </c>
      <c r="K963" s="8">
        <f t="shared" ca="1" si="205"/>
        <v>-545.84999999999945</v>
      </c>
      <c r="L963" s="8">
        <f t="shared" ca="1" si="206"/>
        <v>11785.300000000003</v>
      </c>
      <c r="M963" s="9">
        <f ca="1">AVERAGE(E963:OFFSET(E963,-M$5+1,0))</f>
        <v>4289.5380000000005</v>
      </c>
      <c r="N963" s="9">
        <f ca="1">AVERAGE(E963:OFFSET(E963,-N$5+1,0))</f>
        <v>4530.0340000000006</v>
      </c>
      <c r="O963" s="9">
        <f t="shared" ca="1" si="207"/>
        <v>0</v>
      </c>
      <c r="P963" s="14">
        <f t="shared" si="198"/>
        <v>4.1711153855341339</v>
      </c>
      <c r="Q963" s="15">
        <f ca="1">STDEV(P963:OFFSET(P963,-$Q$5+1,0))</f>
        <v>2.5621095579754956</v>
      </c>
      <c r="R963" s="15">
        <f ca="1">STDEV(P963:OFFSET(P963,-$R$5+1,0))</f>
        <v>2.8093161927814276</v>
      </c>
      <c r="S963" s="18">
        <f t="shared" si="199"/>
        <v>123.57999999999993</v>
      </c>
      <c r="T963" s="18">
        <f t="shared" si="200"/>
        <v>200.26999999999953</v>
      </c>
      <c r="U963" s="18">
        <f t="shared" si="208"/>
        <v>159.72182646764267</v>
      </c>
      <c r="V963" s="33">
        <f ca="1">AVERAGE(E963:OFFSET(E963,-V$5+1,0))</f>
        <v>4380.5442857142853</v>
      </c>
      <c r="W963" s="33">
        <f t="shared" ca="1" si="201"/>
        <v>4620.1270254157489</v>
      </c>
      <c r="X963" s="33">
        <f t="shared" ca="1" si="202"/>
        <v>4140.9615460128216</v>
      </c>
      <c r="Y963" s="32">
        <f t="shared" ca="1" si="209"/>
        <v>0</v>
      </c>
    </row>
    <row r="964" spans="1:25">
      <c r="A964" s="5">
        <v>39780</v>
      </c>
      <c r="B964" s="4">
        <v>4444.37</v>
      </c>
      <c r="C964" s="4">
        <v>4476.33</v>
      </c>
      <c r="D964" s="4">
        <v>4419.03</v>
      </c>
      <c r="E964" s="4">
        <v>4460.49</v>
      </c>
      <c r="F964" s="4">
        <v>3740400</v>
      </c>
      <c r="G964" s="8">
        <f t="shared" si="197"/>
        <v>-9.3800000000001091</v>
      </c>
      <c r="H964" s="8">
        <f t="shared" ref="H964:H1027" si="210">E964-B964</f>
        <v>16.119999999999891</v>
      </c>
      <c r="I964" s="20">
        <f t="shared" ca="1" si="203"/>
        <v>0</v>
      </c>
      <c r="J964" s="8">
        <f t="shared" ca="1" si="204"/>
        <v>-3</v>
      </c>
      <c r="K964" s="8">
        <f t="shared" ca="1" si="205"/>
        <v>-20.219999999999345</v>
      </c>
      <c r="L964" s="8">
        <f t="shared" ca="1" si="206"/>
        <v>11765.080000000004</v>
      </c>
      <c r="M964" s="9">
        <f ca="1">AVERAGE(E964:OFFSET(E964,-M$5+1,0))</f>
        <v>4290.317</v>
      </c>
      <c r="N964" s="9">
        <f ca="1">AVERAGE(E964:OFFSET(E964,-N$5+1,0))</f>
        <v>4509.5255000000006</v>
      </c>
      <c r="O964" s="9">
        <f t="shared" ca="1" si="207"/>
        <v>0</v>
      </c>
      <c r="P964" s="14">
        <f t="shared" si="198"/>
        <v>0.15121875301470714</v>
      </c>
      <c r="Q964" s="15">
        <f ca="1">STDEV(P964:OFFSET(P964,-$Q$5+1,0))</f>
        <v>2.5603902449726679</v>
      </c>
      <c r="R964" s="15">
        <f ca="1">STDEV(P964:OFFSET(P964,-$R$5+1,0))</f>
        <v>2.8112864843993841</v>
      </c>
      <c r="S964" s="18">
        <f t="shared" si="199"/>
        <v>57.300000000000182</v>
      </c>
      <c r="T964" s="18">
        <f t="shared" si="200"/>
        <v>57.300000000000182</v>
      </c>
      <c r="U964" s="18">
        <f t="shared" si="208"/>
        <v>146.06558293862366</v>
      </c>
      <c r="V964" s="33">
        <f ca="1">AVERAGE(E964:OFFSET(E964,-V$5+1,0))</f>
        <v>4360.5599999999995</v>
      </c>
      <c r="W964" s="33">
        <f t="shared" ca="1" si="201"/>
        <v>4579.6583744079353</v>
      </c>
      <c r="X964" s="33">
        <f t="shared" ca="1" si="202"/>
        <v>4141.4616255920637</v>
      </c>
      <c r="Y964" s="32">
        <f t="shared" ca="1" si="209"/>
        <v>0</v>
      </c>
    </row>
    <row r="965" spans="1:25">
      <c r="A965" s="5">
        <v>39783</v>
      </c>
      <c r="B965" s="4">
        <v>4436.12</v>
      </c>
      <c r="C965" s="4">
        <v>4567.76</v>
      </c>
      <c r="D965" s="4">
        <v>4418.24</v>
      </c>
      <c r="E965" s="4">
        <v>4518.43</v>
      </c>
      <c r="F965" s="4">
        <v>4199000</v>
      </c>
      <c r="G965" s="8">
        <f t="shared" ref="G965:G1028" si="211">B965-E964</f>
        <v>-24.369999999999891</v>
      </c>
      <c r="H965" s="8">
        <f t="shared" si="210"/>
        <v>82.3100000000004</v>
      </c>
      <c r="I965" s="20">
        <f t="shared" ca="1" si="203"/>
        <v>0</v>
      </c>
      <c r="J965" s="8">
        <f t="shared" ca="1" si="204"/>
        <v>-3</v>
      </c>
      <c r="K965" s="8">
        <f t="shared" ca="1" si="205"/>
        <v>-173.82000000000153</v>
      </c>
      <c r="L965" s="8">
        <f t="shared" ca="1" si="206"/>
        <v>11591.260000000002</v>
      </c>
      <c r="M965" s="9">
        <f ca="1">AVERAGE(E965:OFFSET(E965,-M$5+1,0))</f>
        <v>4298.18</v>
      </c>
      <c r="N965" s="9">
        <f ca="1">AVERAGE(E965:OFFSET(E965,-N$5+1,0))</f>
        <v>4485.6940000000004</v>
      </c>
      <c r="O965" s="9">
        <f t="shared" ca="1" si="207"/>
        <v>0</v>
      </c>
      <c r="P965" s="14">
        <f t="shared" ref="P965:P1028" si="212">100*LN(E965/E964)</f>
        <v>1.2905962905047559</v>
      </c>
      <c r="Q965" s="15">
        <f ca="1">STDEV(P965:OFFSET(P965,-$Q$5+1,0))</f>
        <v>2.587935989954345</v>
      </c>
      <c r="R965" s="15">
        <f ca="1">STDEV(P965:OFFSET(P965,-$R$5+1,0))</f>
        <v>2.8202225991702354</v>
      </c>
      <c r="S965" s="18">
        <f t="shared" si="199"/>
        <v>149.52000000000044</v>
      </c>
      <c r="T965" s="18">
        <f t="shared" si="200"/>
        <v>149.52000000000044</v>
      </c>
      <c r="U965" s="18">
        <f t="shared" si="208"/>
        <v>146.52617188014057</v>
      </c>
      <c r="V965" s="33">
        <f ca="1">AVERAGE(E965:OFFSET(E965,-V$5+1,0))</f>
        <v>4351.9785714285708</v>
      </c>
      <c r="W965" s="33">
        <f t="shared" ca="1" si="201"/>
        <v>4571.7678292487817</v>
      </c>
      <c r="X965" s="33">
        <f t="shared" ca="1" si="202"/>
        <v>4132.18931360836</v>
      </c>
      <c r="Y965" s="32">
        <f t="shared" ca="1" si="209"/>
        <v>0</v>
      </c>
    </row>
    <row r="966" spans="1:25">
      <c r="A966" s="5">
        <v>39784</v>
      </c>
      <c r="B966" s="4">
        <v>4310.5</v>
      </c>
      <c r="C966" s="4">
        <v>4356.9799999999996</v>
      </c>
      <c r="D966" s="4">
        <v>4292.08</v>
      </c>
      <c r="E966" s="4">
        <v>4356.9799999999996</v>
      </c>
      <c r="F966" s="4">
        <v>3566600</v>
      </c>
      <c r="G966" s="8">
        <f t="shared" si="211"/>
        <v>-207.93000000000029</v>
      </c>
      <c r="H966" s="8">
        <f t="shared" si="210"/>
        <v>46.479999999999563</v>
      </c>
      <c r="I966" s="20">
        <f t="shared" ca="1" si="203"/>
        <v>0</v>
      </c>
      <c r="J966" s="8">
        <f t="shared" ca="1" si="204"/>
        <v>-3</v>
      </c>
      <c r="K966" s="8">
        <f t="shared" ca="1" si="205"/>
        <v>484.35000000000218</v>
      </c>
      <c r="L966" s="8">
        <f t="shared" ca="1" si="206"/>
        <v>12075.610000000004</v>
      </c>
      <c r="M966" s="9">
        <f ca="1">AVERAGE(E966:OFFSET(E966,-M$5+1,0))</f>
        <v>4303.3600000000006</v>
      </c>
      <c r="N966" s="9">
        <f ca="1">AVERAGE(E966:OFFSET(E966,-N$5+1,0))</f>
        <v>4453.9115000000002</v>
      </c>
      <c r="O966" s="9">
        <f t="shared" ca="1" si="207"/>
        <v>0</v>
      </c>
      <c r="P966" s="14">
        <f t="shared" si="212"/>
        <v>-3.6385431562770472</v>
      </c>
      <c r="Q966" s="15">
        <f ca="1">STDEV(P966:OFFSET(P966,-$Q$5+1,0))</f>
        <v>2.6708378846063781</v>
      </c>
      <c r="R966" s="15">
        <f ca="1">STDEV(P966:OFFSET(P966,-$R$5+1,0))</f>
        <v>2.8029765846215899</v>
      </c>
      <c r="S966" s="18">
        <f t="shared" si="199"/>
        <v>64.899999999999636</v>
      </c>
      <c r="T966" s="18">
        <f t="shared" si="200"/>
        <v>226.35000000000036</v>
      </c>
      <c r="U966" s="18">
        <f t="shared" si="208"/>
        <v>157.16934896278855</v>
      </c>
      <c r="V966" s="33">
        <f ca="1">AVERAGE(E966:OFFSET(E966,-V$5+1,0))</f>
        <v>4333.5078571428576</v>
      </c>
      <c r="W966" s="33">
        <f t="shared" ca="1" si="201"/>
        <v>4569.2618805870407</v>
      </c>
      <c r="X966" s="33">
        <f t="shared" ca="1" si="202"/>
        <v>4097.7538336986745</v>
      </c>
      <c r="Y966" s="32">
        <f t="shared" ca="1" si="209"/>
        <v>0</v>
      </c>
    </row>
    <row r="967" spans="1:25">
      <c r="A967" s="5">
        <v>39785</v>
      </c>
      <c r="B967" s="4">
        <v>4346.05</v>
      </c>
      <c r="C967" s="4">
        <v>4379.25</v>
      </c>
      <c r="D967" s="4">
        <v>4289.13</v>
      </c>
      <c r="E967" s="4">
        <v>4307.26</v>
      </c>
      <c r="F967" s="4">
        <v>4004000</v>
      </c>
      <c r="G967" s="8">
        <f t="shared" si="211"/>
        <v>-10.929999999999382</v>
      </c>
      <c r="H967" s="8">
        <f t="shared" si="210"/>
        <v>-38.789999999999964</v>
      </c>
      <c r="I967" s="20">
        <f t="shared" ca="1" si="203"/>
        <v>0</v>
      </c>
      <c r="J967" s="8">
        <f t="shared" ca="1" si="204"/>
        <v>-3</v>
      </c>
      <c r="K967" s="8">
        <f t="shared" ca="1" si="205"/>
        <v>149.15999999999804</v>
      </c>
      <c r="L967" s="8">
        <f t="shared" ca="1" si="206"/>
        <v>12224.770000000002</v>
      </c>
      <c r="M967" s="9">
        <f ca="1">AVERAGE(E967:OFFSET(E967,-M$5+1,0))</f>
        <v>4305.6769999999997</v>
      </c>
      <c r="N967" s="9">
        <f ca="1">AVERAGE(E967:OFFSET(E967,-N$5+1,0))</f>
        <v>4420.3615000000009</v>
      </c>
      <c r="O967" s="9">
        <f t="shared" ca="1" si="207"/>
        <v>0</v>
      </c>
      <c r="P967" s="14">
        <f t="shared" si="212"/>
        <v>-1.1477185715692542</v>
      </c>
      <c r="Q967" s="15">
        <f ca="1">STDEV(P967:OFFSET(P967,-$Q$5+1,0))</f>
        <v>2.6954782705003328</v>
      </c>
      <c r="R967" s="15">
        <f ca="1">STDEV(P967:OFFSET(P967,-$R$5+1,0))</f>
        <v>2.8002234533656858</v>
      </c>
      <c r="S967" s="18">
        <f t="shared" si="199"/>
        <v>90.119999999999891</v>
      </c>
      <c r="T967" s="18">
        <f t="shared" si="200"/>
        <v>90.119999999999891</v>
      </c>
      <c r="U967" s="18">
        <f t="shared" si="208"/>
        <v>148.22943576775006</v>
      </c>
      <c r="V967" s="33">
        <f ca="1">AVERAGE(E967:OFFSET(E967,-V$5+1,0))</f>
        <v>4324.181428571429</v>
      </c>
      <c r="W967" s="33">
        <f t="shared" ca="1" si="201"/>
        <v>4546.5255822230538</v>
      </c>
      <c r="X967" s="33">
        <f t="shared" ca="1" si="202"/>
        <v>4101.8372749198043</v>
      </c>
      <c r="Y967" s="32">
        <f t="shared" ca="1" si="209"/>
        <v>0</v>
      </c>
    </row>
    <row r="968" spans="1:25">
      <c r="A968" s="5">
        <v>39786</v>
      </c>
      <c r="B968" s="4">
        <v>4347.66</v>
      </c>
      <c r="C968" s="4">
        <v>4347.66</v>
      </c>
      <c r="D968" s="4">
        <v>4209.91</v>
      </c>
      <c r="E968" s="4">
        <v>4254.96</v>
      </c>
      <c r="F968" s="4">
        <v>3747400</v>
      </c>
      <c r="G968" s="8">
        <f t="shared" si="211"/>
        <v>40.399999999999636</v>
      </c>
      <c r="H968" s="8">
        <f t="shared" si="210"/>
        <v>-92.699999999999818</v>
      </c>
      <c r="I968" s="20">
        <f t="shared" ca="1" si="203"/>
        <v>0</v>
      </c>
      <c r="J968" s="8">
        <f t="shared" ca="1" si="204"/>
        <v>-3</v>
      </c>
      <c r="K968" s="8">
        <f t="shared" ca="1" si="205"/>
        <v>156.90000000000055</v>
      </c>
      <c r="L968" s="8">
        <f t="shared" ca="1" si="206"/>
        <v>12381.670000000002</v>
      </c>
      <c r="M968" s="9">
        <f ca="1">AVERAGE(E968:OFFSET(E968,-M$5+1,0))</f>
        <v>4322.18</v>
      </c>
      <c r="N968" s="9">
        <f ca="1">AVERAGE(E968:OFFSET(E968,-N$5+1,0))</f>
        <v>4398.4034999999994</v>
      </c>
      <c r="O968" s="9">
        <f t="shared" ca="1" si="207"/>
        <v>0</v>
      </c>
      <c r="P968" s="14">
        <f t="shared" si="212"/>
        <v>-1.2216609818542747</v>
      </c>
      <c r="Q968" s="15">
        <f ca="1">STDEV(P968:OFFSET(P968,-$Q$5+1,0))</f>
        <v>2.2069549853076311</v>
      </c>
      <c r="R968" s="15">
        <f ca="1">STDEV(P968:OFFSET(P968,-$R$5+1,0))</f>
        <v>2.6670171903369302</v>
      </c>
      <c r="S968" s="18">
        <f t="shared" si="199"/>
        <v>137.75</v>
      </c>
      <c r="T968" s="18">
        <f t="shared" si="200"/>
        <v>137.75</v>
      </c>
      <c r="U968" s="18">
        <f t="shared" si="208"/>
        <v>146.8321776653834</v>
      </c>
      <c r="V968" s="33">
        <f ca="1">AVERAGE(E968:OFFSET(E968,-V$5+1,0))</f>
        <v>4310.0571428571429</v>
      </c>
      <c r="W968" s="33">
        <f t="shared" ca="1" si="201"/>
        <v>4530.3054093552182</v>
      </c>
      <c r="X968" s="33">
        <f t="shared" ca="1" si="202"/>
        <v>4089.8088763590677</v>
      </c>
      <c r="Y968" s="32">
        <f t="shared" ca="1" si="209"/>
        <v>0</v>
      </c>
    </row>
    <row r="969" spans="1:25">
      <c r="A969" s="5">
        <v>39787</v>
      </c>
      <c r="B969" s="4">
        <v>4213.07</v>
      </c>
      <c r="C969" s="4">
        <v>4261.32</v>
      </c>
      <c r="D969" s="4">
        <v>4190.0200000000004</v>
      </c>
      <c r="E969" s="4">
        <v>4225.07</v>
      </c>
      <c r="F969" s="4">
        <v>2784400</v>
      </c>
      <c r="G969" s="8">
        <f t="shared" si="211"/>
        <v>-41.890000000000327</v>
      </c>
      <c r="H969" s="8">
        <f t="shared" si="210"/>
        <v>12</v>
      </c>
      <c r="I969" s="20">
        <f t="shared" ca="1" si="203"/>
        <v>0</v>
      </c>
      <c r="J969" s="8">
        <f t="shared" ca="1" si="204"/>
        <v>-3</v>
      </c>
      <c r="K969" s="8">
        <f t="shared" ca="1" si="205"/>
        <v>89.670000000000982</v>
      </c>
      <c r="L969" s="8">
        <f t="shared" ca="1" si="206"/>
        <v>12471.340000000004</v>
      </c>
      <c r="M969" s="9">
        <f ca="1">AVERAGE(E969:OFFSET(E969,-M$5+1,0))</f>
        <v>4327.5769999999993</v>
      </c>
      <c r="N969" s="9">
        <f ca="1">AVERAGE(E969:OFFSET(E969,-N$5+1,0))</f>
        <v>4372.5405000000001</v>
      </c>
      <c r="O969" s="9">
        <f t="shared" ca="1" si="207"/>
        <v>0</v>
      </c>
      <c r="P969" s="14">
        <f t="shared" si="212"/>
        <v>-0.70495325568718292</v>
      </c>
      <c r="Q969" s="15">
        <f ca="1">STDEV(P969:OFFSET(P969,-$Q$5+1,0))</f>
        <v>2.1569099537318888</v>
      </c>
      <c r="R969" s="15">
        <f ca="1">STDEV(P969:OFFSET(P969,-$R$5+1,0))</f>
        <v>2.6627077942520114</v>
      </c>
      <c r="S969" s="18">
        <f t="shared" si="199"/>
        <v>71.299999999999272</v>
      </c>
      <c r="T969" s="18">
        <f t="shared" si="200"/>
        <v>71.299999999999272</v>
      </c>
      <c r="U969" s="18">
        <f t="shared" si="208"/>
        <v>136.76122064333219</v>
      </c>
      <c r="V969" s="33">
        <f ca="1">AVERAGE(E969:OFFSET(E969,-V$5+1,0))</f>
        <v>4294.7192857142854</v>
      </c>
      <c r="W969" s="33">
        <f t="shared" ca="1" si="201"/>
        <v>4499.8611166792834</v>
      </c>
      <c r="X969" s="33">
        <f t="shared" ca="1" si="202"/>
        <v>4089.577454749287</v>
      </c>
      <c r="Y969" s="32">
        <f t="shared" ca="1" si="209"/>
        <v>0</v>
      </c>
    </row>
    <row r="970" spans="1:25">
      <c r="A970" s="5">
        <v>39790</v>
      </c>
      <c r="B970" s="4">
        <v>4278.6099999999997</v>
      </c>
      <c r="C970" s="4">
        <v>4424.09</v>
      </c>
      <c r="D970" s="4">
        <v>4278.6099999999997</v>
      </c>
      <c r="E970" s="4">
        <v>4418.33</v>
      </c>
      <c r="F970" s="4">
        <v>3766800</v>
      </c>
      <c r="G970" s="8">
        <f t="shared" si="211"/>
        <v>53.539999999999964</v>
      </c>
      <c r="H970" s="8">
        <f t="shared" si="210"/>
        <v>139.72000000000025</v>
      </c>
      <c r="I970" s="20">
        <f t="shared" ca="1" si="203"/>
        <v>0</v>
      </c>
      <c r="J970" s="8">
        <f t="shared" ca="1" si="204"/>
        <v>-3</v>
      </c>
      <c r="K970" s="8">
        <f t="shared" ca="1" si="205"/>
        <v>-579.78000000000065</v>
      </c>
      <c r="L970" s="8">
        <f t="shared" ca="1" si="206"/>
        <v>11891.560000000003</v>
      </c>
      <c r="M970" s="9">
        <f ca="1">AVERAGE(E970:OFFSET(E970,-M$5+1,0))</f>
        <v>4353.3559999999998</v>
      </c>
      <c r="N970" s="9">
        <f ca="1">AVERAGE(E970:OFFSET(E970,-N$5+1,0))</f>
        <v>4356.4434999999994</v>
      </c>
      <c r="O970" s="9">
        <f t="shared" ca="1" si="207"/>
        <v>0</v>
      </c>
      <c r="P970" s="14">
        <f t="shared" si="212"/>
        <v>4.4725967921079093</v>
      </c>
      <c r="Q970" s="15">
        <f ca="1">STDEV(P970:OFFSET(P970,-$Q$5+1,0))</f>
        <v>2.5464886996273006</v>
      </c>
      <c r="R970" s="15">
        <f ca="1">STDEV(P970:OFFSET(P970,-$R$5+1,0))</f>
        <v>2.7602631274401466</v>
      </c>
      <c r="S970" s="18">
        <f t="shared" si="199"/>
        <v>145.48000000000047</v>
      </c>
      <c r="T970" s="18">
        <f t="shared" si="200"/>
        <v>199.02000000000044</v>
      </c>
      <c r="U970" s="18">
        <f t="shared" si="208"/>
        <v>145.0623912242213</v>
      </c>
      <c r="V970" s="33">
        <f ca="1">AVERAGE(E970:OFFSET(E970,-V$5+1,0))</f>
        <v>4302.8014285714289</v>
      </c>
      <c r="W970" s="33">
        <f t="shared" ca="1" si="201"/>
        <v>4520.3950154077611</v>
      </c>
      <c r="X970" s="33">
        <f t="shared" ca="1" si="202"/>
        <v>4085.2078417350967</v>
      </c>
      <c r="Y970" s="32">
        <f t="shared" ca="1" si="209"/>
        <v>0</v>
      </c>
    </row>
    <row r="971" spans="1:25">
      <c r="A971" s="5">
        <v>39791</v>
      </c>
      <c r="B971" s="4">
        <v>4479.1400000000003</v>
      </c>
      <c r="C971" s="4">
        <v>4524.38</v>
      </c>
      <c r="D971" s="4">
        <v>4456.4399999999996</v>
      </c>
      <c r="E971" s="4">
        <v>4472.66</v>
      </c>
      <c r="F971" s="4">
        <v>4553800</v>
      </c>
      <c r="G971" s="8">
        <f t="shared" si="211"/>
        <v>60.8100000000004</v>
      </c>
      <c r="H971" s="8">
        <f t="shared" si="210"/>
        <v>-6.4800000000004729</v>
      </c>
      <c r="I971" s="20">
        <f t="shared" ca="1" si="203"/>
        <v>0</v>
      </c>
      <c r="J971" s="8">
        <f t="shared" ca="1" si="204"/>
        <v>-3</v>
      </c>
      <c r="K971" s="8">
        <f t="shared" ca="1" si="205"/>
        <v>-162.98999999999978</v>
      </c>
      <c r="L971" s="8">
        <f t="shared" ca="1" si="206"/>
        <v>11728.570000000003</v>
      </c>
      <c r="M971" s="9">
        <f ca="1">AVERAGE(E971:OFFSET(E971,-M$5+1,0))</f>
        <v>4373.973</v>
      </c>
      <c r="N971" s="9">
        <f ca="1">AVERAGE(E971:OFFSET(E971,-N$5+1,0))</f>
        <v>4348.1480000000001</v>
      </c>
      <c r="O971" s="9">
        <f t="shared" ca="1" si="207"/>
        <v>1</v>
      </c>
      <c r="P971" s="14">
        <f t="shared" si="212"/>
        <v>1.2221513296068787</v>
      </c>
      <c r="Q971" s="15">
        <f ca="1">STDEV(P971:OFFSET(P971,-$Q$5+1,0))</f>
        <v>2.4702351574073709</v>
      </c>
      <c r="R971" s="15">
        <f ca="1">STDEV(P971:OFFSET(P971,-$R$5+1,0))</f>
        <v>2.6213487174601746</v>
      </c>
      <c r="S971" s="18">
        <f t="shared" si="199"/>
        <v>67.940000000000509</v>
      </c>
      <c r="T971" s="18">
        <f t="shared" si="200"/>
        <v>106.05000000000018</v>
      </c>
      <c r="U971" s="18">
        <f t="shared" si="208"/>
        <v>139.86073906099182</v>
      </c>
      <c r="V971" s="33">
        <f ca="1">AVERAGE(E971:OFFSET(E971,-V$5+1,0))</f>
        <v>4316.2707142857134</v>
      </c>
      <c r="W971" s="33">
        <f t="shared" ca="1" si="201"/>
        <v>4526.0618228772009</v>
      </c>
      <c r="X971" s="33">
        <f t="shared" ca="1" si="202"/>
        <v>4106.4796056942259</v>
      </c>
      <c r="Y971" s="32">
        <f t="shared" ca="1" si="209"/>
        <v>0</v>
      </c>
    </row>
    <row r="972" spans="1:25">
      <c r="A972" s="5">
        <v>39792</v>
      </c>
      <c r="B972" s="4">
        <v>4470.7299999999996</v>
      </c>
      <c r="C972" s="4">
        <v>4658.87</v>
      </c>
      <c r="D972" s="4">
        <v>4470.7299999999996</v>
      </c>
      <c r="E972" s="4">
        <v>4658.87</v>
      </c>
      <c r="F972" s="4">
        <v>5116600</v>
      </c>
      <c r="G972" s="8">
        <f t="shared" si="211"/>
        <v>-1.930000000000291</v>
      </c>
      <c r="H972" s="8">
        <f t="shared" si="210"/>
        <v>188.14000000000033</v>
      </c>
      <c r="I972" s="20">
        <f t="shared" ca="1" si="203"/>
        <v>1</v>
      </c>
      <c r="J972" s="8">
        <f t="shared" ca="1" si="204"/>
        <v>-3</v>
      </c>
      <c r="K972" s="8">
        <f t="shared" ca="1" si="205"/>
        <v>-558.63000000000011</v>
      </c>
      <c r="L972" s="8">
        <f t="shared" ca="1" si="206"/>
        <v>11169.940000000002</v>
      </c>
      <c r="M972" s="9">
        <f ca="1">AVERAGE(E972:OFFSET(E972,-M$5+1,0))</f>
        <v>4412.6800000000012</v>
      </c>
      <c r="N972" s="9">
        <f ca="1">AVERAGE(E972:OFFSET(E972,-N$5+1,0))</f>
        <v>4350.3130000000001</v>
      </c>
      <c r="O972" s="9">
        <f t="shared" ca="1" si="207"/>
        <v>0</v>
      </c>
      <c r="P972" s="14">
        <f t="shared" si="212"/>
        <v>4.0789619525517793</v>
      </c>
      <c r="Q972" s="15">
        <f ca="1">STDEV(P972:OFFSET(P972,-$Q$5+1,0))</f>
        <v>2.7130275369106989</v>
      </c>
      <c r="R972" s="15">
        <f ca="1">STDEV(P972:OFFSET(P972,-$R$5+1,0))</f>
        <v>2.7147648943972524</v>
      </c>
      <c r="S972" s="18">
        <f t="shared" si="199"/>
        <v>188.14000000000033</v>
      </c>
      <c r="T972" s="18">
        <f t="shared" si="200"/>
        <v>188.14000000000033</v>
      </c>
      <c r="U972" s="18">
        <f t="shared" si="208"/>
        <v>146.29797385285963</v>
      </c>
      <c r="V972" s="33">
        <f ca="1">AVERAGE(E972:OFFSET(E972,-V$5+1,0))</f>
        <v>4356.9092857142859</v>
      </c>
      <c r="W972" s="33">
        <f t="shared" ca="1" si="201"/>
        <v>4576.3562464935758</v>
      </c>
      <c r="X972" s="33">
        <f t="shared" ca="1" si="202"/>
        <v>4137.4623249349961</v>
      </c>
      <c r="Y972" s="32">
        <f t="shared" ca="1" si="209"/>
        <v>1</v>
      </c>
    </row>
    <row r="973" spans="1:25">
      <c r="A973" s="5">
        <v>39793</v>
      </c>
      <c r="B973" s="4">
        <v>4665.04</v>
      </c>
      <c r="C973" s="4">
        <v>4694.3999999999996</v>
      </c>
      <c r="D973" s="4">
        <v>4617.17</v>
      </c>
      <c r="E973" s="4">
        <v>4655.57</v>
      </c>
      <c r="F973" s="4">
        <v>5446400</v>
      </c>
      <c r="G973" s="8">
        <f t="shared" si="211"/>
        <v>6.1700000000000728</v>
      </c>
      <c r="H973" s="8">
        <f t="shared" si="210"/>
        <v>-9.4700000000002547</v>
      </c>
      <c r="I973" s="20">
        <f t="shared" ca="1" si="203"/>
        <v>0</v>
      </c>
      <c r="J973" s="8">
        <f t="shared" ca="1" si="204"/>
        <v>-2</v>
      </c>
      <c r="K973" s="8">
        <f t="shared" ca="1" si="205"/>
        <v>0.43000000000029104</v>
      </c>
      <c r="L973" s="8">
        <f t="shared" ca="1" si="206"/>
        <v>11170.370000000003</v>
      </c>
      <c r="M973" s="9">
        <f ca="1">AVERAGE(E973:OFFSET(E973,-M$5+1,0))</f>
        <v>4432.8619999999992</v>
      </c>
      <c r="N973" s="9">
        <f ca="1">AVERAGE(E973:OFFSET(E973,-N$5+1,0))</f>
        <v>4361.2</v>
      </c>
      <c r="O973" s="9">
        <f t="shared" ca="1" si="207"/>
        <v>0</v>
      </c>
      <c r="P973" s="14">
        <f t="shared" si="212"/>
        <v>-7.0857724953352602E-2</v>
      </c>
      <c r="Q973" s="15">
        <f ca="1">STDEV(P973:OFFSET(P973,-$Q$5+1,0))</f>
        <v>2.458789779147899</v>
      </c>
      <c r="R973" s="15">
        <f ca="1">STDEV(P973:OFFSET(P973,-$R$5+1,0))</f>
        <v>2.6708342283776765</v>
      </c>
      <c r="S973" s="18">
        <f t="shared" si="199"/>
        <v>77.229999999999563</v>
      </c>
      <c r="T973" s="18">
        <f t="shared" si="200"/>
        <v>77.229999999999563</v>
      </c>
      <c r="U973" s="18">
        <f t="shared" si="208"/>
        <v>137.08891067247831</v>
      </c>
      <c r="V973" s="33">
        <f ca="1">AVERAGE(E973:OFFSET(E973,-V$5+1,0))</f>
        <v>4391.5142857142855</v>
      </c>
      <c r="W973" s="33">
        <f t="shared" ca="1" si="201"/>
        <v>4597.147651723003</v>
      </c>
      <c r="X973" s="33">
        <f t="shared" ca="1" si="202"/>
        <v>4185.880919705568</v>
      </c>
      <c r="Y973" s="32">
        <f t="shared" ca="1" si="209"/>
        <v>0</v>
      </c>
    </row>
    <row r="974" spans="1:25">
      <c r="A974" s="5">
        <v>39794</v>
      </c>
      <c r="B974" s="4">
        <v>4600.97</v>
      </c>
      <c r="C974" s="4">
        <v>4654.75</v>
      </c>
      <c r="D974" s="4">
        <v>4401.05</v>
      </c>
      <c r="E974" s="4">
        <v>4481.2700000000004</v>
      </c>
      <c r="F974" s="4">
        <v>5326000</v>
      </c>
      <c r="G974" s="8">
        <f t="shared" si="211"/>
        <v>-54.599999999999454</v>
      </c>
      <c r="H974" s="8">
        <f t="shared" si="210"/>
        <v>-119.69999999999982</v>
      </c>
      <c r="I974" s="20">
        <f t="shared" ca="1" si="203"/>
        <v>0</v>
      </c>
      <c r="J974" s="8">
        <f t="shared" ca="1" si="204"/>
        <v>-2</v>
      </c>
      <c r="K974" s="8">
        <f t="shared" ca="1" si="205"/>
        <v>348.59999999999854</v>
      </c>
      <c r="L974" s="8">
        <f t="shared" ca="1" si="206"/>
        <v>11518.970000000001</v>
      </c>
      <c r="M974" s="9">
        <f ca="1">AVERAGE(E974:OFFSET(E974,-M$5+1,0))</f>
        <v>4434.9399999999996</v>
      </c>
      <c r="N974" s="9">
        <f ca="1">AVERAGE(E974:OFFSET(E974,-N$5+1,0))</f>
        <v>4362.6284999999998</v>
      </c>
      <c r="O974" s="9">
        <f t="shared" ca="1" si="207"/>
        <v>0</v>
      </c>
      <c r="P974" s="14">
        <f t="shared" si="212"/>
        <v>-3.8157863816077255</v>
      </c>
      <c r="Q974" s="15">
        <f ca="1">STDEV(P974:OFFSET(P974,-$Q$5+1,0))</f>
        <v>2.8065530083284465</v>
      </c>
      <c r="R974" s="15">
        <f ca="1">STDEV(P974:OFFSET(P974,-$R$5+1,0))</f>
        <v>2.7115405085563138</v>
      </c>
      <c r="S974" s="18">
        <f t="shared" si="199"/>
        <v>253.69999999999982</v>
      </c>
      <c r="T974" s="18">
        <f t="shared" si="200"/>
        <v>254.51999999999953</v>
      </c>
      <c r="U974" s="18">
        <f t="shared" si="208"/>
        <v>152.74638924948113</v>
      </c>
      <c r="V974" s="33">
        <f ca="1">AVERAGE(E974:OFFSET(E974,-V$5+1,0))</f>
        <v>4414.4235714285724</v>
      </c>
      <c r="W974" s="33">
        <f t="shared" ca="1" si="201"/>
        <v>4643.5431553027938</v>
      </c>
      <c r="X974" s="33">
        <f t="shared" ca="1" si="202"/>
        <v>4185.3039875543509</v>
      </c>
      <c r="Y974" s="32">
        <f t="shared" ca="1" si="209"/>
        <v>0</v>
      </c>
    </row>
    <row r="975" spans="1:25">
      <c r="A975" s="5">
        <v>39797</v>
      </c>
      <c r="B975" s="4">
        <v>4604.5</v>
      </c>
      <c r="C975" s="4">
        <v>4676.46</v>
      </c>
      <c r="D975" s="4">
        <v>4588.1400000000003</v>
      </c>
      <c r="E975" s="4">
        <v>4613.72</v>
      </c>
      <c r="F975" s="4">
        <v>3884800</v>
      </c>
      <c r="G975" s="8">
        <f t="shared" si="211"/>
        <v>123.22999999999956</v>
      </c>
      <c r="H975" s="8">
        <f t="shared" si="210"/>
        <v>9.2200000000002547</v>
      </c>
      <c r="I975" s="20">
        <f t="shared" ca="1" si="203"/>
        <v>0</v>
      </c>
      <c r="J975" s="8">
        <f t="shared" ca="1" si="204"/>
        <v>-2</v>
      </c>
      <c r="K975" s="8">
        <f t="shared" ca="1" si="205"/>
        <v>-264.89999999999964</v>
      </c>
      <c r="L975" s="8">
        <f t="shared" ca="1" si="206"/>
        <v>11254.070000000002</v>
      </c>
      <c r="M975" s="9">
        <f ca="1">AVERAGE(E975:OFFSET(E975,-M$5+1,0))</f>
        <v>4444.4690000000001</v>
      </c>
      <c r="N975" s="9">
        <f ca="1">AVERAGE(E975:OFFSET(E975,-N$5+1,0))</f>
        <v>4371.3245000000006</v>
      </c>
      <c r="O975" s="9">
        <f t="shared" ca="1" si="207"/>
        <v>0</v>
      </c>
      <c r="P975" s="14">
        <f t="shared" si="212"/>
        <v>2.9127984641751823</v>
      </c>
      <c r="Q975" s="15">
        <f ca="1">STDEV(P975:OFFSET(P975,-$Q$5+1,0))</f>
        <v>2.9305946447915057</v>
      </c>
      <c r="R975" s="15">
        <f ca="1">STDEV(P975:OFFSET(P975,-$R$5+1,0))</f>
        <v>2.756645781251811</v>
      </c>
      <c r="S975" s="18">
        <f t="shared" si="199"/>
        <v>88.319999999999709</v>
      </c>
      <c r="T975" s="18">
        <f t="shared" si="200"/>
        <v>195.1899999999996</v>
      </c>
      <c r="U975" s="18">
        <f t="shared" si="208"/>
        <v>158.40553734955029</v>
      </c>
      <c r="V975" s="33">
        <f ca="1">AVERAGE(E975:OFFSET(E975,-V$5+1,0))</f>
        <v>4439.2257142857143</v>
      </c>
      <c r="W975" s="33">
        <f t="shared" ca="1" si="201"/>
        <v>4676.8340203100397</v>
      </c>
      <c r="X975" s="33">
        <f t="shared" ca="1" si="202"/>
        <v>4201.6174082613888</v>
      </c>
      <c r="Y975" s="32">
        <f t="shared" ca="1" si="209"/>
        <v>0</v>
      </c>
    </row>
    <row r="976" spans="1:25">
      <c r="A976" s="5">
        <v>39798</v>
      </c>
      <c r="B976" s="4">
        <v>4570.5200000000004</v>
      </c>
      <c r="C976" s="4">
        <v>4616.8900000000003</v>
      </c>
      <c r="D976" s="4">
        <v>4532.41</v>
      </c>
      <c r="E976" s="4">
        <v>4616.8900000000003</v>
      </c>
      <c r="F976" s="4">
        <v>3529400</v>
      </c>
      <c r="G976" s="8">
        <f t="shared" si="211"/>
        <v>-43.199999999999818</v>
      </c>
      <c r="H976" s="8">
        <f t="shared" si="210"/>
        <v>46.369999999999891</v>
      </c>
      <c r="I976" s="20">
        <f t="shared" ca="1" si="203"/>
        <v>0</v>
      </c>
      <c r="J976" s="8">
        <f t="shared" ca="1" si="204"/>
        <v>-2</v>
      </c>
      <c r="K976" s="8">
        <f t="shared" ca="1" si="205"/>
        <v>-6.3400000000001455</v>
      </c>
      <c r="L976" s="8">
        <f t="shared" ca="1" si="206"/>
        <v>11247.730000000001</v>
      </c>
      <c r="M976" s="9">
        <f ca="1">AVERAGE(E976:OFFSET(E976,-M$5+1,0))</f>
        <v>4470.4600000000009</v>
      </c>
      <c r="N976" s="9">
        <f ca="1">AVERAGE(E976:OFFSET(E976,-N$5+1,0))</f>
        <v>4386.9100000000008</v>
      </c>
      <c r="O976" s="9">
        <f t="shared" ca="1" si="207"/>
        <v>0</v>
      </c>
      <c r="P976" s="14">
        <f t="shared" si="212"/>
        <v>6.868452084147568E-2</v>
      </c>
      <c r="Q976" s="15">
        <f ca="1">STDEV(P976:OFFSET(P976,-$Q$5+1,0))</f>
        <v>2.6063905230132014</v>
      </c>
      <c r="R976" s="15">
        <f ca="1">STDEV(P976:OFFSET(P976,-$R$5+1,0))</f>
        <v>2.7562039867039405</v>
      </c>
      <c r="S976" s="18">
        <f t="shared" si="199"/>
        <v>84.480000000000473</v>
      </c>
      <c r="T976" s="18">
        <f t="shared" si="200"/>
        <v>84.480000000000473</v>
      </c>
      <c r="U976" s="18">
        <f t="shared" si="208"/>
        <v>148.54879903627699</v>
      </c>
      <c r="V976" s="33">
        <f ca="1">AVERAGE(E976:OFFSET(E976,-V$5+1,0))</f>
        <v>4463.8750000000009</v>
      </c>
      <c r="W976" s="33">
        <f t="shared" ca="1" si="201"/>
        <v>4686.6981985544162</v>
      </c>
      <c r="X976" s="33">
        <f t="shared" ca="1" si="202"/>
        <v>4241.0518014455856</v>
      </c>
      <c r="Y976" s="32">
        <f t="shared" ca="1" si="209"/>
        <v>0</v>
      </c>
    </row>
    <row r="977" spans="1:25">
      <c r="A977" s="5">
        <v>39799</v>
      </c>
      <c r="B977" s="4">
        <v>4706.2299999999996</v>
      </c>
      <c r="C977" s="4">
        <v>4725.0600000000004</v>
      </c>
      <c r="D977" s="4">
        <v>4628.22</v>
      </c>
      <c r="E977" s="4">
        <v>4648.0200000000004</v>
      </c>
      <c r="F977" s="4">
        <v>5395800</v>
      </c>
      <c r="G977" s="8">
        <f t="shared" si="211"/>
        <v>89.339999999999236</v>
      </c>
      <c r="H977" s="8">
        <f t="shared" si="210"/>
        <v>-58.209999999999127</v>
      </c>
      <c r="I977" s="20">
        <f t="shared" ca="1" si="203"/>
        <v>0</v>
      </c>
      <c r="J977" s="8">
        <f t="shared" ca="1" si="204"/>
        <v>-2</v>
      </c>
      <c r="K977" s="8">
        <f t="shared" ca="1" si="205"/>
        <v>-62.260000000000218</v>
      </c>
      <c r="L977" s="8">
        <f t="shared" ca="1" si="206"/>
        <v>11185.470000000001</v>
      </c>
      <c r="M977" s="9">
        <f ca="1">AVERAGE(E977:OFFSET(E977,-M$5+1,0))</f>
        <v>4504.5360000000001</v>
      </c>
      <c r="N977" s="9">
        <f ca="1">AVERAGE(E977:OFFSET(E977,-N$5+1,0))</f>
        <v>4405.1064999999999</v>
      </c>
      <c r="O977" s="9">
        <f t="shared" ca="1" si="207"/>
        <v>0</v>
      </c>
      <c r="P977" s="14">
        <f t="shared" si="212"/>
        <v>0.6720004219895398</v>
      </c>
      <c r="Q977" s="15">
        <f ca="1">STDEV(P977:OFFSET(P977,-$Q$5+1,0))</f>
        <v>2.5349526385733872</v>
      </c>
      <c r="R977" s="15">
        <f ca="1">STDEV(P977:OFFSET(P977,-$R$5+1,0))</f>
        <v>2.7489081091641867</v>
      </c>
      <c r="S977" s="18">
        <f t="shared" si="199"/>
        <v>96.840000000000146</v>
      </c>
      <c r="T977" s="18">
        <f t="shared" si="200"/>
        <v>108.17000000000007</v>
      </c>
      <c r="U977" s="18">
        <f t="shared" si="208"/>
        <v>143.16495916477342</v>
      </c>
      <c r="V977" s="33">
        <f ca="1">AVERAGE(E977:OFFSET(E977,-V$5+1,0))</f>
        <v>4477.7514285714287</v>
      </c>
      <c r="W977" s="33">
        <f t="shared" ca="1" si="201"/>
        <v>4692.498867318589</v>
      </c>
      <c r="X977" s="33">
        <f t="shared" ca="1" si="202"/>
        <v>4263.0039898242685</v>
      </c>
      <c r="Y977" s="32">
        <f t="shared" ca="1" si="209"/>
        <v>0</v>
      </c>
    </row>
    <row r="978" spans="1:25">
      <c r="A978" s="5">
        <v>39800</v>
      </c>
      <c r="B978" s="4">
        <v>4674.3599999999997</v>
      </c>
      <c r="C978" s="4">
        <v>4694.8100000000004</v>
      </c>
      <c r="D978" s="4">
        <v>4625.6899999999996</v>
      </c>
      <c r="E978" s="4">
        <v>4694.8100000000004</v>
      </c>
      <c r="F978" s="4">
        <v>4140400</v>
      </c>
      <c r="G978" s="8">
        <f t="shared" si="211"/>
        <v>26.339999999999236</v>
      </c>
      <c r="H978" s="8">
        <f t="shared" si="210"/>
        <v>20.450000000000728</v>
      </c>
      <c r="I978" s="20">
        <f t="shared" ca="1" si="203"/>
        <v>1</v>
      </c>
      <c r="J978" s="8">
        <f t="shared" ca="1" si="204"/>
        <v>-2</v>
      </c>
      <c r="K978" s="8">
        <f t="shared" ca="1" si="205"/>
        <v>-93.579999999999927</v>
      </c>
      <c r="L978" s="8">
        <f t="shared" ca="1" si="206"/>
        <v>11091.890000000001</v>
      </c>
      <c r="M978" s="9">
        <f ca="1">AVERAGE(E978:OFFSET(E978,-M$5+1,0))</f>
        <v>4548.5210000000006</v>
      </c>
      <c r="N978" s="9">
        <f ca="1">AVERAGE(E978:OFFSET(E978,-N$5+1,0))</f>
        <v>4435.3505000000005</v>
      </c>
      <c r="O978" s="9">
        <f t="shared" ca="1" si="207"/>
        <v>0</v>
      </c>
      <c r="P978" s="14">
        <f t="shared" si="212"/>
        <v>1.0016320791409108</v>
      </c>
      <c r="Q978" s="15">
        <f ca="1">STDEV(P978:OFFSET(P978,-$Q$5+1,0))</f>
        <v>2.4373202532174569</v>
      </c>
      <c r="R978" s="15">
        <f ca="1">STDEV(P978:OFFSET(P978,-$R$5+1,0))</f>
        <v>2.7203785047627145</v>
      </c>
      <c r="S978" s="18">
        <f t="shared" si="199"/>
        <v>69.1200000000008</v>
      </c>
      <c r="T978" s="18">
        <f t="shared" si="200"/>
        <v>69.1200000000008</v>
      </c>
      <c r="U978" s="18">
        <f t="shared" si="208"/>
        <v>133.29229794280374</v>
      </c>
      <c r="V978" s="33">
        <f ca="1">AVERAGE(E978:OFFSET(E978,-V$5+1,0))</f>
        <v>4494.488571428571</v>
      </c>
      <c r="W978" s="33">
        <f t="shared" ca="1" si="201"/>
        <v>4694.427018342777</v>
      </c>
      <c r="X978" s="33">
        <f t="shared" ca="1" si="202"/>
        <v>4294.5501245143651</v>
      </c>
      <c r="Y978" s="32">
        <f t="shared" ca="1" si="209"/>
        <v>1</v>
      </c>
    </row>
    <row r="979" spans="1:25">
      <c r="A979" s="5">
        <v>39801</v>
      </c>
      <c r="B979" s="4">
        <v>4661.6899999999996</v>
      </c>
      <c r="C979" s="4">
        <v>4723.7</v>
      </c>
      <c r="D979" s="4">
        <v>4622.49</v>
      </c>
      <c r="E979" s="4">
        <v>4694.5200000000004</v>
      </c>
      <c r="F979" s="4">
        <v>4417200</v>
      </c>
      <c r="G979" s="8">
        <f t="shared" si="211"/>
        <v>-33.1200000000008</v>
      </c>
      <c r="H979" s="8">
        <f t="shared" si="210"/>
        <v>32.830000000000837</v>
      </c>
      <c r="I979" s="20">
        <f t="shared" ca="1" si="203"/>
        <v>0</v>
      </c>
      <c r="J979" s="8">
        <f t="shared" ca="1" si="204"/>
        <v>-1</v>
      </c>
      <c r="K979" s="8">
        <f t="shared" ca="1" si="205"/>
        <v>33.410000000000764</v>
      </c>
      <c r="L979" s="8">
        <f t="shared" ca="1" si="206"/>
        <v>11125.300000000003</v>
      </c>
      <c r="M979" s="9">
        <f ca="1">AVERAGE(E979:OFFSET(E979,-M$5+1,0))</f>
        <v>4595.4660000000003</v>
      </c>
      <c r="N979" s="9">
        <f ca="1">AVERAGE(E979:OFFSET(E979,-N$5+1,0))</f>
        <v>4461.5215000000007</v>
      </c>
      <c r="O979" s="9">
        <f t="shared" ca="1" si="207"/>
        <v>0</v>
      </c>
      <c r="P979" s="14">
        <f t="shared" si="212"/>
        <v>-6.1772245749680942E-3</v>
      </c>
      <c r="Q979" s="15">
        <f ca="1">STDEV(P979:OFFSET(P979,-$Q$5+1,0))</f>
        <v>2.393143366797875</v>
      </c>
      <c r="R979" s="15">
        <f ca="1">STDEV(P979:OFFSET(P979,-$R$5+1,0))</f>
        <v>2.6697266200391061</v>
      </c>
      <c r="S979" s="18">
        <f t="shared" si="199"/>
        <v>101.21000000000004</v>
      </c>
      <c r="T979" s="18">
        <f t="shared" si="200"/>
        <v>101.21000000000004</v>
      </c>
      <c r="U979" s="18">
        <f t="shared" si="208"/>
        <v>129.01465821709658</v>
      </c>
      <c r="V979" s="33">
        <f ca="1">AVERAGE(E979:OFFSET(E979,-V$5+1,0))</f>
        <v>4507.0664285714292</v>
      </c>
      <c r="W979" s="33">
        <f t="shared" ca="1" si="201"/>
        <v>4700.5884158970739</v>
      </c>
      <c r="X979" s="33">
        <f t="shared" ca="1" si="202"/>
        <v>4313.5444412457846</v>
      </c>
      <c r="Y979" s="32">
        <f t="shared" ca="1" si="209"/>
        <v>0</v>
      </c>
    </row>
    <row r="980" spans="1:25">
      <c r="A980" s="5">
        <v>39804</v>
      </c>
      <c r="B980" s="4">
        <v>4735.17</v>
      </c>
      <c r="C980" s="4">
        <v>4750.96</v>
      </c>
      <c r="D980" s="4">
        <v>4535.54</v>
      </c>
      <c r="E980" s="4">
        <v>4535.54</v>
      </c>
      <c r="F980" s="4">
        <v>4325600</v>
      </c>
      <c r="G980" s="8">
        <f t="shared" si="211"/>
        <v>40.649999999999636</v>
      </c>
      <c r="H980" s="8">
        <f t="shared" si="210"/>
        <v>-199.63000000000011</v>
      </c>
      <c r="I980" s="20">
        <f t="shared" ca="1" si="203"/>
        <v>0</v>
      </c>
      <c r="J980" s="8">
        <f t="shared" ca="1" si="204"/>
        <v>-1</v>
      </c>
      <c r="K980" s="8">
        <f t="shared" ca="1" si="205"/>
        <v>158.98000000000047</v>
      </c>
      <c r="L980" s="8">
        <f t="shared" ca="1" si="206"/>
        <v>11284.280000000002</v>
      </c>
      <c r="M980" s="9">
        <f ca="1">AVERAGE(E980:OFFSET(E980,-M$5+1,0))</f>
        <v>4607.1869999999999</v>
      </c>
      <c r="N980" s="9">
        <f ca="1">AVERAGE(E980:OFFSET(E980,-N$5+1,0))</f>
        <v>4480.2715000000007</v>
      </c>
      <c r="O980" s="9">
        <f t="shared" ca="1" si="207"/>
        <v>0</v>
      </c>
      <c r="P980" s="14">
        <f t="shared" si="212"/>
        <v>-3.4451720663731709</v>
      </c>
      <c r="Q980" s="15">
        <f ca="1">STDEV(P980:OFFSET(P980,-$Q$5+1,0))</f>
        <v>2.4455067171999034</v>
      </c>
      <c r="R980" s="15">
        <f ca="1">STDEV(P980:OFFSET(P980,-$R$5+1,0))</f>
        <v>2.6165412648694426</v>
      </c>
      <c r="S980" s="18">
        <f t="shared" si="199"/>
        <v>215.42000000000007</v>
      </c>
      <c r="T980" s="18">
        <f t="shared" si="200"/>
        <v>215.42000000000007</v>
      </c>
      <c r="U980" s="18">
        <f t="shared" si="208"/>
        <v>140.53537045481704</v>
      </c>
      <c r="V980" s="33">
        <f ca="1">AVERAGE(E980:OFFSET(E980,-V$5+1,0))</f>
        <v>4519.8207142857154</v>
      </c>
      <c r="W980" s="33">
        <f t="shared" ca="1" si="201"/>
        <v>4730.6237699679414</v>
      </c>
      <c r="X980" s="33">
        <f t="shared" ca="1" si="202"/>
        <v>4309.0176586034895</v>
      </c>
      <c r="Y980" s="32">
        <f t="shared" ca="1" si="209"/>
        <v>0</v>
      </c>
    </row>
    <row r="981" spans="1:25">
      <c r="A981" s="5">
        <v>39805</v>
      </c>
      <c r="B981" s="4">
        <v>4517.05</v>
      </c>
      <c r="C981" s="4">
        <v>4523.13</v>
      </c>
      <c r="D981" s="4">
        <v>4359.55</v>
      </c>
      <c r="E981" s="4">
        <v>4405.8599999999997</v>
      </c>
      <c r="F981" s="4">
        <v>3253400</v>
      </c>
      <c r="G981" s="8">
        <f t="shared" si="211"/>
        <v>-18.489999999999782</v>
      </c>
      <c r="H981" s="8">
        <f t="shared" si="210"/>
        <v>-111.19000000000051</v>
      </c>
      <c r="I981" s="20">
        <f t="shared" ca="1" si="203"/>
        <v>0</v>
      </c>
      <c r="J981" s="8">
        <f t="shared" ca="1" si="204"/>
        <v>-1</v>
      </c>
      <c r="K981" s="8">
        <f t="shared" ca="1" si="205"/>
        <v>129.68000000000029</v>
      </c>
      <c r="L981" s="8">
        <f t="shared" ca="1" si="206"/>
        <v>11413.960000000003</v>
      </c>
      <c r="M981" s="9">
        <f ca="1">AVERAGE(E981:OFFSET(E981,-M$5+1,0))</f>
        <v>4600.5069999999996</v>
      </c>
      <c r="N981" s="9">
        <f ca="1">AVERAGE(E981:OFFSET(E981,-N$5+1,0))</f>
        <v>4487.24</v>
      </c>
      <c r="O981" s="9">
        <f t="shared" ca="1" si="207"/>
        <v>0</v>
      </c>
      <c r="P981" s="14">
        <f t="shared" si="212"/>
        <v>-2.9008677325424119</v>
      </c>
      <c r="Q981" s="15">
        <f ca="1">STDEV(P981:OFFSET(P981,-$Q$5+1,0))</f>
        <v>2.6077871827361694</v>
      </c>
      <c r="R981" s="15">
        <f ca="1">STDEV(P981:OFFSET(P981,-$R$5+1,0))</f>
        <v>2.6564323225286675</v>
      </c>
      <c r="S981" s="18">
        <f t="shared" si="199"/>
        <v>163.57999999999993</v>
      </c>
      <c r="T981" s="18">
        <f t="shared" si="200"/>
        <v>175.98999999999978</v>
      </c>
      <c r="U981" s="18">
        <f t="shared" si="208"/>
        <v>145.26265439417475</v>
      </c>
      <c r="V981" s="33">
        <f ca="1">AVERAGE(E981:OFFSET(E981,-V$5+1,0))</f>
        <v>4526.863571428572</v>
      </c>
      <c r="W981" s="33">
        <f t="shared" ca="1" si="201"/>
        <v>4744.7575530198337</v>
      </c>
      <c r="X981" s="33">
        <f t="shared" ca="1" si="202"/>
        <v>4308.9695898373102</v>
      </c>
      <c r="Y981" s="32">
        <f t="shared" ca="1" si="209"/>
        <v>0</v>
      </c>
    </row>
    <row r="982" spans="1:25">
      <c r="A982" s="5">
        <v>39806</v>
      </c>
      <c r="B982" s="4">
        <v>4330.42</v>
      </c>
      <c r="C982" s="4">
        <v>4439.13</v>
      </c>
      <c r="D982" s="4">
        <v>4325.46</v>
      </c>
      <c r="E982" s="4">
        <v>4423.09</v>
      </c>
      <c r="F982" s="4">
        <v>3077800</v>
      </c>
      <c r="G982" s="8">
        <f t="shared" si="211"/>
        <v>-75.4399999999996</v>
      </c>
      <c r="H982" s="8">
        <f t="shared" si="210"/>
        <v>92.670000000000073</v>
      </c>
      <c r="I982" s="20">
        <f t="shared" ca="1" si="203"/>
        <v>0</v>
      </c>
      <c r="J982" s="8">
        <f t="shared" ca="1" si="204"/>
        <v>-1</v>
      </c>
      <c r="K982" s="8">
        <f t="shared" ca="1" si="205"/>
        <v>-17.230000000000473</v>
      </c>
      <c r="L982" s="8">
        <f t="shared" ca="1" si="206"/>
        <v>11396.730000000003</v>
      </c>
      <c r="M982" s="9">
        <f ca="1">AVERAGE(E982:OFFSET(E982,-M$5+1,0))</f>
        <v>4576.929000000001</v>
      </c>
      <c r="N982" s="9">
        <f ca="1">AVERAGE(E982:OFFSET(E982,-N$5+1,0))</f>
        <v>4494.8045000000002</v>
      </c>
      <c r="O982" s="9">
        <f t="shared" ca="1" si="207"/>
        <v>0</v>
      </c>
      <c r="P982" s="14">
        <f t="shared" si="212"/>
        <v>0.39030738362905626</v>
      </c>
      <c r="Q982" s="15">
        <f ca="1">STDEV(P982:OFFSET(P982,-$Q$5+1,0))</f>
        <v>2.1666321140010152</v>
      </c>
      <c r="R982" s="15">
        <f ca="1">STDEV(P982:OFFSET(P982,-$R$5+1,0))</f>
        <v>2.6570458456246997</v>
      </c>
      <c r="S982" s="18">
        <f t="shared" si="199"/>
        <v>113.67000000000007</v>
      </c>
      <c r="T982" s="18">
        <f t="shared" si="200"/>
        <v>113.67000000000007</v>
      </c>
      <c r="U982" s="18">
        <f t="shared" si="208"/>
        <v>141.05030047495146</v>
      </c>
      <c r="V982" s="33">
        <f ca="1">AVERAGE(E982:OFFSET(E982,-V$5+1,0))</f>
        <v>4538.8728571428583</v>
      </c>
      <c r="W982" s="33">
        <f t="shared" ca="1" si="201"/>
        <v>4750.4483078552857</v>
      </c>
      <c r="X982" s="33">
        <f t="shared" ca="1" si="202"/>
        <v>4327.2974064304308</v>
      </c>
      <c r="Y982" s="32">
        <f t="shared" ca="1" si="209"/>
        <v>0</v>
      </c>
    </row>
    <row r="983" spans="1:25">
      <c r="A983" s="5">
        <v>39807</v>
      </c>
      <c r="B983" s="4">
        <v>4430.1000000000004</v>
      </c>
      <c r="C983" s="4">
        <v>4434.43</v>
      </c>
      <c r="D983" s="4">
        <v>4385.78</v>
      </c>
      <c r="E983" s="4">
        <v>4413.45</v>
      </c>
      <c r="F983" s="4">
        <v>2211800</v>
      </c>
      <c r="G983" s="8">
        <f t="shared" si="211"/>
        <v>7.0100000000002183</v>
      </c>
      <c r="H983" s="8">
        <f t="shared" si="210"/>
        <v>-16.650000000000546</v>
      </c>
      <c r="I983" s="20">
        <f t="shared" ca="1" si="203"/>
        <v>0</v>
      </c>
      <c r="J983" s="8">
        <f t="shared" ca="1" si="204"/>
        <v>-1</v>
      </c>
      <c r="K983" s="8">
        <f t="shared" ca="1" si="205"/>
        <v>9.6400000000003274</v>
      </c>
      <c r="L983" s="8">
        <f t="shared" ca="1" si="206"/>
        <v>11406.370000000003</v>
      </c>
      <c r="M983" s="9">
        <f ca="1">AVERAGE(E983:OFFSET(E983,-M$5+1,0))</f>
        <v>4552.7169999999996</v>
      </c>
      <c r="N983" s="9">
        <f ca="1">AVERAGE(E983:OFFSET(E983,-N$5+1,0))</f>
        <v>4492.7894999999999</v>
      </c>
      <c r="O983" s="9">
        <f t="shared" ca="1" si="207"/>
        <v>0</v>
      </c>
      <c r="P983" s="14">
        <f t="shared" si="212"/>
        <v>-0.2181850322466648</v>
      </c>
      <c r="Q983" s="15">
        <f ca="1">STDEV(P983:OFFSET(P983,-$Q$5+1,0))</f>
        <v>2.1637426104746265</v>
      </c>
      <c r="R983" s="15">
        <f ca="1">STDEV(P983:OFFSET(P983,-$R$5+1,0))</f>
        <v>2.4667329826210671</v>
      </c>
      <c r="S983" s="18">
        <f t="shared" si="199"/>
        <v>48.650000000000546</v>
      </c>
      <c r="T983" s="18">
        <f t="shared" si="200"/>
        <v>48.650000000000546</v>
      </c>
      <c r="U983" s="18">
        <f t="shared" si="208"/>
        <v>128.73026041162467</v>
      </c>
      <c r="V983" s="33">
        <f ca="1">AVERAGE(E983:OFFSET(E983,-V$5+1,0))</f>
        <v>4552.3285714285721</v>
      </c>
      <c r="W983" s="33">
        <f t="shared" ca="1" si="201"/>
        <v>4745.4239620460094</v>
      </c>
      <c r="X983" s="33">
        <f t="shared" ca="1" si="202"/>
        <v>4359.2331808111348</v>
      </c>
      <c r="Y983" s="32">
        <f t="shared" ca="1" si="209"/>
        <v>0</v>
      </c>
    </row>
    <row r="984" spans="1:25">
      <c r="A984" s="5">
        <v>39808</v>
      </c>
      <c r="B984" s="4">
        <v>4398.53</v>
      </c>
      <c r="C984" s="4">
        <v>4466.75</v>
      </c>
      <c r="D984" s="4">
        <v>4396.26</v>
      </c>
      <c r="E984" s="4">
        <v>4425.08</v>
      </c>
      <c r="F984" s="4">
        <v>2233200</v>
      </c>
      <c r="G984" s="8">
        <f t="shared" si="211"/>
        <v>-14.920000000000073</v>
      </c>
      <c r="H984" s="8">
        <f t="shared" si="210"/>
        <v>26.550000000000182</v>
      </c>
      <c r="I984" s="20">
        <f t="shared" ca="1" si="203"/>
        <v>0</v>
      </c>
      <c r="J984" s="8">
        <f t="shared" ca="1" si="204"/>
        <v>-1</v>
      </c>
      <c r="K984" s="8">
        <f t="shared" ca="1" si="205"/>
        <v>-11.630000000000109</v>
      </c>
      <c r="L984" s="8">
        <f t="shared" ca="1" si="206"/>
        <v>11394.740000000002</v>
      </c>
      <c r="M984" s="9">
        <f ca="1">AVERAGE(E984:OFFSET(E984,-M$5+1,0))</f>
        <v>4547.098</v>
      </c>
      <c r="N984" s="9">
        <f ca="1">AVERAGE(E984:OFFSET(E984,-N$5+1,0))</f>
        <v>4491.0189999999993</v>
      </c>
      <c r="O984" s="9">
        <f t="shared" ca="1" si="207"/>
        <v>0</v>
      </c>
      <c r="P984" s="14">
        <f t="shared" si="212"/>
        <v>0.2631660855843162</v>
      </c>
      <c r="Q984" s="15">
        <f ca="1">STDEV(P984:OFFSET(P984,-$Q$5+1,0))</f>
        <v>1.8360050197442681</v>
      </c>
      <c r="R984" s="15">
        <f ca="1">STDEV(P984:OFFSET(P984,-$R$5+1,0))</f>
        <v>2.3784641373590465</v>
      </c>
      <c r="S984" s="18">
        <f t="shared" si="199"/>
        <v>70.489999999999782</v>
      </c>
      <c r="T984" s="18">
        <f t="shared" si="200"/>
        <v>70.489999999999782</v>
      </c>
      <c r="U984" s="18">
        <f t="shared" si="208"/>
        <v>120.96489235674136</v>
      </c>
      <c r="V984" s="33">
        <f ca="1">AVERAGE(E984:OFFSET(E984,-V$5+1,0))</f>
        <v>4552.8107142857143</v>
      </c>
      <c r="W984" s="33">
        <f t="shared" ca="1" si="201"/>
        <v>4734.2580528208264</v>
      </c>
      <c r="X984" s="33">
        <f t="shared" ca="1" si="202"/>
        <v>4371.3633757506022</v>
      </c>
      <c r="Y984" s="32">
        <f t="shared" ca="1" si="209"/>
        <v>0</v>
      </c>
    </row>
    <row r="985" spans="1:25">
      <c r="A985" s="5">
        <v>39811</v>
      </c>
      <c r="B985" s="4">
        <v>4429.3500000000004</v>
      </c>
      <c r="C985" s="4">
        <v>4429.3500000000004</v>
      </c>
      <c r="D985" s="4">
        <v>4381.49</v>
      </c>
      <c r="E985" s="4">
        <v>4416.16</v>
      </c>
      <c r="F985" s="4">
        <v>1828000</v>
      </c>
      <c r="G985" s="8">
        <f t="shared" si="211"/>
        <v>4.2700000000004366</v>
      </c>
      <c r="H985" s="8">
        <f t="shared" si="210"/>
        <v>-13.190000000000509</v>
      </c>
      <c r="I985" s="20">
        <f t="shared" ca="1" si="203"/>
        <v>0</v>
      </c>
      <c r="J985" s="8">
        <f t="shared" ca="1" si="204"/>
        <v>-1</v>
      </c>
      <c r="K985" s="8">
        <f t="shared" ca="1" si="205"/>
        <v>8.9200000000000728</v>
      </c>
      <c r="L985" s="8">
        <f t="shared" ca="1" si="206"/>
        <v>11403.660000000002</v>
      </c>
      <c r="M985" s="9">
        <f ca="1">AVERAGE(E985:OFFSET(E985,-M$5+1,0))</f>
        <v>4527.3419999999996</v>
      </c>
      <c r="N985" s="9">
        <f ca="1">AVERAGE(E985:OFFSET(E985,-N$5+1,0))</f>
        <v>4485.9054999999998</v>
      </c>
      <c r="O985" s="9">
        <f t="shared" ca="1" si="207"/>
        <v>0</v>
      </c>
      <c r="P985" s="14">
        <f t="shared" si="212"/>
        <v>-0.20178171900198136</v>
      </c>
      <c r="Q985" s="15">
        <f ca="1">STDEV(P985:OFFSET(P985,-$Q$5+1,0))</f>
        <v>1.4958641603045273</v>
      </c>
      <c r="R985" s="15">
        <f ca="1">STDEV(P985:OFFSET(P985,-$R$5+1,0))</f>
        <v>2.3359768955832854</v>
      </c>
      <c r="S985" s="18">
        <f t="shared" si="199"/>
        <v>47.860000000000582</v>
      </c>
      <c r="T985" s="18">
        <f t="shared" si="200"/>
        <v>47.860000000000582</v>
      </c>
      <c r="U985" s="18">
        <f t="shared" si="208"/>
        <v>111.21757337584259</v>
      </c>
      <c r="V985" s="33">
        <f ca="1">AVERAGE(E985:OFFSET(E985,-V$5+1,0))</f>
        <v>4548.7750000000005</v>
      </c>
      <c r="W985" s="33">
        <f t="shared" ca="1" si="201"/>
        <v>4715.6013600637643</v>
      </c>
      <c r="X985" s="33">
        <f t="shared" ca="1" si="202"/>
        <v>4381.9486399362368</v>
      </c>
      <c r="Y985" s="32">
        <f t="shared" ca="1" si="209"/>
        <v>0</v>
      </c>
    </row>
    <row r="986" spans="1:25">
      <c r="A986" s="5">
        <v>39812</v>
      </c>
      <c r="B986" s="4">
        <v>4463.3</v>
      </c>
      <c r="C986" s="4">
        <v>4602.21</v>
      </c>
      <c r="D986" s="4">
        <v>4463.3</v>
      </c>
      <c r="E986" s="4">
        <v>4589.04</v>
      </c>
      <c r="F986" s="4">
        <v>3194800</v>
      </c>
      <c r="G986" s="8">
        <f t="shared" si="211"/>
        <v>47.140000000000327</v>
      </c>
      <c r="H986" s="8">
        <f t="shared" si="210"/>
        <v>125.73999999999978</v>
      </c>
      <c r="I986" s="20">
        <f t="shared" ca="1" si="203"/>
        <v>0</v>
      </c>
      <c r="J986" s="8">
        <f t="shared" ca="1" si="204"/>
        <v>-1</v>
      </c>
      <c r="K986" s="8">
        <f t="shared" ca="1" si="205"/>
        <v>-172.88000000000011</v>
      </c>
      <c r="L986" s="8">
        <f t="shared" ca="1" si="206"/>
        <v>11230.780000000002</v>
      </c>
      <c r="M986" s="9">
        <f ca="1">AVERAGE(E986:OFFSET(E986,-M$5+1,0))</f>
        <v>4524.5569999999998</v>
      </c>
      <c r="N986" s="9">
        <f ca="1">AVERAGE(E986:OFFSET(E986,-N$5+1,0))</f>
        <v>4497.5084999999999</v>
      </c>
      <c r="O986" s="9">
        <f t="shared" ca="1" si="207"/>
        <v>0</v>
      </c>
      <c r="P986" s="14">
        <f t="shared" si="212"/>
        <v>3.8400311668183398</v>
      </c>
      <c r="Q986" s="15">
        <f ca="1">STDEV(P986:OFFSET(P986,-$Q$5+1,0))</f>
        <v>2.0209536183405636</v>
      </c>
      <c r="R986" s="15">
        <f ca="1">STDEV(P986:OFFSET(P986,-$R$5+1,0))</f>
        <v>2.4262199202675676</v>
      </c>
      <c r="S986" s="18">
        <f t="shared" si="199"/>
        <v>138.90999999999985</v>
      </c>
      <c r="T986" s="18">
        <f t="shared" si="200"/>
        <v>186.05000000000018</v>
      </c>
      <c r="U986" s="18">
        <f t="shared" si="208"/>
        <v>121.19523025906361</v>
      </c>
      <c r="V986" s="33">
        <f ca="1">AVERAGE(E986:OFFSET(E986,-V$5+1,0))</f>
        <v>4543.7871428571434</v>
      </c>
      <c r="W986" s="33">
        <f t="shared" ca="1" si="201"/>
        <v>4725.5799882457386</v>
      </c>
      <c r="X986" s="33">
        <f t="shared" ca="1" si="202"/>
        <v>4361.9942974685482</v>
      </c>
      <c r="Y986" s="32">
        <f t="shared" ca="1" si="209"/>
        <v>0</v>
      </c>
    </row>
    <row r="987" spans="1:25">
      <c r="A987" s="5">
        <v>39813</v>
      </c>
      <c r="B987" s="4">
        <v>4627.9799999999996</v>
      </c>
      <c r="C987" s="4">
        <v>4627.9799999999996</v>
      </c>
      <c r="D987" s="4">
        <v>4537.5200000000004</v>
      </c>
      <c r="E987" s="4">
        <v>4591.22</v>
      </c>
      <c r="F987" s="4">
        <v>3320800</v>
      </c>
      <c r="G987" s="8">
        <f t="shared" si="211"/>
        <v>38.9399999999996</v>
      </c>
      <c r="H987" s="8">
        <f t="shared" si="210"/>
        <v>-36.759999999999309</v>
      </c>
      <c r="I987" s="20">
        <f t="shared" ca="1" si="203"/>
        <v>0</v>
      </c>
      <c r="J987" s="8">
        <f t="shared" ca="1" si="204"/>
        <v>-1</v>
      </c>
      <c r="K987" s="8">
        <f t="shared" ca="1" si="205"/>
        <v>-2.180000000000291</v>
      </c>
      <c r="L987" s="8">
        <f t="shared" ca="1" si="206"/>
        <v>11228.600000000002</v>
      </c>
      <c r="M987" s="9">
        <f ca="1">AVERAGE(E987:OFFSET(E987,-M$5+1,0))</f>
        <v>4518.8770000000013</v>
      </c>
      <c r="N987" s="9">
        <f ca="1">AVERAGE(E987:OFFSET(E987,-N$5+1,0))</f>
        <v>4511.7065000000002</v>
      </c>
      <c r="O987" s="9">
        <f t="shared" ca="1" si="207"/>
        <v>0</v>
      </c>
      <c r="P987" s="14">
        <f t="shared" si="212"/>
        <v>4.7493209146076978E-2</v>
      </c>
      <c r="Q987" s="15">
        <f ca="1">STDEV(P987:OFFSET(P987,-$Q$5+1,0))</f>
        <v>2.0053921938771637</v>
      </c>
      <c r="R987" s="15">
        <f ca="1">STDEV(P987:OFFSET(P987,-$R$5+1,0))</f>
        <v>2.4265256081116884</v>
      </c>
      <c r="S987" s="18">
        <f t="shared" si="199"/>
        <v>90.459999999999127</v>
      </c>
      <c r="T987" s="18">
        <f t="shared" si="200"/>
        <v>90.459999999999127</v>
      </c>
      <c r="U987" s="18">
        <f t="shared" si="208"/>
        <v>117.09719955785502</v>
      </c>
      <c r="V987" s="33">
        <f ca="1">AVERAGE(E987:OFFSET(E987,-V$5+1,0))</f>
        <v>4539.1907142857144</v>
      </c>
      <c r="W987" s="33">
        <f t="shared" ca="1" si="201"/>
        <v>4714.8365136224966</v>
      </c>
      <c r="X987" s="33">
        <f t="shared" ca="1" si="202"/>
        <v>4363.5449149489323</v>
      </c>
      <c r="Y987" s="32">
        <f t="shared" ca="1" si="209"/>
        <v>0</v>
      </c>
    </row>
    <row r="988" spans="1:25">
      <c r="A988" s="5">
        <v>39818</v>
      </c>
      <c r="B988" s="4">
        <v>4725.26</v>
      </c>
      <c r="C988" s="4">
        <v>4778.5200000000004</v>
      </c>
      <c r="D988" s="4">
        <v>4687.57</v>
      </c>
      <c r="E988" s="4">
        <v>4698.3100000000004</v>
      </c>
      <c r="F988" s="4">
        <v>3626800</v>
      </c>
      <c r="G988" s="8">
        <f t="shared" si="211"/>
        <v>134.03999999999996</v>
      </c>
      <c r="H988" s="8">
        <f t="shared" si="210"/>
        <v>-26.949999999999818</v>
      </c>
      <c r="I988" s="20">
        <f t="shared" ca="1" si="203"/>
        <v>0</v>
      </c>
      <c r="J988" s="8">
        <f t="shared" ca="1" si="204"/>
        <v>-1</v>
      </c>
      <c r="K988" s="8">
        <f t="shared" ca="1" si="205"/>
        <v>-107.09000000000015</v>
      </c>
      <c r="L988" s="8">
        <f t="shared" ca="1" si="206"/>
        <v>11121.510000000002</v>
      </c>
      <c r="M988" s="9">
        <f ca="1">AVERAGE(E988:OFFSET(E988,-M$5+1,0))</f>
        <v>4519.2269999999999</v>
      </c>
      <c r="N988" s="9">
        <f ca="1">AVERAGE(E988:OFFSET(E988,-N$5+1,0))</f>
        <v>4533.8740000000007</v>
      </c>
      <c r="O988" s="9">
        <f t="shared" ca="1" si="207"/>
        <v>-1</v>
      </c>
      <c r="P988" s="14">
        <f t="shared" si="212"/>
        <v>2.3057085623390314</v>
      </c>
      <c r="Q988" s="15">
        <f ca="1">STDEV(P988:OFFSET(P988,-$Q$5+1,0))</f>
        <v>2.1254550027563854</v>
      </c>
      <c r="R988" s="15">
        <f ca="1">STDEV(P988:OFFSET(P988,-$R$5+1,0))</f>
        <v>2.276118334946267</v>
      </c>
      <c r="S988" s="18">
        <f t="shared" si="199"/>
        <v>90.950000000000728</v>
      </c>
      <c r="T988" s="18">
        <f t="shared" si="200"/>
        <v>187.30000000000018</v>
      </c>
      <c r="U988" s="18">
        <f t="shared" si="208"/>
        <v>126.45757295014104</v>
      </c>
      <c r="V988" s="33">
        <f ca="1">AVERAGE(E988:OFFSET(E988,-V$5+1,0))</f>
        <v>4554.693571428571</v>
      </c>
      <c r="W988" s="33">
        <f t="shared" ca="1" si="201"/>
        <v>4744.3799308537828</v>
      </c>
      <c r="X988" s="33">
        <f t="shared" ca="1" si="202"/>
        <v>4365.0072120033592</v>
      </c>
      <c r="Y988" s="32">
        <f t="shared" ca="1" si="209"/>
        <v>0</v>
      </c>
    </row>
    <row r="989" spans="1:25">
      <c r="A989" s="5">
        <v>39819</v>
      </c>
      <c r="B989" s="4">
        <v>4719.54</v>
      </c>
      <c r="C989" s="4">
        <v>4754.88</v>
      </c>
      <c r="D989" s="4">
        <v>4679.43</v>
      </c>
      <c r="E989" s="4">
        <v>4727.26</v>
      </c>
      <c r="F989" s="4">
        <v>4336400</v>
      </c>
      <c r="G989" s="8">
        <f t="shared" si="211"/>
        <v>21.229999999999563</v>
      </c>
      <c r="H989" s="8">
        <f t="shared" si="210"/>
        <v>7.7200000000002547</v>
      </c>
      <c r="I989" s="20">
        <f t="shared" ca="1" si="203"/>
        <v>0</v>
      </c>
      <c r="J989" s="8">
        <f t="shared" ca="1" si="204"/>
        <v>-1</v>
      </c>
      <c r="K989" s="8">
        <f t="shared" ca="1" si="205"/>
        <v>-28.949999999999818</v>
      </c>
      <c r="L989" s="8">
        <f t="shared" ca="1" si="206"/>
        <v>11092.560000000001</v>
      </c>
      <c r="M989" s="9">
        <f ca="1">AVERAGE(E989:OFFSET(E989,-M$5+1,0))</f>
        <v>4522.5009999999993</v>
      </c>
      <c r="N989" s="9">
        <f ca="1">AVERAGE(E989:OFFSET(E989,-N$5+1,0))</f>
        <v>4558.9835000000003</v>
      </c>
      <c r="O989" s="9">
        <f t="shared" ca="1" si="207"/>
        <v>0</v>
      </c>
      <c r="P989" s="14">
        <f t="shared" si="212"/>
        <v>0.6142883886212589</v>
      </c>
      <c r="Q989" s="15">
        <f ca="1">STDEV(P989:OFFSET(P989,-$Q$5+1,0))</f>
        <v>2.1340518915133719</v>
      </c>
      <c r="R989" s="15">
        <f ca="1">STDEV(P989:OFFSET(P989,-$R$5+1,0))</f>
        <v>2.2723467548490865</v>
      </c>
      <c r="S989" s="18">
        <f t="shared" si="199"/>
        <v>75.449999999999818</v>
      </c>
      <c r="T989" s="18">
        <f t="shared" si="200"/>
        <v>75.449999999999818</v>
      </c>
      <c r="U989" s="18">
        <f t="shared" si="208"/>
        <v>119.65656322345555</v>
      </c>
      <c r="V989" s="33">
        <f ca="1">AVERAGE(E989:OFFSET(E989,-V$5+1,0))</f>
        <v>4562.8035714285716</v>
      </c>
      <c r="W989" s="33">
        <f t="shared" ca="1" si="201"/>
        <v>4742.2884162637547</v>
      </c>
      <c r="X989" s="33">
        <f t="shared" ca="1" si="202"/>
        <v>4383.3187265933884</v>
      </c>
      <c r="Y989" s="32">
        <f t="shared" ca="1" si="209"/>
        <v>0</v>
      </c>
    </row>
    <row r="990" spans="1:25">
      <c r="A990" s="5">
        <v>39820</v>
      </c>
      <c r="B990" s="4">
        <v>4780.4399999999996</v>
      </c>
      <c r="C990" s="4">
        <v>4817.4399999999996</v>
      </c>
      <c r="D990" s="4">
        <v>4752.91</v>
      </c>
      <c r="E990" s="4">
        <v>4789.84</v>
      </c>
      <c r="F990" s="4">
        <v>4666800</v>
      </c>
      <c r="G990" s="8">
        <f t="shared" si="211"/>
        <v>53.179999999999382</v>
      </c>
      <c r="H990" s="8">
        <f t="shared" si="210"/>
        <v>9.4000000000005457</v>
      </c>
      <c r="I990" s="20">
        <f t="shared" ca="1" si="203"/>
        <v>1</v>
      </c>
      <c r="J990" s="8">
        <f t="shared" ca="1" si="204"/>
        <v>-1</v>
      </c>
      <c r="K990" s="8">
        <f t="shared" ca="1" si="205"/>
        <v>-62.579999999999927</v>
      </c>
      <c r="L990" s="8">
        <f t="shared" ca="1" si="206"/>
        <v>11029.980000000001</v>
      </c>
      <c r="M990" s="9">
        <f ca="1">AVERAGE(E990:OFFSET(E990,-M$5+1,0))</f>
        <v>4547.9310000000014</v>
      </c>
      <c r="N990" s="9">
        <f ca="1">AVERAGE(E990:OFFSET(E990,-N$5+1,0))</f>
        <v>4577.5589999999993</v>
      </c>
      <c r="O990" s="9">
        <f t="shared" ca="1" si="207"/>
        <v>0</v>
      </c>
      <c r="P990" s="14">
        <f t="shared" si="212"/>
        <v>1.3151254470437828</v>
      </c>
      <c r="Q990" s="15">
        <f ca="1">STDEV(P990:OFFSET(P990,-$Q$5+1,0))</f>
        <v>1.7613198412974698</v>
      </c>
      <c r="R990" s="15">
        <f ca="1">STDEV(P990:OFFSET(P990,-$R$5+1,0))</f>
        <v>2.2819356148119421</v>
      </c>
      <c r="S990" s="18">
        <f t="shared" si="199"/>
        <v>64.529999999999745</v>
      </c>
      <c r="T990" s="18">
        <f t="shared" si="200"/>
        <v>90.179999999999382</v>
      </c>
      <c r="U990" s="18">
        <f t="shared" si="208"/>
        <v>115.7263547936614</v>
      </c>
      <c r="V990" s="33">
        <f ca="1">AVERAGE(E990:OFFSET(E990,-V$5+1,0))</f>
        <v>4575.1571428571424</v>
      </c>
      <c r="W990" s="33">
        <f t="shared" ca="1" si="201"/>
        <v>4748.7466750476342</v>
      </c>
      <c r="X990" s="33">
        <f t="shared" ca="1" si="202"/>
        <v>4401.5676106666506</v>
      </c>
      <c r="Y990" s="32">
        <f t="shared" ca="1" si="209"/>
        <v>1</v>
      </c>
    </row>
    <row r="991" spans="1:25">
      <c r="A991" s="5">
        <v>39821</v>
      </c>
      <c r="B991" s="4">
        <v>4670.62</v>
      </c>
      <c r="C991" s="4">
        <v>4687.3999999999996</v>
      </c>
      <c r="D991" s="4">
        <v>4532.74</v>
      </c>
      <c r="E991" s="4">
        <v>4535.79</v>
      </c>
      <c r="F991" s="4">
        <v>3958600</v>
      </c>
      <c r="G991" s="8">
        <f t="shared" si="211"/>
        <v>-119.22000000000025</v>
      </c>
      <c r="H991" s="8">
        <f t="shared" si="210"/>
        <v>-134.82999999999993</v>
      </c>
      <c r="I991" s="20">
        <f t="shared" ca="1" si="203"/>
        <v>0</v>
      </c>
      <c r="J991" s="8">
        <f t="shared" ca="1" si="204"/>
        <v>0</v>
      </c>
      <c r="K991" s="8">
        <f t="shared" ca="1" si="205"/>
        <v>119.22000000000025</v>
      </c>
      <c r="L991" s="8">
        <f t="shared" ca="1" si="206"/>
        <v>11149.2</v>
      </c>
      <c r="M991" s="9">
        <f ca="1">AVERAGE(E991:OFFSET(E991,-M$5+1,0))</f>
        <v>4560.924</v>
      </c>
      <c r="N991" s="9">
        <f ca="1">AVERAGE(E991:OFFSET(E991,-N$5+1,0))</f>
        <v>4580.7154999999993</v>
      </c>
      <c r="O991" s="9">
        <f t="shared" ca="1" si="207"/>
        <v>0</v>
      </c>
      <c r="P991" s="14">
        <f t="shared" si="212"/>
        <v>-5.4497738884730067</v>
      </c>
      <c r="Q991" s="15">
        <f ca="1">STDEV(P991:OFFSET(P991,-$Q$5+1,0))</f>
        <v>2.3883174020317686</v>
      </c>
      <c r="R991" s="15">
        <f ca="1">STDEV(P991:OFFSET(P991,-$R$5+1,0))</f>
        <v>2.4177753625854259</v>
      </c>
      <c r="S991" s="18">
        <f t="shared" si="199"/>
        <v>154.65999999999985</v>
      </c>
      <c r="T991" s="18">
        <f t="shared" si="200"/>
        <v>257.10000000000036</v>
      </c>
      <c r="U991" s="18">
        <f t="shared" si="208"/>
        <v>134.57617415450659</v>
      </c>
      <c r="V991" s="33">
        <f ca="1">AVERAGE(E991:OFFSET(E991,-V$5+1,0))</f>
        <v>4567.1407142857151</v>
      </c>
      <c r="W991" s="33">
        <f t="shared" ca="1" si="201"/>
        <v>4769.004975517475</v>
      </c>
      <c r="X991" s="33">
        <f t="shared" ca="1" si="202"/>
        <v>4365.2764530539553</v>
      </c>
      <c r="Y991" s="32">
        <f t="shared" ca="1" si="209"/>
        <v>0</v>
      </c>
    </row>
    <row r="992" spans="1:25">
      <c r="A992" s="5">
        <v>39822</v>
      </c>
      <c r="B992" s="4">
        <v>4515.1000000000004</v>
      </c>
      <c r="C992" s="4">
        <v>4546.71</v>
      </c>
      <c r="D992" s="4">
        <v>4472.45</v>
      </c>
      <c r="E992" s="4">
        <v>4502.74</v>
      </c>
      <c r="F992" s="4">
        <v>3040600</v>
      </c>
      <c r="G992" s="8">
        <f t="shared" si="211"/>
        <v>-20.6899999999996</v>
      </c>
      <c r="H992" s="8">
        <f t="shared" si="210"/>
        <v>-12.360000000000582</v>
      </c>
      <c r="I992" s="20">
        <f t="shared" ca="1" si="203"/>
        <v>0</v>
      </c>
      <c r="J992" s="8">
        <f t="shared" ca="1" si="204"/>
        <v>0</v>
      </c>
      <c r="K992" s="8">
        <f t="shared" ca="1" si="205"/>
        <v>0</v>
      </c>
      <c r="L992" s="8">
        <f t="shared" ca="1" si="206"/>
        <v>11149.2</v>
      </c>
      <c r="M992" s="9">
        <f ca="1">AVERAGE(E992:OFFSET(E992,-M$5+1,0))</f>
        <v>4568.8890000000001</v>
      </c>
      <c r="N992" s="9">
        <f ca="1">AVERAGE(E992:OFFSET(E992,-N$5+1,0))</f>
        <v>4572.9089999999997</v>
      </c>
      <c r="O992" s="9">
        <f t="shared" ca="1" si="207"/>
        <v>0</v>
      </c>
      <c r="P992" s="14">
        <f t="shared" si="212"/>
        <v>-0.73131686899113746</v>
      </c>
      <c r="Q992" s="15">
        <f ca="1">STDEV(P992:OFFSET(P992,-$Q$5+1,0))</f>
        <v>2.4093612269758551</v>
      </c>
      <c r="R992" s="15">
        <f ca="1">STDEV(P992:OFFSET(P992,-$R$5+1,0))</f>
        <v>2.4191543111686342</v>
      </c>
      <c r="S992" s="18">
        <f t="shared" si="199"/>
        <v>74.260000000000218</v>
      </c>
      <c r="T992" s="18">
        <f t="shared" si="200"/>
        <v>74.260000000000218</v>
      </c>
      <c r="U992" s="18">
        <f t="shared" si="208"/>
        <v>126.53401760057241</v>
      </c>
      <c r="V992" s="33">
        <f ca="1">AVERAGE(E992:OFFSET(E992,-V$5+1,0))</f>
        <v>4553.4214285714279</v>
      </c>
      <c r="W992" s="33">
        <f t="shared" ca="1" si="201"/>
        <v>4743.2224549722869</v>
      </c>
      <c r="X992" s="33">
        <f t="shared" ca="1" si="202"/>
        <v>4363.6204021705689</v>
      </c>
      <c r="Y992" s="32">
        <f t="shared" ca="1" si="209"/>
        <v>0</v>
      </c>
    </row>
    <row r="993" spans="1:25">
      <c r="A993" s="5">
        <v>39825</v>
      </c>
      <c r="B993" s="4">
        <v>4487.68</v>
      </c>
      <c r="C993" s="4">
        <v>4523.01</v>
      </c>
      <c r="D993" s="4">
        <v>4431.04</v>
      </c>
      <c r="E993" s="4">
        <v>4453.8999999999996</v>
      </c>
      <c r="F993" s="4">
        <v>3008000</v>
      </c>
      <c r="G993" s="8">
        <f t="shared" si="211"/>
        <v>-15.059999999999491</v>
      </c>
      <c r="H993" s="8">
        <f t="shared" si="210"/>
        <v>-33.780000000000655</v>
      </c>
      <c r="I993" s="20">
        <f t="shared" ca="1" si="203"/>
        <v>0</v>
      </c>
      <c r="J993" s="8">
        <f t="shared" ca="1" si="204"/>
        <v>0</v>
      </c>
      <c r="K993" s="8">
        <f t="shared" ca="1" si="205"/>
        <v>0</v>
      </c>
      <c r="L993" s="8">
        <f t="shared" ca="1" si="206"/>
        <v>11149.2</v>
      </c>
      <c r="M993" s="9">
        <f ca="1">AVERAGE(E993:OFFSET(E993,-M$5+1,0))</f>
        <v>4572.9339999999993</v>
      </c>
      <c r="N993" s="9">
        <f ca="1">AVERAGE(E993:OFFSET(E993,-N$5+1,0))</f>
        <v>4562.8254999999999</v>
      </c>
      <c r="O993" s="9">
        <f t="shared" ca="1" si="207"/>
        <v>1</v>
      </c>
      <c r="P993" s="14">
        <f t="shared" si="212"/>
        <v>-1.09059835131879</v>
      </c>
      <c r="Q993" s="15">
        <f ca="1">STDEV(P993:OFFSET(P993,-$Q$5+1,0))</f>
        <v>2.4409081215818094</v>
      </c>
      <c r="R993" s="15">
        <f ca="1">STDEV(P993:OFFSET(P993,-$R$5+1,0))</f>
        <v>2.3433378157559708</v>
      </c>
      <c r="S993" s="18">
        <f t="shared" si="199"/>
        <v>91.970000000000255</v>
      </c>
      <c r="T993" s="18">
        <f t="shared" si="200"/>
        <v>91.970000000000255</v>
      </c>
      <c r="U993" s="18">
        <f t="shared" si="208"/>
        <v>121.92548192049613</v>
      </c>
      <c r="V993" s="33">
        <f ca="1">AVERAGE(E993:OFFSET(E993,-V$5+1,0))</f>
        <v>4536.2342857142849</v>
      </c>
      <c r="W993" s="33">
        <f t="shared" ca="1" si="201"/>
        <v>4719.1225085950291</v>
      </c>
      <c r="X993" s="33">
        <f t="shared" ca="1" si="202"/>
        <v>4353.3460628335406</v>
      </c>
      <c r="Y993" s="32">
        <f t="shared" ca="1" si="209"/>
        <v>0</v>
      </c>
    </row>
    <row r="994" spans="1:25">
      <c r="A994" s="5">
        <v>39826</v>
      </c>
      <c r="B994" s="4">
        <v>4442.38</v>
      </c>
      <c r="C994" s="4">
        <v>4532.3599999999997</v>
      </c>
      <c r="D994" s="4">
        <v>4423.1400000000003</v>
      </c>
      <c r="E994" s="4">
        <v>4532.3599999999997</v>
      </c>
      <c r="F994" s="4">
        <v>2691200</v>
      </c>
      <c r="G994" s="8">
        <f t="shared" si="211"/>
        <v>-11.519999999999527</v>
      </c>
      <c r="H994" s="8">
        <f t="shared" si="210"/>
        <v>89.979999999999563</v>
      </c>
      <c r="I994" s="20">
        <f t="shared" ca="1" si="203"/>
        <v>0</v>
      </c>
      <c r="J994" s="8">
        <f t="shared" ca="1" si="204"/>
        <v>0</v>
      </c>
      <c r="K994" s="8">
        <f t="shared" ca="1" si="205"/>
        <v>0</v>
      </c>
      <c r="L994" s="8">
        <f t="shared" ca="1" si="206"/>
        <v>11149.2</v>
      </c>
      <c r="M994" s="9">
        <f ca="1">AVERAGE(E994:OFFSET(E994,-M$5+1,0))</f>
        <v>4583.6620000000012</v>
      </c>
      <c r="N994" s="9">
        <f ca="1">AVERAGE(E994:OFFSET(E994,-N$5+1,0))</f>
        <v>4565.3799999999992</v>
      </c>
      <c r="O994" s="9">
        <f t="shared" ca="1" si="207"/>
        <v>0</v>
      </c>
      <c r="P994" s="14">
        <f t="shared" si="212"/>
        <v>1.746265828458696</v>
      </c>
      <c r="Q994" s="15">
        <f ca="1">STDEV(P994:OFFSET(P994,-$Q$5+1,0))</f>
        <v>2.4969292862723296</v>
      </c>
      <c r="R994" s="15">
        <f ca="1">STDEV(P994:OFFSET(P994,-$R$5+1,0))</f>
        <v>2.3589450975494071</v>
      </c>
      <c r="S994" s="18">
        <f t="shared" si="199"/>
        <v>109.21999999999935</v>
      </c>
      <c r="T994" s="18">
        <f t="shared" si="200"/>
        <v>109.21999999999935</v>
      </c>
      <c r="U994" s="18">
        <f t="shared" si="208"/>
        <v>120.2314176644299</v>
      </c>
      <c r="V994" s="33">
        <f ca="1">AVERAGE(E994:OFFSET(E994,-V$5+1,0))</f>
        <v>4536.0071428571437</v>
      </c>
      <c r="W994" s="33">
        <f t="shared" ca="1" si="201"/>
        <v>4716.3542693537884</v>
      </c>
      <c r="X994" s="33">
        <f t="shared" ca="1" si="202"/>
        <v>4355.660016360499</v>
      </c>
      <c r="Y994" s="32">
        <f t="shared" ca="1" si="209"/>
        <v>0</v>
      </c>
    </row>
    <row r="995" spans="1:25">
      <c r="A995" s="5">
        <v>39827</v>
      </c>
      <c r="B995" s="4">
        <v>4538.25</v>
      </c>
      <c r="C995" s="4">
        <v>4579.24</v>
      </c>
      <c r="D995" s="4">
        <v>4521.47</v>
      </c>
      <c r="E995" s="4">
        <v>4521.47</v>
      </c>
      <c r="F995" s="4">
        <v>3055800</v>
      </c>
      <c r="G995" s="8">
        <f t="shared" si="211"/>
        <v>5.8900000000003274</v>
      </c>
      <c r="H995" s="8">
        <f t="shared" si="210"/>
        <v>-16.779999999999745</v>
      </c>
      <c r="I995" s="20">
        <f t="shared" ca="1" si="203"/>
        <v>0</v>
      </c>
      <c r="J995" s="8">
        <f t="shared" ca="1" si="204"/>
        <v>0</v>
      </c>
      <c r="K995" s="8">
        <f t="shared" ca="1" si="205"/>
        <v>0</v>
      </c>
      <c r="L995" s="8">
        <f t="shared" ca="1" si="206"/>
        <v>11149.2</v>
      </c>
      <c r="M995" s="9">
        <f ca="1">AVERAGE(E995:OFFSET(E995,-M$5+1,0))</f>
        <v>4594.1930000000011</v>
      </c>
      <c r="N995" s="9">
        <f ca="1">AVERAGE(E995:OFFSET(E995,-N$5+1,0))</f>
        <v>4560.7674999999999</v>
      </c>
      <c r="O995" s="9">
        <f t="shared" ca="1" si="207"/>
        <v>0</v>
      </c>
      <c r="P995" s="14">
        <f t="shared" si="212"/>
        <v>-0.24056129288218409</v>
      </c>
      <c r="Q995" s="15">
        <f ca="1">STDEV(P995:OFFSET(P995,-$Q$5+1,0))</f>
        <v>2.4977208516750227</v>
      </c>
      <c r="R995" s="15">
        <f ca="1">STDEV(P995:OFFSET(P995,-$R$5+1,0))</f>
        <v>2.3587778967855999</v>
      </c>
      <c r="S995" s="18">
        <f t="shared" si="199"/>
        <v>57.769999999999527</v>
      </c>
      <c r="T995" s="18">
        <f t="shared" si="200"/>
        <v>57.769999999999527</v>
      </c>
      <c r="U995" s="18">
        <f t="shared" si="208"/>
        <v>111.90322864250585</v>
      </c>
      <c r="V995" s="33">
        <f ca="1">AVERAGE(E995:OFFSET(E995,-V$5+1,0))</f>
        <v>4544.2650000000003</v>
      </c>
      <c r="W995" s="33">
        <f t="shared" ca="1" si="201"/>
        <v>4712.1198429637589</v>
      </c>
      <c r="X995" s="33">
        <f t="shared" ca="1" si="202"/>
        <v>4376.4101570362418</v>
      </c>
      <c r="Y995" s="32">
        <f t="shared" ca="1" si="209"/>
        <v>0</v>
      </c>
    </row>
    <row r="996" spans="1:25">
      <c r="A996" s="5">
        <v>39828</v>
      </c>
      <c r="B996" s="4">
        <v>4350.49</v>
      </c>
      <c r="C996" s="4">
        <v>4351.47</v>
      </c>
      <c r="D996" s="4">
        <v>4315.62</v>
      </c>
      <c r="E996" s="4">
        <v>4320.7700000000004</v>
      </c>
      <c r="F996" s="4">
        <v>2904600</v>
      </c>
      <c r="G996" s="8">
        <f t="shared" si="211"/>
        <v>-170.98000000000047</v>
      </c>
      <c r="H996" s="8">
        <f t="shared" si="210"/>
        <v>-29.719999999999345</v>
      </c>
      <c r="I996" s="20">
        <f t="shared" ca="1" si="203"/>
        <v>-1</v>
      </c>
      <c r="J996" s="8">
        <f t="shared" ca="1" si="204"/>
        <v>0</v>
      </c>
      <c r="K996" s="8">
        <f t="shared" ca="1" si="205"/>
        <v>0</v>
      </c>
      <c r="L996" s="8">
        <f t="shared" ca="1" si="206"/>
        <v>11149.2</v>
      </c>
      <c r="M996" s="9">
        <f ca="1">AVERAGE(E996:OFFSET(E996,-M$5+1,0))</f>
        <v>4567.366</v>
      </c>
      <c r="N996" s="9">
        <f ca="1">AVERAGE(E996:OFFSET(E996,-N$5+1,0))</f>
        <v>4545.9614999999994</v>
      </c>
      <c r="O996" s="9">
        <f t="shared" ca="1" si="207"/>
        <v>0</v>
      </c>
      <c r="P996" s="14">
        <f t="shared" si="212"/>
        <v>-4.5403535096347785</v>
      </c>
      <c r="Q996" s="15">
        <f ca="1">STDEV(P996:OFFSET(P996,-$Q$5+1,0))</f>
        <v>2.5591517286611021</v>
      </c>
      <c r="R996" s="15">
        <f ca="1">STDEV(P996:OFFSET(P996,-$R$5+1,0))</f>
        <v>2.4189615515127683</v>
      </c>
      <c r="S996" s="18">
        <f t="shared" si="199"/>
        <v>35.850000000000364</v>
      </c>
      <c r="T996" s="18">
        <f t="shared" si="200"/>
        <v>205.85000000000036</v>
      </c>
      <c r="U996" s="18">
        <f t="shared" si="208"/>
        <v>124.42946482350513</v>
      </c>
      <c r="V996" s="33">
        <f ca="1">AVERAGE(E996:OFFSET(E996,-V$5+1,0))</f>
        <v>4536.9564285714287</v>
      </c>
      <c r="W996" s="33">
        <f t="shared" ca="1" si="201"/>
        <v>4723.6006258066864</v>
      </c>
      <c r="X996" s="33">
        <f t="shared" ca="1" si="202"/>
        <v>4350.312231336171</v>
      </c>
      <c r="Y996" s="32">
        <f t="shared" ca="1" si="209"/>
        <v>-1</v>
      </c>
    </row>
    <row r="997" spans="1:25">
      <c r="A997" s="5">
        <v>39829</v>
      </c>
      <c r="B997" s="4">
        <v>4374.78</v>
      </c>
      <c r="C997" s="4">
        <v>4382.43</v>
      </c>
      <c r="D997" s="4">
        <v>4313.1899999999996</v>
      </c>
      <c r="E997" s="4">
        <v>4353.7</v>
      </c>
      <c r="F997" s="4">
        <v>2642200</v>
      </c>
      <c r="G997" s="8">
        <f t="shared" si="211"/>
        <v>54.009999999999309</v>
      </c>
      <c r="H997" s="8">
        <f t="shared" si="210"/>
        <v>-21.079999999999927</v>
      </c>
      <c r="I997" s="20">
        <f t="shared" ca="1" si="203"/>
        <v>0</v>
      </c>
      <c r="J997" s="8">
        <f t="shared" ca="1" si="204"/>
        <v>-1</v>
      </c>
      <c r="K997" s="8">
        <f t="shared" ca="1" si="205"/>
        <v>21.079999999999927</v>
      </c>
      <c r="L997" s="8">
        <f t="shared" ca="1" si="206"/>
        <v>11170.28</v>
      </c>
      <c r="M997" s="9">
        <f ca="1">AVERAGE(E997:OFFSET(E997,-M$5+1,0))</f>
        <v>4543.6139999999996</v>
      </c>
      <c r="N997" s="9">
        <f ca="1">AVERAGE(E997:OFFSET(E997,-N$5+1,0))</f>
        <v>4531.2455</v>
      </c>
      <c r="O997" s="9">
        <f t="shared" ca="1" si="207"/>
        <v>0</v>
      </c>
      <c r="P997" s="14">
        <f t="shared" si="212"/>
        <v>0.75924311657922139</v>
      </c>
      <c r="Q997" s="15">
        <f ca="1">STDEV(P997:OFFSET(P997,-$Q$5+1,0))</f>
        <v>2.5889579763071988</v>
      </c>
      <c r="R997" s="15">
        <f ca="1">STDEV(P997:OFFSET(P997,-$R$5+1,0))</f>
        <v>2.420411260106035</v>
      </c>
      <c r="S997" s="18">
        <f t="shared" si="199"/>
        <v>69.240000000000691</v>
      </c>
      <c r="T997" s="18">
        <f t="shared" si="200"/>
        <v>69.240000000000691</v>
      </c>
      <c r="U997" s="18">
        <f t="shared" si="208"/>
        <v>117.07086951370454</v>
      </c>
      <c r="V997" s="33">
        <f ca="1">AVERAGE(E997:OFFSET(E997,-V$5+1,0))</f>
        <v>4532.6885714285718</v>
      </c>
      <c r="W997" s="33">
        <f t="shared" ca="1" si="201"/>
        <v>4708.2948756991282</v>
      </c>
      <c r="X997" s="33">
        <f t="shared" ca="1" si="202"/>
        <v>4357.0822671580154</v>
      </c>
      <c r="Y997" s="32">
        <f t="shared" ca="1" si="209"/>
        <v>0</v>
      </c>
    </row>
    <row r="998" spans="1:25">
      <c r="A998" s="5">
        <v>39832</v>
      </c>
      <c r="B998" s="4">
        <v>4389.08</v>
      </c>
      <c r="C998" s="4">
        <v>4398.53</v>
      </c>
      <c r="D998" s="4">
        <v>4366.1899999999996</v>
      </c>
      <c r="E998" s="4">
        <v>4366.76</v>
      </c>
      <c r="F998" s="4">
        <v>2035000</v>
      </c>
      <c r="G998" s="8">
        <f t="shared" si="211"/>
        <v>35.380000000000109</v>
      </c>
      <c r="H998" s="8">
        <f t="shared" si="210"/>
        <v>-22.319999999999709</v>
      </c>
      <c r="I998" s="20">
        <f t="shared" ca="1" si="203"/>
        <v>0</v>
      </c>
      <c r="J998" s="8">
        <f t="shared" ca="1" si="204"/>
        <v>-1</v>
      </c>
      <c r="K998" s="8">
        <f t="shared" ca="1" si="205"/>
        <v>-13.0600000000004</v>
      </c>
      <c r="L998" s="8">
        <f t="shared" ca="1" si="206"/>
        <v>11157.220000000001</v>
      </c>
      <c r="M998" s="9">
        <f ca="1">AVERAGE(E998:OFFSET(E998,-M$5+1,0))</f>
        <v>4510.4590000000007</v>
      </c>
      <c r="N998" s="9">
        <f ca="1">AVERAGE(E998:OFFSET(E998,-N$5+1,0))</f>
        <v>4514.8429999999989</v>
      </c>
      <c r="O998" s="9">
        <f t="shared" ca="1" si="207"/>
        <v>-1</v>
      </c>
      <c r="P998" s="14">
        <f t="shared" si="212"/>
        <v>0.29952570768174952</v>
      </c>
      <c r="Q998" s="15">
        <f ca="1">STDEV(P998:OFFSET(P998,-$Q$5+1,0))</f>
        <v>2.4166993027699504</v>
      </c>
      <c r="R998" s="15">
        <f ca="1">STDEV(P998:OFFSET(P998,-$R$5+1,0))</f>
        <v>2.2985403527951642</v>
      </c>
      <c r="S998" s="18">
        <f t="shared" si="199"/>
        <v>32.340000000000146</v>
      </c>
      <c r="T998" s="18">
        <f t="shared" si="200"/>
        <v>44.829999999999927</v>
      </c>
      <c r="U998" s="18">
        <f t="shared" si="208"/>
        <v>107.43875357854392</v>
      </c>
      <c r="V998" s="33">
        <f ca="1">AVERAGE(E998:OFFSET(E998,-V$5+1,0))</f>
        <v>4528.5228571428579</v>
      </c>
      <c r="W998" s="33">
        <f t="shared" ca="1" si="201"/>
        <v>4689.6809875106737</v>
      </c>
      <c r="X998" s="33">
        <f t="shared" ca="1" si="202"/>
        <v>4367.3647267750421</v>
      </c>
      <c r="Y998" s="32">
        <f t="shared" ca="1" si="209"/>
        <v>0</v>
      </c>
    </row>
    <row r="999" spans="1:25">
      <c r="A999" s="5">
        <v>39833</v>
      </c>
      <c r="B999" s="4">
        <v>4304.3500000000004</v>
      </c>
      <c r="C999" s="4">
        <v>4304.3500000000004</v>
      </c>
      <c r="D999" s="4">
        <v>4242.6099999999997</v>
      </c>
      <c r="E999" s="4">
        <v>4242.6099999999997</v>
      </c>
      <c r="F999" s="4">
        <v>2569600</v>
      </c>
      <c r="G999" s="8">
        <f t="shared" si="211"/>
        <v>-62.409999999999854</v>
      </c>
      <c r="H999" s="8">
        <f t="shared" si="210"/>
        <v>-61.740000000000691</v>
      </c>
      <c r="I999" s="20">
        <f t="shared" ca="1" si="203"/>
        <v>0</v>
      </c>
      <c r="J999" s="8">
        <f t="shared" ca="1" si="204"/>
        <v>-1</v>
      </c>
      <c r="K999" s="8">
        <f t="shared" ca="1" si="205"/>
        <v>124.15000000000055</v>
      </c>
      <c r="L999" s="8">
        <f t="shared" ca="1" si="206"/>
        <v>11281.370000000003</v>
      </c>
      <c r="M999" s="9">
        <f ca="1">AVERAGE(E999:OFFSET(E999,-M$5+1,0))</f>
        <v>4461.9940000000006</v>
      </c>
      <c r="N999" s="9">
        <f ca="1">AVERAGE(E999:OFFSET(E999,-N$5+1,0))</f>
        <v>4492.2474999999995</v>
      </c>
      <c r="O999" s="9">
        <f t="shared" ca="1" si="207"/>
        <v>0</v>
      </c>
      <c r="P999" s="14">
        <f t="shared" si="212"/>
        <v>-2.8842669457832812</v>
      </c>
      <c r="Q999" s="15">
        <f ca="1">STDEV(P999:OFFSET(P999,-$Q$5+1,0))</f>
        <v>2.4531381713331251</v>
      </c>
      <c r="R999" s="15">
        <f ca="1">STDEV(P999:OFFSET(P999,-$R$5+1,0))</f>
        <v>2.3287794798663097</v>
      </c>
      <c r="S999" s="18">
        <f t="shared" si="199"/>
        <v>61.740000000000691</v>
      </c>
      <c r="T999" s="18">
        <f t="shared" si="200"/>
        <v>124.15000000000055</v>
      </c>
      <c r="U999" s="18">
        <f t="shared" si="208"/>
        <v>109.66691976807147</v>
      </c>
      <c r="V999" s="33">
        <f ca="1">AVERAGE(E999:OFFSET(E999,-V$5+1,0))</f>
        <v>4516.1264285714296</v>
      </c>
      <c r="W999" s="33">
        <f t="shared" ca="1" si="201"/>
        <v>4680.6268082235365</v>
      </c>
      <c r="X999" s="33">
        <f t="shared" ca="1" si="202"/>
        <v>4351.6260489193228</v>
      </c>
      <c r="Y999" s="32">
        <f t="shared" ca="1" si="209"/>
        <v>0</v>
      </c>
    </row>
    <row r="1000" spans="1:25">
      <c r="A1000" s="5">
        <v>39834</v>
      </c>
      <c r="B1000" s="4">
        <v>4164.68</v>
      </c>
      <c r="C1000" s="4">
        <v>4265.33</v>
      </c>
      <c r="D1000" s="4">
        <v>4164.1899999999996</v>
      </c>
      <c r="E1000" s="4">
        <v>4247.97</v>
      </c>
      <c r="F1000" s="4">
        <v>2581800</v>
      </c>
      <c r="G1000" s="8">
        <f t="shared" si="211"/>
        <v>-77.929999999999382</v>
      </c>
      <c r="H1000" s="8">
        <f t="shared" si="210"/>
        <v>83.289999999999964</v>
      </c>
      <c r="I1000" s="20">
        <f t="shared" ca="1" si="203"/>
        <v>0</v>
      </c>
      <c r="J1000" s="8">
        <f t="shared" ca="1" si="204"/>
        <v>-1</v>
      </c>
      <c r="K1000" s="8">
        <f t="shared" ca="1" si="205"/>
        <v>-5.3600000000005821</v>
      </c>
      <c r="L1000" s="8">
        <f t="shared" ca="1" si="206"/>
        <v>11276.010000000002</v>
      </c>
      <c r="M1000" s="9">
        <f ca="1">AVERAGE(E1000:OFFSET(E1000,-M$5+1,0))</f>
        <v>4407.8069999999998</v>
      </c>
      <c r="N1000" s="9">
        <f ca="1">AVERAGE(E1000:OFFSET(E1000,-N$5+1,0))</f>
        <v>4477.8690000000006</v>
      </c>
      <c r="O1000" s="9">
        <f t="shared" ca="1" si="207"/>
        <v>0</v>
      </c>
      <c r="P1000" s="14">
        <f t="shared" si="212"/>
        <v>0.12625758692647429</v>
      </c>
      <c r="Q1000" s="15">
        <f ca="1">STDEV(P1000:OFFSET(P1000,-$Q$5+1,0))</f>
        <v>2.3507469118574145</v>
      </c>
      <c r="R1000" s="15">
        <f ca="1">STDEV(P1000:OFFSET(P1000,-$R$5+1,0))</f>
        <v>2.3283158983766374</v>
      </c>
      <c r="S1000" s="18">
        <f t="shared" si="199"/>
        <v>101.14000000000033</v>
      </c>
      <c r="T1000" s="18">
        <f t="shared" si="200"/>
        <v>101.14000000000033</v>
      </c>
      <c r="U1000" s="18">
        <f t="shared" si="208"/>
        <v>108.52999713232865</v>
      </c>
      <c r="V1000" s="33">
        <f ca="1">AVERAGE(E1000:OFFSET(E1000,-V$5+1,0))</f>
        <v>4491.7642857142864</v>
      </c>
      <c r="W1000" s="33">
        <f t="shared" ca="1" si="201"/>
        <v>4654.5592814127795</v>
      </c>
      <c r="X1000" s="33">
        <f t="shared" ca="1" si="202"/>
        <v>4328.9692900157934</v>
      </c>
      <c r="Y1000" s="32">
        <f t="shared" ca="1" si="209"/>
        <v>0</v>
      </c>
    </row>
    <row r="1001" spans="1:25">
      <c r="A1001" s="5">
        <v>39846</v>
      </c>
      <c r="B1001" s="4">
        <v>4277.1000000000004</v>
      </c>
      <c r="C1001" s="4">
        <v>4285.12</v>
      </c>
      <c r="D1001" s="4">
        <v>4240.08</v>
      </c>
      <c r="E1001" s="4">
        <v>4259.9799999999996</v>
      </c>
      <c r="F1001" s="4">
        <v>2399800</v>
      </c>
      <c r="G1001" s="8">
        <f t="shared" si="211"/>
        <v>29.130000000000109</v>
      </c>
      <c r="H1001" s="8">
        <f t="shared" si="210"/>
        <v>-17.1200000000008</v>
      </c>
      <c r="I1001" s="20">
        <f t="shared" ca="1" si="203"/>
        <v>0</v>
      </c>
      <c r="J1001" s="8">
        <f t="shared" ca="1" si="204"/>
        <v>-1</v>
      </c>
      <c r="K1001" s="8">
        <f t="shared" ca="1" si="205"/>
        <v>-12.009999999999309</v>
      </c>
      <c r="L1001" s="8">
        <f t="shared" ca="1" si="206"/>
        <v>11264.000000000004</v>
      </c>
      <c r="M1001" s="9">
        <f ca="1">AVERAGE(E1001:OFFSET(E1001,-M$5+1,0))</f>
        <v>4380.2260000000006</v>
      </c>
      <c r="N1001" s="9">
        <f ca="1">AVERAGE(E1001:OFFSET(E1001,-N$5+1,0))</f>
        <v>4470.5749999999989</v>
      </c>
      <c r="O1001" s="9">
        <f t="shared" ca="1" si="207"/>
        <v>0</v>
      </c>
      <c r="P1001" s="14">
        <f t="shared" si="212"/>
        <v>0.28232436667693478</v>
      </c>
      <c r="Q1001" s="15">
        <f ca="1">STDEV(P1001:OFFSET(P1001,-$Q$5+1,0))</f>
        <v>1.8436529925771417</v>
      </c>
      <c r="R1001" s="15">
        <f ca="1">STDEV(P1001:OFFSET(P1001,-$R$5+1,0))</f>
        <v>2.2942786833110449</v>
      </c>
      <c r="S1001" s="18">
        <f t="shared" si="199"/>
        <v>45.039999999999964</v>
      </c>
      <c r="T1001" s="18">
        <f t="shared" si="200"/>
        <v>45.039999999999964</v>
      </c>
      <c r="U1001" s="18">
        <f t="shared" si="208"/>
        <v>100.06466418135149</v>
      </c>
      <c r="V1001" s="33">
        <f ca="1">AVERAGE(E1001:OFFSET(E1001,-V$5+1,0))</f>
        <v>4468.1042857142866</v>
      </c>
      <c r="W1001" s="33">
        <f t="shared" ca="1" si="201"/>
        <v>4618.2012819863139</v>
      </c>
      <c r="X1001" s="33">
        <f t="shared" ca="1" si="202"/>
        <v>4318.0072894422592</v>
      </c>
      <c r="Y1001" s="32">
        <f t="shared" ca="1" si="209"/>
        <v>0</v>
      </c>
    </row>
    <row r="1002" spans="1:25">
      <c r="A1002" s="5">
        <v>39847</v>
      </c>
      <c r="B1002" s="4">
        <v>4300.5600000000004</v>
      </c>
      <c r="C1002" s="4">
        <v>4389.87</v>
      </c>
      <c r="D1002" s="4">
        <v>4295.26</v>
      </c>
      <c r="E1002" s="4">
        <v>4372.8100000000004</v>
      </c>
      <c r="F1002" s="4">
        <v>2919000</v>
      </c>
      <c r="G1002" s="8">
        <f t="shared" si="211"/>
        <v>40.580000000000837</v>
      </c>
      <c r="H1002" s="8">
        <f t="shared" si="210"/>
        <v>72.25</v>
      </c>
      <c r="I1002" s="20">
        <f t="shared" ca="1" si="203"/>
        <v>0</v>
      </c>
      <c r="J1002" s="8">
        <f t="shared" ca="1" si="204"/>
        <v>-1</v>
      </c>
      <c r="K1002" s="8">
        <f t="shared" ca="1" si="205"/>
        <v>-112.83000000000084</v>
      </c>
      <c r="L1002" s="8">
        <f t="shared" ca="1" si="206"/>
        <v>11151.170000000002</v>
      </c>
      <c r="M1002" s="9">
        <f ca="1">AVERAGE(E1002:OFFSET(E1002,-M$5+1,0))</f>
        <v>4367.2330000000002</v>
      </c>
      <c r="N1002" s="9">
        <f ca="1">AVERAGE(E1002:OFFSET(E1002,-N$5+1,0))</f>
        <v>4468.0609999999997</v>
      </c>
      <c r="O1002" s="9">
        <f t="shared" ca="1" si="207"/>
        <v>0</v>
      </c>
      <c r="P1002" s="14">
        <f t="shared" si="212"/>
        <v>2.6141357618726073</v>
      </c>
      <c r="Q1002" s="15">
        <f ca="1">STDEV(P1002:OFFSET(P1002,-$Q$5+1,0))</f>
        <v>2.1073603704365929</v>
      </c>
      <c r="R1002" s="15">
        <f ca="1">STDEV(P1002:OFFSET(P1002,-$R$5+1,0))</f>
        <v>2.3313204412001243</v>
      </c>
      <c r="S1002" s="18">
        <f t="shared" si="199"/>
        <v>94.609999999999673</v>
      </c>
      <c r="T1002" s="18">
        <f t="shared" si="200"/>
        <v>129.89000000000033</v>
      </c>
      <c r="U1002" s="18">
        <f t="shared" si="208"/>
        <v>104.04137562383801</v>
      </c>
      <c r="V1002" s="33">
        <f ca="1">AVERAGE(E1002:OFFSET(E1002,-V$5+1,0))</f>
        <v>4444.8542857142866</v>
      </c>
      <c r="W1002" s="33">
        <f t="shared" ca="1" si="201"/>
        <v>4600.916349150044</v>
      </c>
      <c r="X1002" s="33">
        <f t="shared" ca="1" si="202"/>
        <v>4288.7922222785292</v>
      </c>
      <c r="Y1002" s="32">
        <f t="shared" ca="1" si="209"/>
        <v>0</v>
      </c>
    </row>
    <row r="1003" spans="1:25">
      <c r="A1003" s="5">
        <v>39848</v>
      </c>
      <c r="B1003" s="4">
        <v>4422.5600000000004</v>
      </c>
      <c r="C1003" s="4">
        <v>4422.5600000000004</v>
      </c>
      <c r="D1003" s="4">
        <v>4366.41</v>
      </c>
      <c r="E1003" s="4">
        <v>4389.97</v>
      </c>
      <c r="F1003" s="4">
        <v>3048800</v>
      </c>
      <c r="G1003" s="8">
        <f t="shared" si="211"/>
        <v>49.75</v>
      </c>
      <c r="H1003" s="8">
        <f t="shared" si="210"/>
        <v>-32.590000000000146</v>
      </c>
      <c r="I1003" s="20">
        <f t="shared" ca="1" si="203"/>
        <v>0</v>
      </c>
      <c r="J1003" s="8">
        <f t="shared" ca="1" si="204"/>
        <v>-1</v>
      </c>
      <c r="K1003" s="8">
        <f t="shared" ca="1" si="205"/>
        <v>-17.159999999999854</v>
      </c>
      <c r="L1003" s="8">
        <f t="shared" ca="1" si="206"/>
        <v>11134.010000000002</v>
      </c>
      <c r="M1003" s="9">
        <f ca="1">AVERAGE(E1003:OFFSET(E1003,-M$5+1,0))</f>
        <v>4360.8399999999992</v>
      </c>
      <c r="N1003" s="9">
        <f ca="1">AVERAGE(E1003:OFFSET(E1003,-N$5+1,0))</f>
        <v>4466.8869999999997</v>
      </c>
      <c r="O1003" s="9">
        <f t="shared" ca="1" si="207"/>
        <v>0</v>
      </c>
      <c r="P1003" s="14">
        <f t="shared" si="212"/>
        <v>0.39165702974425337</v>
      </c>
      <c r="Q1003" s="15">
        <f ca="1">STDEV(P1003:OFFSET(P1003,-$Q$5+1,0))</f>
        <v>2.097114655735894</v>
      </c>
      <c r="R1003" s="15">
        <f ca="1">STDEV(P1003:OFFSET(P1003,-$R$5+1,0))</f>
        <v>2.2349603846063752</v>
      </c>
      <c r="S1003" s="18">
        <f t="shared" si="199"/>
        <v>56.150000000000546</v>
      </c>
      <c r="T1003" s="18">
        <f t="shared" si="200"/>
        <v>56.150000000000546</v>
      </c>
      <c r="U1003" s="18">
        <f t="shared" si="208"/>
        <v>97.655858873993012</v>
      </c>
      <c r="V1003" s="33">
        <f ca="1">AVERAGE(E1003:OFFSET(E1003,-V$5+1,0))</f>
        <v>4420.7621428571429</v>
      </c>
      <c r="W1003" s="33">
        <f t="shared" ca="1" si="201"/>
        <v>4567.2459311681323</v>
      </c>
      <c r="X1003" s="33">
        <f t="shared" ca="1" si="202"/>
        <v>4274.2783545461534</v>
      </c>
      <c r="Y1003" s="32">
        <f t="shared" ca="1" si="209"/>
        <v>0</v>
      </c>
    </row>
    <row r="1004" spans="1:25">
      <c r="A1004" s="5">
        <v>39849</v>
      </c>
      <c r="B1004" s="4">
        <v>4380.8</v>
      </c>
      <c r="C1004" s="4">
        <v>4422.41</v>
      </c>
      <c r="D1004" s="4">
        <v>4363.25</v>
      </c>
      <c r="E1004" s="4">
        <v>4363.25</v>
      </c>
      <c r="F1004" s="4">
        <v>2846200</v>
      </c>
      <c r="G1004" s="8">
        <f t="shared" si="211"/>
        <v>-9.1700000000000728</v>
      </c>
      <c r="H1004" s="8">
        <f t="shared" si="210"/>
        <v>-17.550000000000182</v>
      </c>
      <c r="I1004" s="20">
        <f t="shared" ca="1" si="203"/>
        <v>0</v>
      </c>
      <c r="J1004" s="8">
        <f t="shared" ca="1" si="204"/>
        <v>-1</v>
      </c>
      <c r="K1004" s="8">
        <f t="shared" ca="1" si="205"/>
        <v>26.720000000000255</v>
      </c>
      <c r="L1004" s="8">
        <f t="shared" ca="1" si="206"/>
        <v>11160.730000000003</v>
      </c>
      <c r="M1004" s="9">
        <f ca="1">AVERAGE(E1004:OFFSET(E1004,-M$5+1,0))</f>
        <v>4343.929000000001</v>
      </c>
      <c r="N1004" s="9">
        <f ca="1">AVERAGE(E1004:OFFSET(E1004,-N$5+1,0))</f>
        <v>4463.7955000000002</v>
      </c>
      <c r="O1004" s="9">
        <f t="shared" ca="1" si="207"/>
        <v>0</v>
      </c>
      <c r="P1004" s="14">
        <f t="shared" si="212"/>
        <v>-0.6105200827937115</v>
      </c>
      <c r="Q1004" s="15">
        <f ca="1">STDEV(P1004:OFFSET(P1004,-$Q$5+1,0))</f>
        <v>1.9907391195004021</v>
      </c>
      <c r="R1004" s="15">
        <f ca="1">STDEV(P1004:OFFSET(P1004,-$R$5+1,0))</f>
        <v>2.2365684202725609</v>
      </c>
      <c r="S1004" s="18">
        <f t="shared" si="199"/>
        <v>59.159999999999854</v>
      </c>
      <c r="T1004" s="18">
        <f t="shared" si="200"/>
        <v>59.159999999999854</v>
      </c>
      <c r="U1004" s="18">
        <f t="shared" si="208"/>
        <v>92.523077690793926</v>
      </c>
      <c r="V1004" s="33">
        <f ca="1">AVERAGE(E1004:OFFSET(E1004,-V$5+1,0))</f>
        <v>4390.2914285714287</v>
      </c>
      <c r="W1004" s="33">
        <f t="shared" ca="1" si="201"/>
        <v>4529.0760451076194</v>
      </c>
      <c r="X1004" s="33">
        <f t="shared" ca="1" si="202"/>
        <v>4251.506812035238</v>
      </c>
      <c r="Y1004" s="32">
        <f t="shared" ca="1" si="209"/>
        <v>0</v>
      </c>
    </row>
    <row r="1005" spans="1:25">
      <c r="A1005" s="5">
        <v>39850</v>
      </c>
      <c r="B1005" s="4">
        <v>4438.3</v>
      </c>
      <c r="C1005" s="4">
        <v>4507.3</v>
      </c>
      <c r="D1005" s="4">
        <v>4432.16</v>
      </c>
      <c r="E1005" s="4">
        <v>4471.25</v>
      </c>
      <c r="F1005" s="4">
        <v>3491000</v>
      </c>
      <c r="G1005" s="8">
        <f t="shared" si="211"/>
        <v>75.050000000000182</v>
      </c>
      <c r="H1005" s="8">
        <f t="shared" si="210"/>
        <v>32.949999999999818</v>
      </c>
      <c r="I1005" s="20">
        <f t="shared" ca="1" si="203"/>
        <v>0</v>
      </c>
      <c r="J1005" s="8">
        <f t="shared" ca="1" si="204"/>
        <v>-1</v>
      </c>
      <c r="K1005" s="8">
        <f t="shared" ca="1" si="205"/>
        <v>-108</v>
      </c>
      <c r="L1005" s="8">
        <f t="shared" ca="1" si="206"/>
        <v>11052.730000000003</v>
      </c>
      <c r="M1005" s="9">
        <f ca="1">AVERAGE(E1005:OFFSET(E1005,-M$5+1,0))</f>
        <v>4338.9070000000002</v>
      </c>
      <c r="N1005" s="9">
        <f ca="1">AVERAGE(E1005:OFFSET(E1005,-N$5+1,0))</f>
        <v>4466.55</v>
      </c>
      <c r="O1005" s="9">
        <f t="shared" ca="1" si="207"/>
        <v>0</v>
      </c>
      <c r="P1005" s="14">
        <f t="shared" si="212"/>
        <v>2.44508190682815</v>
      </c>
      <c r="Q1005" s="15">
        <f ca="1">STDEV(P1005:OFFSET(P1005,-$Q$5+1,0))</f>
        <v>2.1835020540507304</v>
      </c>
      <c r="R1005" s="15">
        <f ca="1">STDEV(P1005:OFFSET(P1005,-$R$5+1,0))</f>
        <v>2.2616875481364773</v>
      </c>
      <c r="S1005" s="18">
        <f t="shared" si="199"/>
        <v>75.140000000000327</v>
      </c>
      <c r="T1005" s="18">
        <f t="shared" si="200"/>
        <v>144.05000000000018</v>
      </c>
      <c r="U1005" s="18">
        <f t="shared" si="208"/>
        <v>99.393333998688092</v>
      </c>
      <c r="V1005" s="33">
        <f ca="1">AVERAGE(E1005:OFFSET(E1005,-V$5+1,0))</f>
        <v>4385.681428571429</v>
      </c>
      <c r="W1005" s="33">
        <f t="shared" ca="1" si="201"/>
        <v>4534.7714295694614</v>
      </c>
      <c r="X1005" s="33">
        <f t="shared" ca="1" si="202"/>
        <v>4236.5914275733967</v>
      </c>
      <c r="Y1005" s="32">
        <f t="shared" ca="1" si="209"/>
        <v>0</v>
      </c>
    </row>
    <row r="1006" spans="1:25">
      <c r="A1006" s="5">
        <v>39853</v>
      </c>
      <c r="B1006" s="4">
        <v>4562.68</v>
      </c>
      <c r="C1006" s="4">
        <v>4574.74</v>
      </c>
      <c r="D1006" s="4">
        <v>4494.59</v>
      </c>
      <c r="E1006" s="4">
        <v>4494.59</v>
      </c>
      <c r="F1006" s="4">
        <v>3619200</v>
      </c>
      <c r="G1006" s="8">
        <f t="shared" si="211"/>
        <v>91.430000000000291</v>
      </c>
      <c r="H1006" s="8">
        <f t="shared" si="210"/>
        <v>-68.090000000000146</v>
      </c>
      <c r="I1006" s="20">
        <f t="shared" ca="1" si="203"/>
        <v>0</v>
      </c>
      <c r="J1006" s="8">
        <f t="shared" ca="1" si="204"/>
        <v>-1</v>
      </c>
      <c r="K1006" s="8">
        <f t="shared" ca="1" si="205"/>
        <v>-23.340000000000146</v>
      </c>
      <c r="L1006" s="8">
        <f t="shared" ca="1" si="206"/>
        <v>11029.390000000003</v>
      </c>
      <c r="M1006" s="9">
        <f ca="1">AVERAGE(E1006:OFFSET(E1006,-M$5+1,0))</f>
        <v>4356.2889999999998</v>
      </c>
      <c r="N1006" s="9">
        <f ca="1">AVERAGE(E1006:OFFSET(E1006,-N$5+1,0))</f>
        <v>4461.8275000000003</v>
      </c>
      <c r="O1006" s="9">
        <f t="shared" ca="1" si="207"/>
        <v>0</v>
      </c>
      <c r="P1006" s="14">
        <f t="shared" si="212"/>
        <v>0.52064397140968721</v>
      </c>
      <c r="Q1006" s="15">
        <f ca="1">STDEV(P1006:OFFSET(P1006,-$Q$5+1,0))</f>
        <v>1.5324114056522558</v>
      </c>
      <c r="R1006" s="15">
        <f ca="1">STDEV(P1006:OFFSET(P1006,-$R$5+1,0))</f>
        <v>2.1856870133421435</v>
      </c>
      <c r="S1006" s="18">
        <f t="shared" si="199"/>
        <v>80.149999999999636</v>
      </c>
      <c r="T1006" s="18">
        <f t="shared" si="200"/>
        <v>103.48999999999978</v>
      </c>
      <c r="U1006" s="18">
        <f t="shared" si="208"/>
        <v>99.939556132196316</v>
      </c>
      <c r="V1006" s="33">
        <f ca="1">AVERAGE(E1006:OFFSET(E1006,-V$5+1,0))</f>
        <v>4385.0992857142855</v>
      </c>
      <c r="W1006" s="33">
        <f t="shared" ca="1" si="201"/>
        <v>4535.0086199125799</v>
      </c>
      <c r="X1006" s="33">
        <f t="shared" ca="1" si="202"/>
        <v>4235.1899515159912</v>
      </c>
      <c r="Y1006" s="32">
        <f t="shared" ca="1" si="209"/>
        <v>0</v>
      </c>
    </row>
    <row r="1007" spans="1:25">
      <c r="A1007" s="5">
        <v>39854</v>
      </c>
      <c r="B1007" s="4">
        <v>4524.05</v>
      </c>
      <c r="C1007" s="4">
        <v>4533.95</v>
      </c>
      <c r="D1007" s="4">
        <v>4491.84</v>
      </c>
      <c r="E1007" s="4">
        <v>4526.1000000000004</v>
      </c>
      <c r="F1007" s="4">
        <v>2979600</v>
      </c>
      <c r="G1007" s="8">
        <f t="shared" si="211"/>
        <v>29.460000000000036</v>
      </c>
      <c r="H1007" s="8">
        <f t="shared" si="210"/>
        <v>2.0500000000001819</v>
      </c>
      <c r="I1007" s="20">
        <f t="shared" ca="1" si="203"/>
        <v>0</v>
      </c>
      <c r="J1007" s="8">
        <f t="shared" ca="1" si="204"/>
        <v>-1</v>
      </c>
      <c r="K1007" s="8">
        <f t="shared" ca="1" si="205"/>
        <v>-31.510000000000218</v>
      </c>
      <c r="L1007" s="8">
        <f t="shared" ca="1" si="206"/>
        <v>10997.880000000003</v>
      </c>
      <c r="M1007" s="9">
        <f ca="1">AVERAGE(E1007:OFFSET(E1007,-M$5+1,0))</f>
        <v>4373.5290000000005</v>
      </c>
      <c r="N1007" s="9">
        <f ca="1">AVERAGE(E1007:OFFSET(E1007,-N$5+1,0))</f>
        <v>4458.5715</v>
      </c>
      <c r="O1007" s="9">
        <f t="shared" ca="1" si="207"/>
        <v>0</v>
      </c>
      <c r="P1007" s="14">
        <f t="shared" si="212"/>
        <v>0.69861902268140696</v>
      </c>
      <c r="Q1007" s="15">
        <f ca="1">STDEV(P1007:OFFSET(P1007,-$Q$5+1,0))</f>
        <v>1.5309269026328518</v>
      </c>
      <c r="R1007" s="15">
        <f ca="1">STDEV(P1007:OFFSET(P1007,-$R$5+1,0))</f>
        <v>2.1786281592322334</v>
      </c>
      <c r="S1007" s="18">
        <f t="shared" si="199"/>
        <v>42.109999999999673</v>
      </c>
      <c r="T1007" s="18">
        <f t="shared" si="200"/>
        <v>42.109999999999673</v>
      </c>
      <c r="U1007" s="18">
        <f t="shared" si="208"/>
        <v>92.228948647903437</v>
      </c>
      <c r="V1007" s="33">
        <f ca="1">AVERAGE(E1007:OFFSET(E1007,-V$5+1,0))</f>
        <v>4390.2564285714279</v>
      </c>
      <c r="W1007" s="33">
        <f t="shared" ca="1" si="201"/>
        <v>4528.599851543283</v>
      </c>
      <c r="X1007" s="33">
        <f t="shared" ca="1" si="202"/>
        <v>4251.9130055995729</v>
      </c>
      <c r="Y1007" s="32">
        <f t="shared" ca="1" si="209"/>
        <v>0</v>
      </c>
    </row>
    <row r="1008" spans="1:25">
      <c r="A1008" s="5">
        <v>39855</v>
      </c>
      <c r="B1008" s="4">
        <v>4448.24</v>
      </c>
      <c r="C1008" s="4">
        <v>4575.95</v>
      </c>
      <c r="D1008" s="4">
        <v>4448.24</v>
      </c>
      <c r="E1008" s="4">
        <v>4575.95</v>
      </c>
      <c r="F1008" s="4">
        <v>3746400</v>
      </c>
      <c r="G1008" s="8">
        <f t="shared" si="211"/>
        <v>-77.860000000000582</v>
      </c>
      <c r="H1008" s="8">
        <f t="shared" si="210"/>
        <v>127.71000000000004</v>
      </c>
      <c r="I1008" s="20">
        <f t="shared" ca="1" si="203"/>
        <v>1</v>
      </c>
      <c r="J1008" s="8">
        <f t="shared" ca="1" si="204"/>
        <v>-1</v>
      </c>
      <c r="K1008" s="8">
        <f t="shared" ca="1" si="205"/>
        <v>-49.849999999999454</v>
      </c>
      <c r="L1008" s="8">
        <f t="shared" ca="1" si="206"/>
        <v>10948.030000000002</v>
      </c>
      <c r="M1008" s="9">
        <f ca="1">AVERAGE(E1008:OFFSET(E1008,-M$5+1,0))</f>
        <v>4394.4479999999994</v>
      </c>
      <c r="N1008" s="9">
        <f ca="1">AVERAGE(E1008:OFFSET(E1008,-N$5+1,0))</f>
        <v>4452.4535000000005</v>
      </c>
      <c r="O1008" s="9">
        <f t="shared" ca="1" si="207"/>
        <v>0</v>
      </c>
      <c r="P1008" s="14">
        <f t="shared" si="212"/>
        <v>1.0953685912373314</v>
      </c>
      <c r="Q1008" s="15">
        <f ca="1">STDEV(P1008:OFFSET(P1008,-$Q$5+1,0))</f>
        <v>1.5464040800111254</v>
      </c>
      <c r="R1008" s="15">
        <f ca="1">STDEV(P1008:OFFSET(P1008,-$R$5+1,0))</f>
        <v>2.1727297152859308</v>
      </c>
      <c r="S1008" s="18">
        <f t="shared" si="199"/>
        <v>127.71000000000004</v>
      </c>
      <c r="T1008" s="18">
        <f t="shared" si="200"/>
        <v>127.71000000000004</v>
      </c>
      <c r="U1008" s="18">
        <f t="shared" si="208"/>
        <v>96.959755494849659</v>
      </c>
      <c r="V1008" s="33">
        <f ca="1">AVERAGE(E1008:OFFSET(E1008,-V$5+1,0))</f>
        <v>4393.37</v>
      </c>
      <c r="W1008" s="33">
        <f t="shared" ca="1" si="201"/>
        <v>4538.8096332422747</v>
      </c>
      <c r="X1008" s="33">
        <f t="shared" ca="1" si="202"/>
        <v>4247.9303667577251</v>
      </c>
      <c r="Y1008" s="32">
        <f t="shared" ca="1" si="209"/>
        <v>1</v>
      </c>
    </row>
    <row r="1009" spans="1:25">
      <c r="A1009" s="5">
        <v>39856</v>
      </c>
      <c r="B1009" s="4">
        <v>4581.3</v>
      </c>
      <c r="C1009" s="4">
        <v>4594.75</v>
      </c>
      <c r="D1009" s="4">
        <v>4466.42</v>
      </c>
      <c r="E1009" s="4">
        <v>4466.42</v>
      </c>
      <c r="F1009" s="4">
        <v>3957400</v>
      </c>
      <c r="G1009" s="8">
        <f t="shared" si="211"/>
        <v>5.3500000000003638</v>
      </c>
      <c r="H1009" s="8">
        <f t="shared" si="210"/>
        <v>-114.88000000000011</v>
      </c>
      <c r="I1009" s="20">
        <f t="shared" ca="1" si="203"/>
        <v>0</v>
      </c>
      <c r="J1009" s="8">
        <f t="shared" ca="1" si="204"/>
        <v>0</v>
      </c>
      <c r="K1009" s="8">
        <f t="shared" ca="1" si="205"/>
        <v>-5.3500000000003638</v>
      </c>
      <c r="L1009" s="8">
        <f t="shared" ca="1" si="206"/>
        <v>10942.680000000002</v>
      </c>
      <c r="M1009" s="9">
        <f ca="1">AVERAGE(E1009:OFFSET(E1009,-M$5+1,0))</f>
        <v>4416.8289999999997</v>
      </c>
      <c r="N1009" s="9">
        <f ca="1">AVERAGE(E1009:OFFSET(E1009,-N$5+1,0))</f>
        <v>4439.4115000000002</v>
      </c>
      <c r="O1009" s="9">
        <f t="shared" ca="1" si="207"/>
        <v>0</v>
      </c>
      <c r="P1009" s="14">
        <f t="shared" si="212"/>
        <v>-2.4227134561110413</v>
      </c>
      <c r="Q1009" s="15">
        <f ca="1">STDEV(P1009:OFFSET(P1009,-$Q$5+1,0))</f>
        <v>1.4383471285992087</v>
      </c>
      <c r="R1009" s="15">
        <f ca="1">STDEV(P1009:OFFSET(P1009,-$R$5+1,0))</f>
        <v>2.2074053147759627</v>
      </c>
      <c r="S1009" s="18">
        <f t="shared" si="199"/>
        <v>128.32999999999993</v>
      </c>
      <c r="T1009" s="18">
        <f t="shared" si="200"/>
        <v>128.32999999999993</v>
      </c>
      <c r="U1009" s="18">
        <f t="shared" si="208"/>
        <v>101.14245476220303</v>
      </c>
      <c r="V1009" s="33">
        <f ca="1">AVERAGE(E1009:OFFSET(E1009,-V$5+1,0))</f>
        <v>4389.437857142857</v>
      </c>
      <c r="W1009" s="33">
        <f t="shared" ca="1" si="201"/>
        <v>4541.1515392861611</v>
      </c>
      <c r="X1009" s="33">
        <f t="shared" ca="1" si="202"/>
        <v>4237.7241749995528</v>
      </c>
      <c r="Y1009" s="32">
        <f t="shared" ca="1" si="209"/>
        <v>0</v>
      </c>
    </row>
    <row r="1010" spans="1:25">
      <c r="A1010" s="5">
        <v>39857</v>
      </c>
      <c r="B1010" s="4">
        <v>4504.71</v>
      </c>
      <c r="C1010" s="4">
        <v>4599.6099999999997</v>
      </c>
      <c r="D1010" s="4">
        <v>4504.71</v>
      </c>
      <c r="E1010" s="4">
        <v>4592.5</v>
      </c>
      <c r="F1010" s="4">
        <v>3611600</v>
      </c>
      <c r="G1010" s="8">
        <f t="shared" si="211"/>
        <v>38.289999999999964</v>
      </c>
      <c r="H1010" s="8">
        <f t="shared" si="210"/>
        <v>87.789999999999964</v>
      </c>
      <c r="I1010" s="20">
        <f t="shared" ca="1" si="203"/>
        <v>1</v>
      </c>
      <c r="J1010" s="8">
        <f t="shared" ca="1" si="204"/>
        <v>0</v>
      </c>
      <c r="K1010" s="8">
        <f t="shared" ca="1" si="205"/>
        <v>0</v>
      </c>
      <c r="L1010" s="8">
        <f t="shared" ca="1" si="206"/>
        <v>10942.680000000002</v>
      </c>
      <c r="M1010" s="9">
        <f ca="1">AVERAGE(E1010:OFFSET(E1010,-M$5+1,0))</f>
        <v>4451.2820000000002</v>
      </c>
      <c r="N1010" s="9">
        <f ca="1">AVERAGE(E1010:OFFSET(E1010,-N$5+1,0))</f>
        <v>4429.5445</v>
      </c>
      <c r="O1010" s="9">
        <f t="shared" ca="1" si="207"/>
        <v>1</v>
      </c>
      <c r="P1010" s="14">
        <f t="shared" si="212"/>
        <v>2.7837345223879275</v>
      </c>
      <c r="Q1010" s="15">
        <f ca="1">STDEV(P1010:OFFSET(P1010,-$Q$5+1,0))</f>
        <v>1.5956280598986561</v>
      </c>
      <c r="R1010" s="15">
        <f ca="1">STDEV(P1010:OFFSET(P1010,-$R$5+1,0))</f>
        <v>2.1374303597676034</v>
      </c>
      <c r="S1010" s="18">
        <f t="shared" si="199"/>
        <v>94.899999999999636</v>
      </c>
      <c r="T1010" s="18">
        <f t="shared" si="200"/>
        <v>133.1899999999996</v>
      </c>
      <c r="U1010" s="18">
        <f t="shared" si="208"/>
        <v>105.41546079390925</v>
      </c>
      <c r="V1010" s="33">
        <f ca="1">AVERAGE(E1010:OFFSET(E1010,-V$5+1,0))</f>
        <v>4408.847142857142</v>
      </c>
      <c r="W1010" s="33">
        <f t="shared" ca="1" si="201"/>
        <v>4566.9703340480055</v>
      </c>
      <c r="X1010" s="33">
        <f t="shared" ca="1" si="202"/>
        <v>4250.7239516662785</v>
      </c>
      <c r="Y1010" s="32">
        <f t="shared" ca="1" si="209"/>
        <v>1</v>
      </c>
    </row>
    <row r="1011" spans="1:25">
      <c r="A1011" s="5">
        <v>39860</v>
      </c>
      <c r="B1011" s="4">
        <v>4605.7700000000004</v>
      </c>
      <c r="C1011" s="4">
        <v>4607.97</v>
      </c>
      <c r="D1011" s="4">
        <v>4575.9799999999996</v>
      </c>
      <c r="E1011" s="4">
        <v>4591.26</v>
      </c>
      <c r="F1011" s="4">
        <v>3384600</v>
      </c>
      <c r="G1011" s="8">
        <f t="shared" si="211"/>
        <v>13.270000000000437</v>
      </c>
      <c r="H1011" s="8">
        <f t="shared" si="210"/>
        <v>-14.510000000000218</v>
      </c>
      <c r="I1011" s="20">
        <f t="shared" ca="1" si="203"/>
        <v>0</v>
      </c>
      <c r="J1011" s="8">
        <f t="shared" ca="1" si="204"/>
        <v>1</v>
      </c>
      <c r="K1011" s="8">
        <f t="shared" ca="1" si="205"/>
        <v>-14.510000000000218</v>
      </c>
      <c r="L1011" s="8">
        <f t="shared" ca="1" si="206"/>
        <v>10928.170000000002</v>
      </c>
      <c r="M1011" s="9">
        <f ca="1">AVERAGE(E1011:OFFSET(E1011,-M$5+1,0))</f>
        <v>4484.4100000000008</v>
      </c>
      <c r="N1011" s="9">
        <f ca="1">AVERAGE(E1011:OFFSET(E1011,-N$5+1,0))</f>
        <v>4432.3180000000002</v>
      </c>
      <c r="O1011" s="9">
        <f t="shared" ca="1" si="207"/>
        <v>0</v>
      </c>
      <c r="P1011" s="14">
        <f t="shared" si="212"/>
        <v>-2.7004190169060065E-2</v>
      </c>
      <c r="Q1011" s="15">
        <f ca="1">STDEV(P1011:OFFSET(P1011,-$Q$5+1,0))</f>
        <v>1.6092842869669621</v>
      </c>
      <c r="R1011" s="15">
        <f ca="1">STDEV(P1011:OFFSET(P1011,-$R$5+1,0))</f>
        <v>2.1296760176860139</v>
      </c>
      <c r="S1011" s="18">
        <f t="shared" si="199"/>
        <v>31.990000000000691</v>
      </c>
      <c r="T1011" s="18">
        <f t="shared" si="200"/>
        <v>31.990000000000691</v>
      </c>
      <c r="U1011" s="18">
        <f t="shared" si="208"/>
        <v>95.625399354721452</v>
      </c>
      <c r="V1011" s="33">
        <f ca="1">AVERAGE(E1011:OFFSET(E1011,-V$5+1,0))</f>
        <v>4425.8157142857144</v>
      </c>
      <c r="W1011" s="33">
        <f t="shared" ca="1" si="201"/>
        <v>4569.2538133177968</v>
      </c>
      <c r="X1011" s="33">
        <f t="shared" ca="1" si="202"/>
        <v>4282.377615253632</v>
      </c>
      <c r="Y1011" s="32">
        <f t="shared" ca="1" si="209"/>
        <v>0</v>
      </c>
    </row>
    <row r="1012" spans="1:25">
      <c r="A1012" s="5">
        <v>39861</v>
      </c>
      <c r="B1012" s="4">
        <v>4572.97</v>
      </c>
      <c r="C1012" s="4">
        <v>4585.28</v>
      </c>
      <c r="D1012" s="4">
        <v>4475.17</v>
      </c>
      <c r="E1012" s="4">
        <v>4491.78</v>
      </c>
      <c r="F1012" s="4">
        <v>3134600</v>
      </c>
      <c r="G1012" s="8">
        <f t="shared" si="211"/>
        <v>-18.289999999999964</v>
      </c>
      <c r="H1012" s="8">
        <f t="shared" si="210"/>
        <v>-81.190000000000509</v>
      </c>
      <c r="I1012" s="20">
        <f t="shared" ca="1" si="203"/>
        <v>0</v>
      </c>
      <c r="J1012" s="8">
        <f t="shared" ca="1" si="204"/>
        <v>1</v>
      </c>
      <c r="K1012" s="8">
        <f t="shared" ca="1" si="205"/>
        <v>-99.480000000000473</v>
      </c>
      <c r="L1012" s="8">
        <f t="shared" ca="1" si="206"/>
        <v>10828.690000000002</v>
      </c>
      <c r="M1012" s="9">
        <f ca="1">AVERAGE(E1012:OFFSET(E1012,-M$5+1,0))</f>
        <v>4496.3070000000007</v>
      </c>
      <c r="N1012" s="9">
        <f ca="1">AVERAGE(E1012:OFFSET(E1012,-N$5+1,0))</f>
        <v>4431.7699999999995</v>
      </c>
      <c r="O1012" s="9">
        <f t="shared" ca="1" si="207"/>
        <v>0</v>
      </c>
      <c r="P1012" s="14">
        <f t="shared" si="212"/>
        <v>-2.1905436485875098</v>
      </c>
      <c r="Q1012" s="15">
        <f ca="1">STDEV(P1012:OFFSET(P1012,-$Q$5+1,0))</f>
        <v>1.7049241200291891</v>
      </c>
      <c r="R1012" s="15">
        <f ca="1">STDEV(P1012:OFFSET(P1012,-$R$5+1,0))</f>
        <v>2.0561575005797099</v>
      </c>
      <c r="S1012" s="18">
        <f t="shared" si="199"/>
        <v>110.10999999999967</v>
      </c>
      <c r="T1012" s="18">
        <f t="shared" si="200"/>
        <v>116.09000000000015</v>
      </c>
      <c r="U1012" s="18">
        <f t="shared" si="208"/>
        <v>98.354012774091942</v>
      </c>
      <c r="V1012" s="33">
        <f ca="1">AVERAGE(E1012:OFFSET(E1012,-V$5+1,0))</f>
        <v>4434.7457142857138</v>
      </c>
      <c r="W1012" s="33">
        <f t="shared" ca="1" si="201"/>
        <v>4582.2767334468517</v>
      </c>
      <c r="X1012" s="33">
        <f t="shared" ca="1" si="202"/>
        <v>4287.2146951245759</v>
      </c>
      <c r="Y1012" s="32">
        <f t="shared" ca="1" si="209"/>
        <v>0</v>
      </c>
    </row>
    <row r="1013" spans="1:25">
      <c r="A1013" s="5">
        <v>39862</v>
      </c>
      <c r="B1013" s="4">
        <v>4455.75</v>
      </c>
      <c r="C1013" s="4">
        <v>4520.67</v>
      </c>
      <c r="D1013" s="4">
        <v>4428.29</v>
      </c>
      <c r="E1013" s="4">
        <v>4498.37</v>
      </c>
      <c r="F1013" s="4">
        <v>3217000</v>
      </c>
      <c r="G1013" s="8">
        <f t="shared" si="211"/>
        <v>-36.029999999999745</v>
      </c>
      <c r="H1013" s="8">
        <f t="shared" si="210"/>
        <v>42.619999999999891</v>
      </c>
      <c r="I1013" s="20">
        <f t="shared" ca="1" si="203"/>
        <v>0</v>
      </c>
      <c r="J1013" s="8">
        <f t="shared" ca="1" si="204"/>
        <v>1</v>
      </c>
      <c r="K1013" s="8">
        <f t="shared" ca="1" si="205"/>
        <v>6.5900000000001455</v>
      </c>
      <c r="L1013" s="8">
        <f t="shared" ca="1" si="206"/>
        <v>10835.280000000002</v>
      </c>
      <c r="M1013" s="9">
        <f ca="1">AVERAGE(E1013:OFFSET(E1013,-M$5+1,0))</f>
        <v>4507.1470000000008</v>
      </c>
      <c r="N1013" s="9">
        <f ca="1">AVERAGE(E1013:OFFSET(E1013,-N$5+1,0))</f>
        <v>4433.9934999999987</v>
      </c>
      <c r="O1013" s="9">
        <f t="shared" ca="1" si="207"/>
        <v>0</v>
      </c>
      <c r="P1013" s="14">
        <f t="shared" si="212"/>
        <v>0.14660492161586572</v>
      </c>
      <c r="Q1013" s="15">
        <f ca="1">STDEV(P1013:OFFSET(P1013,-$Q$5+1,0))</f>
        <v>1.7047172737475993</v>
      </c>
      <c r="R1013" s="15">
        <f ca="1">STDEV(P1013:OFFSET(P1013,-$R$5+1,0))</f>
        <v>2.0565004245019631</v>
      </c>
      <c r="S1013" s="18">
        <f t="shared" ref="S1013:S1076" si="213">C1013-D1013</f>
        <v>92.380000000000109</v>
      </c>
      <c r="T1013" s="18">
        <f t="shared" ref="T1013:T1076" si="214">MAX(C1013,E1012)-MIN(D1013,E1012)</f>
        <v>92.380000000000109</v>
      </c>
      <c r="U1013" s="18">
        <f t="shared" si="208"/>
        <v>97.557477737546364</v>
      </c>
      <c r="V1013" s="33">
        <f ca="1">AVERAGE(E1013:OFFSET(E1013,-V$5+1,0))</f>
        <v>4453.0142857142864</v>
      </c>
      <c r="W1013" s="33">
        <f t="shared" ref="W1013:W1076" ca="1" si="215">V1013+W$5*U1013</f>
        <v>4599.3505023206062</v>
      </c>
      <c r="X1013" s="33">
        <f t="shared" ref="X1013:X1076" ca="1" si="216">V1013-W$5*U1013</f>
        <v>4306.6780691079666</v>
      </c>
      <c r="Y1013" s="32">
        <f t="shared" ca="1" si="209"/>
        <v>0</v>
      </c>
    </row>
    <row r="1014" spans="1:25">
      <c r="A1014" s="5">
        <v>39863</v>
      </c>
      <c r="B1014" s="4">
        <v>4475.16</v>
      </c>
      <c r="C1014" s="4">
        <v>4571.3100000000004</v>
      </c>
      <c r="D1014" s="4">
        <v>4433.43</v>
      </c>
      <c r="E1014" s="4">
        <v>4528.87</v>
      </c>
      <c r="F1014" s="4">
        <v>3394200</v>
      </c>
      <c r="G1014" s="8">
        <f t="shared" si="211"/>
        <v>-23.210000000000036</v>
      </c>
      <c r="H1014" s="8">
        <f t="shared" si="210"/>
        <v>53.710000000000036</v>
      </c>
      <c r="I1014" s="20">
        <f t="shared" ref="I1014:I1077" ca="1" si="217">Y1014</f>
        <v>0</v>
      </c>
      <c r="J1014" s="8">
        <f t="shared" ref="J1014:J1077" ca="1" si="218">IF((J1013+I1013)&gt;=J$5,J$5,IF((J1013+I1013)&lt;=J$7,J$7,J1013+I1013))</f>
        <v>1</v>
      </c>
      <c r="K1014" s="8">
        <f t="shared" ref="K1014:K1077" ca="1" si="219">J1013*G1014+J1014*H1014</f>
        <v>30.5</v>
      </c>
      <c r="L1014" s="8">
        <f t="shared" ref="L1014:L1077" ca="1" si="220">L1013+K1014</f>
        <v>10865.780000000002</v>
      </c>
      <c r="M1014" s="9">
        <f ca="1">AVERAGE(E1014:OFFSET(E1014,-M$5+1,0))</f>
        <v>4523.7090000000007</v>
      </c>
      <c r="N1014" s="9">
        <f ca="1">AVERAGE(E1014:OFFSET(E1014,-N$5+1,0))</f>
        <v>4433.8189999999995</v>
      </c>
      <c r="O1014" s="9">
        <f t="shared" ref="O1014:O1077" ca="1" si="221">IF(AND(M1013&lt;=N1013,M1014&gt;N1014),1,IF(AND(M1013&gt;=N1013,M1014&lt;N1014),-1,0))</f>
        <v>0</v>
      </c>
      <c r="P1014" s="14">
        <f t="shared" si="212"/>
        <v>0.6757351318227619</v>
      </c>
      <c r="Q1014" s="15">
        <f ca="1">STDEV(P1014:OFFSET(P1014,-$Q$5+1,0))</f>
        <v>1.6814504865177267</v>
      </c>
      <c r="R1014" s="15">
        <f ca="1">STDEV(P1014:OFFSET(P1014,-$R$5+1,0))</f>
        <v>1.9683522706236689</v>
      </c>
      <c r="S1014" s="18">
        <f t="shared" si="213"/>
        <v>137.88000000000011</v>
      </c>
      <c r="T1014" s="18">
        <f t="shared" si="214"/>
        <v>137.88000000000011</v>
      </c>
      <c r="U1014" s="18">
        <f t="shared" ref="U1014:U1077" si="222">$U$5*T1014+(1-$U$5)*U1013</f>
        <v>102.93381403920687</v>
      </c>
      <c r="V1014" s="33">
        <f ca="1">AVERAGE(E1014:OFFSET(E1014,-V$5+1,0))</f>
        <v>4473.0785714285721</v>
      </c>
      <c r="W1014" s="33">
        <f t="shared" ca="1" si="215"/>
        <v>4627.4792924873827</v>
      </c>
      <c r="X1014" s="33">
        <f t="shared" ca="1" si="216"/>
        <v>4318.6778503697615</v>
      </c>
      <c r="Y1014" s="32">
        <f t="shared" ref="Y1014:Y1077" ca="1" si="223">IF(AND(E1013&gt;X1013,E1014&lt;X1014),-1,IF(AND(E1013&lt;W1013,E1014&gt;W1014),1,0))</f>
        <v>0</v>
      </c>
    </row>
    <row r="1015" spans="1:25">
      <c r="A1015" s="5">
        <v>39864</v>
      </c>
      <c r="B1015" s="4">
        <v>4483.91</v>
      </c>
      <c r="C1015" s="4">
        <v>4513.99</v>
      </c>
      <c r="D1015" s="4">
        <v>4436.9399999999996</v>
      </c>
      <c r="E1015" s="4">
        <v>4436.9399999999996</v>
      </c>
      <c r="F1015" s="4">
        <v>3045400</v>
      </c>
      <c r="G1015" s="8">
        <f t="shared" si="211"/>
        <v>-44.960000000000036</v>
      </c>
      <c r="H1015" s="8">
        <f t="shared" si="210"/>
        <v>-46.970000000000255</v>
      </c>
      <c r="I1015" s="20">
        <f t="shared" ca="1" si="217"/>
        <v>0</v>
      </c>
      <c r="J1015" s="8">
        <f t="shared" ca="1" si="218"/>
        <v>1</v>
      </c>
      <c r="K1015" s="8">
        <f t="shared" ca="1" si="219"/>
        <v>-91.930000000000291</v>
      </c>
      <c r="L1015" s="8">
        <f t="shared" ca="1" si="220"/>
        <v>10773.850000000002</v>
      </c>
      <c r="M1015" s="9">
        <f ca="1">AVERAGE(E1015:OFFSET(E1015,-M$5+1,0))</f>
        <v>4520.2780000000002</v>
      </c>
      <c r="N1015" s="9">
        <f ca="1">AVERAGE(E1015:OFFSET(E1015,-N$5+1,0))</f>
        <v>4429.5924999999997</v>
      </c>
      <c r="O1015" s="9">
        <f t="shared" ca="1" si="221"/>
        <v>0</v>
      </c>
      <c r="P1015" s="14">
        <f t="shared" si="212"/>
        <v>-2.0507510599063212</v>
      </c>
      <c r="Q1015" s="15">
        <f ca="1">STDEV(P1015:OFFSET(P1015,-$Q$5+1,0))</f>
        <v>1.6667084606970475</v>
      </c>
      <c r="R1015" s="15">
        <f ca="1">STDEV(P1015:OFFSET(P1015,-$R$5+1,0))</f>
        <v>1.9379443499213311</v>
      </c>
      <c r="S1015" s="18">
        <f t="shared" si="213"/>
        <v>77.050000000000182</v>
      </c>
      <c r="T1015" s="18">
        <f t="shared" si="214"/>
        <v>91.930000000000291</v>
      </c>
      <c r="U1015" s="18">
        <f t="shared" si="222"/>
        <v>101.46663883397933</v>
      </c>
      <c r="V1015" s="33">
        <f ca="1">AVERAGE(E1015:OFFSET(E1015,-V$5+1,0))</f>
        <v>4485.7185714285724</v>
      </c>
      <c r="W1015" s="33">
        <f t="shared" ca="1" si="215"/>
        <v>4637.9185296795413</v>
      </c>
      <c r="X1015" s="33">
        <f t="shared" ca="1" si="216"/>
        <v>4333.5186131776036</v>
      </c>
      <c r="Y1015" s="32">
        <f t="shared" ca="1" si="223"/>
        <v>0</v>
      </c>
    </row>
    <row r="1016" spans="1:25">
      <c r="A1016" s="5">
        <v>39867</v>
      </c>
      <c r="B1016" s="4">
        <v>4420.43</v>
      </c>
      <c r="C1016" s="4">
        <v>4485.3599999999997</v>
      </c>
      <c r="D1016" s="4">
        <v>4371.0200000000004</v>
      </c>
      <c r="E1016" s="4">
        <v>4477.78</v>
      </c>
      <c r="F1016" s="4">
        <v>2863800</v>
      </c>
      <c r="G1016" s="8">
        <f t="shared" si="211"/>
        <v>-16.509999999999309</v>
      </c>
      <c r="H1016" s="8">
        <f t="shared" si="210"/>
        <v>57.349999999999454</v>
      </c>
      <c r="I1016" s="20">
        <f t="shared" ca="1" si="217"/>
        <v>0</v>
      </c>
      <c r="J1016" s="8">
        <f t="shared" ca="1" si="218"/>
        <v>1</v>
      </c>
      <c r="K1016" s="8">
        <f t="shared" ca="1" si="219"/>
        <v>40.840000000000146</v>
      </c>
      <c r="L1016" s="8">
        <f t="shared" ca="1" si="220"/>
        <v>10814.690000000002</v>
      </c>
      <c r="M1016" s="9">
        <f ca="1">AVERAGE(E1016:OFFSET(E1016,-M$5+1,0))</f>
        <v>4518.5969999999998</v>
      </c>
      <c r="N1016" s="9">
        <f ca="1">AVERAGE(E1016:OFFSET(E1016,-N$5+1,0))</f>
        <v>4437.4429999999993</v>
      </c>
      <c r="O1016" s="9">
        <f t="shared" ca="1" si="221"/>
        <v>0</v>
      </c>
      <c r="P1016" s="14">
        <f t="shared" si="212"/>
        <v>0.91624382393092996</v>
      </c>
      <c r="Q1016" s="15">
        <f ca="1">STDEV(P1016:OFFSET(P1016,-$Q$5+1,0))</f>
        <v>1.6870415629321613</v>
      </c>
      <c r="R1016" s="15">
        <f ca="1">STDEV(P1016:OFFSET(P1016,-$R$5+1,0))</f>
        <v>1.9444325438420045</v>
      </c>
      <c r="S1016" s="18">
        <f t="shared" si="213"/>
        <v>114.33999999999924</v>
      </c>
      <c r="T1016" s="18">
        <f t="shared" si="214"/>
        <v>114.33999999999924</v>
      </c>
      <c r="U1016" s="18">
        <f t="shared" si="222"/>
        <v>103.18308698944865</v>
      </c>
      <c r="V1016" s="33">
        <f ca="1">AVERAGE(E1016:OFFSET(E1016,-V$5+1,0))</f>
        <v>4493.2164285714298</v>
      </c>
      <c r="W1016" s="33">
        <f t="shared" ca="1" si="215"/>
        <v>4647.9910590556028</v>
      </c>
      <c r="X1016" s="33">
        <f t="shared" ca="1" si="216"/>
        <v>4338.4417980872568</v>
      </c>
      <c r="Y1016" s="32">
        <f t="shared" ca="1" si="223"/>
        <v>0</v>
      </c>
    </row>
    <row r="1017" spans="1:25">
      <c r="A1017" s="5">
        <v>39868</v>
      </c>
      <c r="B1017" s="4">
        <v>4407.95</v>
      </c>
      <c r="C1017" s="4">
        <v>4452.96</v>
      </c>
      <c r="D1017" s="4">
        <v>4394.76</v>
      </c>
      <c r="E1017" s="4">
        <v>4430.18</v>
      </c>
      <c r="F1017" s="4">
        <v>2839200</v>
      </c>
      <c r="G1017" s="8">
        <f t="shared" si="211"/>
        <v>-69.829999999999927</v>
      </c>
      <c r="H1017" s="8">
        <f t="shared" si="210"/>
        <v>22.230000000000473</v>
      </c>
      <c r="I1017" s="20">
        <f t="shared" ca="1" si="217"/>
        <v>0</v>
      </c>
      <c r="J1017" s="8">
        <f t="shared" ca="1" si="218"/>
        <v>1</v>
      </c>
      <c r="K1017" s="8">
        <f t="shared" ca="1" si="219"/>
        <v>-47.599999999999454</v>
      </c>
      <c r="L1017" s="8">
        <f t="shared" ca="1" si="220"/>
        <v>10767.090000000004</v>
      </c>
      <c r="M1017" s="9">
        <f ca="1">AVERAGE(E1017:OFFSET(E1017,-M$5+1,0))</f>
        <v>4509.0049999999992</v>
      </c>
      <c r="N1017" s="9">
        <f ca="1">AVERAGE(E1017:OFFSET(E1017,-N$5+1,0))</f>
        <v>4441.2669999999998</v>
      </c>
      <c r="O1017" s="9">
        <f t="shared" ca="1" si="221"/>
        <v>0</v>
      </c>
      <c r="P1017" s="14">
        <f t="shared" si="212"/>
        <v>-1.0687172608449464</v>
      </c>
      <c r="Q1017" s="15">
        <f ca="1">STDEV(P1017:OFFSET(P1017,-$Q$5+1,0))</f>
        <v>1.6939197470153247</v>
      </c>
      <c r="R1017" s="15">
        <f ca="1">STDEV(P1017:OFFSET(P1017,-$R$5+1,0))</f>
        <v>1.9467292844597683</v>
      </c>
      <c r="S1017" s="18">
        <f t="shared" si="213"/>
        <v>58.199999999999818</v>
      </c>
      <c r="T1017" s="18">
        <f t="shared" si="214"/>
        <v>83.019999999999527</v>
      </c>
      <c r="U1017" s="18">
        <f t="shared" si="222"/>
        <v>100.49467539085545</v>
      </c>
      <c r="V1017" s="33">
        <f ca="1">AVERAGE(E1017:OFFSET(E1017,-V$5+1,0))</f>
        <v>4496.0885714285723</v>
      </c>
      <c r="W1017" s="33">
        <f t="shared" ca="1" si="215"/>
        <v>4646.8305845148552</v>
      </c>
      <c r="X1017" s="33">
        <f t="shared" ca="1" si="216"/>
        <v>4345.3465583422894</v>
      </c>
      <c r="Y1017" s="32">
        <f t="shared" ca="1" si="223"/>
        <v>0</v>
      </c>
    </row>
    <row r="1018" spans="1:25">
      <c r="A1018" s="5">
        <v>39869</v>
      </c>
      <c r="B1018" s="4">
        <v>4498.91</v>
      </c>
      <c r="C1018" s="4">
        <v>4549.32</v>
      </c>
      <c r="D1018" s="4">
        <v>4488.07</v>
      </c>
      <c r="E1018" s="4">
        <v>4493.74</v>
      </c>
      <c r="F1018" s="4">
        <v>3580600</v>
      </c>
      <c r="G1018" s="8">
        <f t="shared" si="211"/>
        <v>68.729999999999563</v>
      </c>
      <c r="H1018" s="8">
        <f t="shared" si="210"/>
        <v>-5.1700000000000728</v>
      </c>
      <c r="I1018" s="20">
        <f t="shared" ca="1" si="217"/>
        <v>0</v>
      </c>
      <c r="J1018" s="8">
        <f t="shared" ca="1" si="218"/>
        <v>1</v>
      </c>
      <c r="K1018" s="8">
        <f t="shared" ca="1" si="219"/>
        <v>63.559999999999491</v>
      </c>
      <c r="L1018" s="8">
        <f t="shared" ca="1" si="220"/>
        <v>10830.650000000003</v>
      </c>
      <c r="M1018" s="9">
        <f ca="1">AVERAGE(E1018:OFFSET(E1018,-M$5+1,0))</f>
        <v>4500.7839999999997</v>
      </c>
      <c r="N1018" s="9">
        <f ca="1">AVERAGE(E1018:OFFSET(E1018,-N$5+1,0))</f>
        <v>4447.616</v>
      </c>
      <c r="O1018" s="9">
        <f t="shared" ca="1" si="221"/>
        <v>0</v>
      </c>
      <c r="P1018" s="14">
        <f t="shared" si="212"/>
        <v>1.4245101886048301</v>
      </c>
      <c r="Q1018" s="15">
        <f ca="1">STDEV(P1018:OFFSET(P1018,-$Q$5+1,0))</f>
        <v>1.7251037829596003</v>
      </c>
      <c r="R1018" s="15">
        <f ca="1">STDEV(P1018:OFFSET(P1018,-$R$5+1,0))</f>
        <v>1.9541108953869408</v>
      </c>
      <c r="S1018" s="18">
        <f t="shared" si="213"/>
        <v>61.25</v>
      </c>
      <c r="T1018" s="18">
        <f t="shared" si="214"/>
        <v>119.13999999999942</v>
      </c>
      <c r="U1018" s="18">
        <f t="shared" si="222"/>
        <v>102.98071867207464</v>
      </c>
      <c r="V1018" s="33">
        <f ca="1">AVERAGE(E1018:OFFSET(E1018,-V$5+1,0))</f>
        <v>4505.4092857142859</v>
      </c>
      <c r="W1018" s="33">
        <f t="shared" ca="1" si="215"/>
        <v>4659.8803637223982</v>
      </c>
      <c r="X1018" s="33">
        <f t="shared" ca="1" si="216"/>
        <v>4350.9382077061737</v>
      </c>
      <c r="Y1018" s="32">
        <f t="shared" ca="1" si="223"/>
        <v>0</v>
      </c>
    </row>
    <row r="1019" spans="1:25">
      <c r="A1019" s="5">
        <v>39870</v>
      </c>
      <c r="B1019" s="4">
        <v>4548.53</v>
      </c>
      <c r="C1019" s="4">
        <v>4556.82</v>
      </c>
      <c r="D1019" s="4">
        <v>4492.7</v>
      </c>
      <c r="E1019" s="4">
        <v>4518.5600000000004</v>
      </c>
      <c r="F1019" s="4">
        <v>3066200</v>
      </c>
      <c r="G1019" s="8">
        <f t="shared" si="211"/>
        <v>54.789999999999964</v>
      </c>
      <c r="H1019" s="8">
        <f t="shared" si="210"/>
        <v>-29.969999999999345</v>
      </c>
      <c r="I1019" s="20">
        <f t="shared" ca="1" si="217"/>
        <v>0</v>
      </c>
      <c r="J1019" s="8">
        <f t="shared" ca="1" si="218"/>
        <v>1</v>
      </c>
      <c r="K1019" s="8">
        <f t="shared" ca="1" si="219"/>
        <v>24.820000000000618</v>
      </c>
      <c r="L1019" s="8">
        <f t="shared" ca="1" si="220"/>
        <v>10855.470000000005</v>
      </c>
      <c r="M1019" s="9">
        <f ca="1">AVERAGE(E1019:OFFSET(E1019,-M$5+1,0))</f>
        <v>4505.9979999999987</v>
      </c>
      <c r="N1019" s="9">
        <f ca="1">AVERAGE(E1019:OFFSET(E1019,-N$5+1,0))</f>
        <v>4461.4135000000006</v>
      </c>
      <c r="O1019" s="9">
        <f t="shared" ca="1" si="221"/>
        <v>0</v>
      </c>
      <c r="P1019" s="14">
        <f t="shared" si="212"/>
        <v>0.55080418428482969</v>
      </c>
      <c r="Q1019" s="15">
        <f ca="1">STDEV(P1019:OFFSET(P1019,-$Q$5+1,0))</f>
        <v>1.5424241468124553</v>
      </c>
      <c r="R1019" s="15">
        <f ca="1">STDEV(P1019:OFFSET(P1019,-$R$5+1,0))</f>
        <v>1.9568480642163717</v>
      </c>
      <c r="S1019" s="18">
        <f t="shared" si="213"/>
        <v>64.119999999999891</v>
      </c>
      <c r="T1019" s="18">
        <f t="shared" si="214"/>
        <v>64.119999999999891</v>
      </c>
      <c r="U1019" s="18">
        <f t="shared" si="222"/>
        <v>97.799289515798023</v>
      </c>
      <c r="V1019" s="33">
        <f ca="1">AVERAGE(E1019:OFFSET(E1019,-V$5+1,0))</f>
        <v>4508.7885714285712</v>
      </c>
      <c r="W1019" s="33">
        <f t="shared" ca="1" si="215"/>
        <v>4655.4875057022682</v>
      </c>
      <c r="X1019" s="33">
        <f t="shared" ca="1" si="216"/>
        <v>4362.0896371548743</v>
      </c>
      <c r="Y1019" s="32">
        <f t="shared" ca="1" si="223"/>
        <v>0</v>
      </c>
    </row>
    <row r="1020" spans="1:25">
      <c r="A1020" s="5">
        <v>39871</v>
      </c>
      <c r="B1020" s="4">
        <v>4523.5600000000004</v>
      </c>
      <c r="C1020" s="4">
        <v>4564.32</v>
      </c>
      <c r="D1020" s="4">
        <v>4507.3900000000003</v>
      </c>
      <c r="E1020" s="4">
        <v>4557.1499999999996</v>
      </c>
      <c r="F1020" s="4">
        <v>3303400</v>
      </c>
      <c r="G1020" s="8">
        <f t="shared" si="211"/>
        <v>5</v>
      </c>
      <c r="H1020" s="8">
        <f t="shared" si="210"/>
        <v>33.589999999999236</v>
      </c>
      <c r="I1020" s="20">
        <f t="shared" ca="1" si="217"/>
        <v>0</v>
      </c>
      <c r="J1020" s="8">
        <f t="shared" ca="1" si="218"/>
        <v>1</v>
      </c>
      <c r="K1020" s="8">
        <f t="shared" ca="1" si="219"/>
        <v>38.589999999999236</v>
      </c>
      <c r="L1020" s="8">
        <f t="shared" ca="1" si="220"/>
        <v>10894.060000000005</v>
      </c>
      <c r="M1020" s="9">
        <f ca="1">AVERAGE(E1020:OFFSET(E1020,-M$5+1,0))</f>
        <v>4502.4629999999997</v>
      </c>
      <c r="N1020" s="9">
        <f ca="1">AVERAGE(E1020:OFFSET(E1020,-N$5+1,0))</f>
        <v>4476.8724999999995</v>
      </c>
      <c r="O1020" s="9">
        <f t="shared" ca="1" si="221"/>
        <v>0</v>
      </c>
      <c r="P1020" s="14">
        <f t="shared" si="212"/>
        <v>0.85040691177188399</v>
      </c>
      <c r="Q1020" s="15">
        <f ca="1">STDEV(P1020:OFFSET(P1020,-$Q$5+1,0))</f>
        <v>1.2675724448371373</v>
      </c>
      <c r="R1020" s="15">
        <f ca="1">STDEV(P1020:OFFSET(P1020,-$R$5+1,0))</f>
        <v>1.8848526462683144</v>
      </c>
      <c r="S1020" s="18">
        <f t="shared" si="213"/>
        <v>56.929999999999382</v>
      </c>
      <c r="T1020" s="18">
        <f t="shared" si="214"/>
        <v>56.929999999999382</v>
      </c>
      <c r="U1020" s="18">
        <f t="shared" si="222"/>
        <v>92.350050913691533</v>
      </c>
      <c r="V1020" s="33">
        <f ca="1">AVERAGE(E1020:OFFSET(E1020,-V$5+1,0))</f>
        <v>4513.2571428571428</v>
      </c>
      <c r="W1020" s="33">
        <f t="shared" ca="1" si="215"/>
        <v>4651.7822192276799</v>
      </c>
      <c r="X1020" s="33">
        <f t="shared" ca="1" si="216"/>
        <v>4374.7320664866056</v>
      </c>
      <c r="Y1020" s="32">
        <f t="shared" ca="1" si="223"/>
        <v>0</v>
      </c>
    </row>
    <row r="1021" spans="1:25">
      <c r="A1021" s="5">
        <v>39874</v>
      </c>
      <c r="B1021" s="4">
        <v>4528.2700000000004</v>
      </c>
      <c r="C1021" s="4">
        <v>4528.2700000000004</v>
      </c>
      <c r="D1021" s="4">
        <v>4408.51</v>
      </c>
      <c r="E1021" s="4">
        <v>4425.83</v>
      </c>
      <c r="F1021" s="4">
        <v>3906800</v>
      </c>
      <c r="G1021" s="8">
        <f t="shared" si="211"/>
        <v>-28.8799999999992</v>
      </c>
      <c r="H1021" s="8">
        <f t="shared" si="210"/>
        <v>-102.44000000000051</v>
      </c>
      <c r="I1021" s="20">
        <f t="shared" ca="1" si="217"/>
        <v>0</v>
      </c>
      <c r="J1021" s="8">
        <f t="shared" ca="1" si="218"/>
        <v>1</v>
      </c>
      <c r="K1021" s="8">
        <f t="shared" ca="1" si="219"/>
        <v>-131.31999999999971</v>
      </c>
      <c r="L1021" s="8">
        <f t="shared" ca="1" si="220"/>
        <v>10762.740000000005</v>
      </c>
      <c r="M1021" s="9">
        <f ca="1">AVERAGE(E1021:OFFSET(E1021,-M$5+1,0))</f>
        <v>4485.92</v>
      </c>
      <c r="N1021" s="9">
        <f ca="1">AVERAGE(E1021:OFFSET(E1021,-N$5+1,0))</f>
        <v>4485.1650000000009</v>
      </c>
      <c r="O1021" s="9">
        <f t="shared" ca="1" si="221"/>
        <v>0</v>
      </c>
      <c r="P1021" s="14">
        <f t="shared" si="212"/>
        <v>-2.923959664018406</v>
      </c>
      <c r="Q1021" s="15">
        <f ca="1">STDEV(P1021:OFFSET(P1021,-$Q$5+1,0))</f>
        <v>1.5535812764991368</v>
      </c>
      <c r="R1021" s="15">
        <f ca="1">STDEV(P1021:OFFSET(P1021,-$R$5+1,0))</f>
        <v>1.8857709599594894</v>
      </c>
      <c r="S1021" s="18">
        <f t="shared" si="213"/>
        <v>119.76000000000022</v>
      </c>
      <c r="T1021" s="18">
        <f t="shared" si="214"/>
        <v>148.63999999999942</v>
      </c>
      <c r="U1021" s="18">
        <f t="shared" si="222"/>
        <v>99.855377458532587</v>
      </c>
      <c r="V1021" s="33">
        <f ca="1">AVERAGE(E1021:OFFSET(E1021,-V$5+1,0))</f>
        <v>4506.0949999999993</v>
      </c>
      <c r="W1021" s="33">
        <f t="shared" ca="1" si="215"/>
        <v>4655.8780661877981</v>
      </c>
      <c r="X1021" s="33">
        <f t="shared" ca="1" si="216"/>
        <v>4356.3119338122006</v>
      </c>
      <c r="Y1021" s="32">
        <f t="shared" ca="1" si="223"/>
        <v>0</v>
      </c>
    </row>
    <row r="1022" spans="1:25">
      <c r="A1022" s="5">
        <v>39875</v>
      </c>
      <c r="B1022" s="4">
        <v>4364.37</v>
      </c>
      <c r="C1022" s="4">
        <v>4435.34</v>
      </c>
      <c r="D1022" s="4">
        <v>4328.05</v>
      </c>
      <c r="E1022" s="4">
        <v>4435.34</v>
      </c>
      <c r="F1022" s="4">
        <v>3511000</v>
      </c>
      <c r="G1022" s="8">
        <f t="shared" si="211"/>
        <v>-61.460000000000036</v>
      </c>
      <c r="H1022" s="8">
        <f t="shared" si="210"/>
        <v>70.970000000000255</v>
      </c>
      <c r="I1022" s="20">
        <f t="shared" ca="1" si="217"/>
        <v>0</v>
      </c>
      <c r="J1022" s="8">
        <f t="shared" ca="1" si="218"/>
        <v>1</v>
      </c>
      <c r="K1022" s="8">
        <f t="shared" ca="1" si="219"/>
        <v>9.5100000000002183</v>
      </c>
      <c r="L1022" s="8">
        <f t="shared" ca="1" si="220"/>
        <v>10772.250000000005</v>
      </c>
      <c r="M1022" s="9">
        <f ca="1">AVERAGE(E1022:OFFSET(E1022,-M$5+1,0))</f>
        <v>4480.2759999999998</v>
      </c>
      <c r="N1022" s="9">
        <f ca="1">AVERAGE(E1022:OFFSET(E1022,-N$5+1,0))</f>
        <v>4488.2915000000012</v>
      </c>
      <c r="O1022" s="9">
        <f t="shared" ca="1" si="221"/>
        <v>-1</v>
      </c>
      <c r="P1022" s="14">
        <f t="shared" si="212"/>
        <v>0.2146444239581006</v>
      </c>
      <c r="Q1022" s="15">
        <f ca="1">STDEV(P1022:OFFSET(P1022,-$Q$5+1,0))</f>
        <v>1.4203629596983163</v>
      </c>
      <c r="R1022" s="15">
        <f ca="1">STDEV(P1022:OFFSET(P1022,-$R$5+1,0))</f>
        <v>1.8850701232698375</v>
      </c>
      <c r="S1022" s="18">
        <f t="shared" si="213"/>
        <v>107.28999999999996</v>
      </c>
      <c r="T1022" s="18">
        <f t="shared" si="214"/>
        <v>107.28999999999996</v>
      </c>
      <c r="U1022" s="18">
        <f t="shared" si="222"/>
        <v>100.84666046406157</v>
      </c>
      <c r="V1022" s="33">
        <f ca="1">AVERAGE(E1022:OFFSET(E1022,-V$5+1,0))</f>
        <v>4496.0514285714289</v>
      </c>
      <c r="W1022" s="33">
        <f t="shared" ca="1" si="215"/>
        <v>4647.3214192675214</v>
      </c>
      <c r="X1022" s="33">
        <f t="shared" ca="1" si="216"/>
        <v>4344.7814378753365</v>
      </c>
      <c r="Y1022" s="32">
        <f t="shared" ca="1" si="223"/>
        <v>0</v>
      </c>
    </row>
    <row r="1023" spans="1:25">
      <c r="A1023" s="5">
        <v>39876</v>
      </c>
      <c r="B1023" s="4">
        <v>4442.71</v>
      </c>
      <c r="C1023" s="4">
        <v>4549.9799999999996</v>
      </c>
      <c r="D1023" s="4">
        <v>4429.51</v>
      </c>
      <c r="E1023" s="4">
        <v>4541.42</v>
      </c>
      <c r="F1023" s="4">
        <v>4128200</v>
      </c>
      <c r="G1023" s="8">
        <f t="shared" si="211"/>
        <v>7.3699999999998909</v>
      </c>
      <c r="H1023" s="8">
        <f t="shared" si="210"/>
        <v>98.710000000000036</v>
      </c>
      <c r="I1023" s="20">
        <f t="shared" ca="1" si="217"/>
        <v>0</v>
      </c>
      <c r="J1023" s="8">
        <f t="shared" ca="1" si="218"/>
        <v>1</v>
      </c>
      <c r="K1023" s="8">
        <f t="shared" ca="1" si="219"/>
        <v>106.07999999999993</v>
      </c>
      <c r="L1023" s="8">
        <f t="shared" ca="1" si="220"/>
        <v>10878.330000000005</v>
      </c>
      <c r="M1023" s="9">
        <f ca="1">AVERAGE(E1023:OFFSET(E1023,-M$5+1,0))</f>
        <v>4484.5810000000001</v>
      </c>
      <c r="N1023" s="9">
        <f ca="1">AVERAGE(E1023:OFFSET(E1023,-N$5+1,0))</f>
        <v>4495.8639999999996</v>
      </c>
      <c r="O1023" s="9">
        <f t="shared" ca="1" si="221"/>
        <v>0</v>
      </c>
      <c r="P1023" s="14">
        <f t="shared" si="212"/>
        <v>2.3635462747873222</v>
      </c>
      <c r="Q1023" s="15">
        <f ca="1">STDEV(P1023:OFFSET(P1023,-$Q$5+1,0))</f>
        <v>1.6258641606411173</v>
      </c>
      <c r="R1023" s="15">
        <f ca="1">STDEV(P1023:OFFSET(P1023,-$R$5+1,0))</f>
        <v>1.9210206718362999</v>
      </c>
      <c r="S1023" s="18">
        <f t="shared" si="213"/>
        <v>120.46999999999935</v>
      </c>
      <c r="T1023" s="18">
        <f t="shared" si="214"/>
        <v>120.46999999999935</v>
      </c>
      <c r="U1023" s="18">
        <f t="shared" si="222"/>
        <v>103.46310573551995</v>
      </c>
      <c r="V1023" s="33">
        <f ca="1">AVERAGE(E1023:OFFSET(E1023,-V$5+1,0))</f>
        <v>4501.4085714285702</v>
      </c>
      <c r="W1023" s="33">
        <f t="shared" ca="1" si="215"/>
        <v>4656.6032300318502</v>
      </c>
      <c r="X1023" s="33">
        <f t="shared" ca="1" si="216"/>
        <v>4346.2139128252902</v>
      </c>
      <c r="Y1023" s="32">
        <f t="shared" ca="1" si="223"/>
        <v>0</v>
      </c>
    </row>
    <row r="1024" spans="1:25">
      <c r="A1024" s="5">
        <v>39877</v>
      </c>
      <c r="B1024" s="4">
        <v>4628.54</v>
      </c>
      <c r="C1024" s="4">
        <v>4677.8900000000003</v>
      </c>
      <c r="D1024" s="4">
        <v>4598.8</v>
      </c>
      <c r="E1024" s="4">
        <v>4637.2</v>
      </c>
      <c r="F1024" s="4">
        <v>5018400</v>
      </c>
      <c r="G1024" s="8">
        <f t="shared" si="211"/>
        <v>87.119999999999891</v>
      </c>
      <c r="H1024" s="8">
        <f t="shared" si="210"/>
        <v>8.6599999999998545</v>
      </c>
      <c r="I1024" s="20">
        <f t="shared" ca="1" si="217"/>
        <v>0</v>
      </c>
      <c r="J1024" s="8">
        <f t="shared" ca="1" si="218"/>
        <v>1</v>
      </c>
      <c r="K1024" s="8">
        <f t="shared" ca="1" si="219"/>
        <v>95.779999999999745</v>
      </c>
      <c r="L1024" s="8">
        <f t="shared" ca="1" si="220"/>
        <v>10974.110000000004</v>
      </c>
      <c r="M1024" s="9">
        <f ca="1">AVERAGE(E1024:OFFSET(E1024,-M$5+1,0))</f>
        <v>4495.4139999999998</v>
      </c>
      <c r="N1024" s="9">
        <f ca="1">AVERAGE(E1024:OFFSET(E1024,-N$5+1,0))</f>
        <v>4509.5614999999998</v>
      </c>
      <c r="O1024" s="9">
        <f t="shared" ca="1" si="221"/>
        <v>0</v>
      </c>
      <c r="P1024" s="14">
        <f t="shared" si="212"/>
        <v>2.0870997334462733</v>
      </c>
      <c r="Q1024" s="15">
        <f ca="1">STDEV(P1024:OFFSET(P1024,-$Q$5+1,0))</f>
        <v>1.7391641110084579</v>
      </c>
      <c r="R1024" s="15">
        <f ca="1">STDEV(P1024:OFFSET(P1024,-$R$5+1,0))</f>
        <v>1.9471569619440334</v>
      </c>
      <c r="S1024" s="18">
        <f t="shared" si="213"/>
        <v>79.090000000000146</v>
      </c>
      <c r="T1024" s="18">
        <f t="shared" si="214"/>
        <v>136.47000000000025</v>
      </c>
      <c r="U1024" s="18">
        <f t="shared" si="222"/>
        <v>107.86402497078399</v>
      </c>
      <c r="V1024" s="33">
        <f ca="1">AVERAGE(E1024:OFFSET(E1024,-V$5+1,0))</f>
        <v>4504.6014285714282</v>
      </c>
      <c r="W1024" s="33">
        <f t="shared" ca="1" si="215"/>
        <v>4666.3974660276044</v>
      </c>
      <c r="X1024" s="33">
        <f t="shared" ca="1" si="216"/>
        <v>4342.805391115252</v>
      </c>
      <c r="Y1024" s="32">
        <f t="shared" ca="1" si="223"/>
        <v>0</v>
      </c>
    </row>
    <row r="1025" spans="1:25">
      <c r="A1025" s="5">
        <v>39878</v>
      </c>
      <c r="B1025" s="4">
        <v>4604.84</v>
      </c>
      <c r="C1025" s="4">
        <v>4662.3599999999997</v>
      </c>
      <c r="D1025" s="4">
        <v>4597.8900000000003</v>
      </c>
      <c r="E1025" s="4">
        <v>4653.63</v>
      </c>
      <c r="F1025" s="4">
        <v>4139200</v>
      </c>
      <c r="G1025" s="8">
        <f t="shared" si="211"/>
        <v>-32.359999999999673</v>
      </c>
      <c r="H1025" s="8">
        <f t="shared" si="210"/>
        <v>48.789999999999964</v>
      </c>
      <c r="I1025" s="20">
        <f t="shared" ca="1" si="217"/>
        <v>0</v>
      </c>
      <c r="J1025" s="8">
        <f t="shared" ca="1" si="218"/>
        <v>1</v>
      </c>
      <c r="K1025" s="8">
        <f t="shared" ca="1" si="219"/>
        <v>16.430000000000291</v>
      </c>
      <c r="L1025" s="8">
        <f t="shared" ca="1" si="220"/>
        <v>10990.540000000005</v>
      </c>
      <c r="M1025" s="9">
        <f ca="1">AVERAGE(E1025:OFFSET(E1025,-M$5+1,0))</f>
        <v>4517.0829999999996</v>
      </c>
      <c r="N1025" s="9">
        <f ca="1">AVERAGE(E1025:OFFSET(E1025,-N$5+1,0))</f>
        <v>4518.6805000000004</v>
      </c>
      <c r="O1025" s="9">
        <f t="shared" ca="1" si="221"/>
        <v>0</v>
      </c>
      <c r="P1025" s="14">
        <f t="shared" si="212"/>
        <v>0.35368244014961603</v>
      </c>
      <c r="Q1025" s="15">
        <f ca="1">STDEV(P1025:OFFSET(P1025,-$Q$5+1,0))</f>
        <v>1.542972395717485</v>
      </c>
      <c r="R1025" s="15">
        <f ca="1">STDEV(P1025:OFFSET(P1025,-$R$5+1,0))</f>
        <v>1.9468054719152332</v>
      </c>
      <c r="S1025" s="18">
        <f t="shared" si="213"/>
        <v>64.469999999999345</v>
      </c>
      <c r="T1025" s="18">
        <f t="shared" si="214"/>
        <v>64.469999999999345</v>
      </c>
      <c r="U1025" s="18">
        <f t="shared" si="222"/>
        <v>102.07815497467938</v>
      </c>
      <c r="V1025" s="33">
        <f ca="1">AVERAGE(E1025:OFFSET(E1025,-V$5+1,0))</f>
        <v>4509.0564285714272</v>
      </c>
      <c r="W1025" s="33">
        <f t="shared" ca="1" si="215"/>
        <v>4662.1736610334465</v>
      </c>
      <c r="X1025" s="33">
        <f t="shared" ca="1" si="216"/>
        <v>4355.9391961094079</v>
      </c>
      <c r="Y1025" s="32">
        <f t="shared" ca="1" si="223"/>
        <v>0</v>
      </c>
    </row>
    <row r="1026" spans="1:25">
      <c r="A1026" s="5">
        <v>39881</v>
      </c>
      <c r="B1026" s="4">
        <v>4643.62</v>
      </c>
      <c r="C1026" s="4">
        <v>4660.13</v>
      </c>
      <c r="D1026" s="4">
        <v>4578.05</v>
      </c>
      <c r="E1026" s="4">
        <v>4628.24</v>
      </c>
      <c r="F1026" s="4">
        <v>3938200</v>
      </c>
      <c r="G1026" s="8">
        <f t="shared" si="211"/>
        <v>-10.010000000000218</v>
      </c>
      <c r="H1026" s="8">
        <f t="shared" si="210"/>
        <v>-15.380000000000109</v>
      </c>
      <c r="I1026" s="20">
        <f t="shared" ca="1" si="217"/>
        <v>0</v>
      </c>
      <c r="J1026" s="8">
        <f t="shared" ca="1" si="218"/>
        <v>1</v>
      </c>
      <c r="K1026" s="8">
        <f t="shared" ca="1" si="219"/>
        <v>-25.390000000000327</v>
      </c>
      <c r="L1026" s="8">
        <f t="shared" ca="1" si="220"/>
        <v>10965.150000000005</v>
      </c>
      <c r="M1026" s="9">
        <f ca="1">AVERAGE(E1026:OFFSET(E1026,-M$5+1,0))</f>
        <v>4532.128999999999</v>
      </c>
      <c r="N1026" s="9">
        <f ca="1">AVERAGE(E1026:OFFSET(E1026,-N$5+1,0))</f>
        <v>4525.3629999999994</v>
      </c>
      <c r="O1026" s="9">
        <f t="shared" ca="1" si="221"/>
        <v>1</v>
      </c>
      <c r="P1026" s="14">
        <f t="shared" si="212"/>
        <v>-0.54708939746626184</v>
      </c>
      <c r="Q1026" s="15">
        <f ca="1">STDEV(P1026:OFFSET(P1026,-$Q$5+1,0))</f>
        <v>1.5658882796847935</v>
      </c>
      <c r="R1026" s="15">
        <f ca="1">STDEV(P1026:OFFSET(P1026,-$R$5+1,0))</f>
        <v>1.8538472024912906</v>
      </c>
      <c r="S1026" s="18">
        <f t="shared" si="213"/>
        <v>82.079999999999927</v>
      </c>
      <c r="T1026" s="18">
        <f t="shared" si="214"/>
        <v>82.079999999999927</v>
      </c>
      <c r="U1026" s="18">
        <f t="shared" si="222"/>
        <v>99.411734311388784</v>
      </c>
      <c r="V1026" s="33">
        <f ca="1">AVERAGE(E1026:OFFSET(E1026,-V$5+1,0))</f>
        <v>4518.8035714285706</v>
      </c>
      <c r="W1026" s="33">
        <f t="shared" ca="1" si="215"/>
        <v>4667.9211728956534</v>
      </c>
      <c r="X1026" s="33">
        <f t="shared" ca="1" si="216"/>
        <v>4369.6859699614879</v>
      </c>
      <c r="Y1026" s="32">
        <f t="shared" ca="1" si="223"/>
        <v>0</v>
      </c>
    </row>
    <row r="1027" spans="1:25">
      <c r="A1027" s="5">
        <v>39882</v>
      </c>
      <c r="B1027" s="4">
        <v>4605.92</v>
      </c>
      <c r="C1027" s="4">
        <v>4688.63</v>
      </c>
      <c r="D1027" s="4">
        <v>4605.92</v>
      </c>
      <c r="E1027" s="4">
        <v>4671.0200000000004</v>
      </c>
      <c r="F1027" s="4">
        <v>4484400</v>
      </c>
      <c r="G1027" s="8">
        <f t="shared" si="211"/>
        <v>-22.319999999999709</v>
      </c>
      <c r="H1027" s="8">
        <f t="shared" si="210"/>
        <v>65.100000000000364</v>
      </c>
      <c r="I1027" s="20">
        <f t="shared" ca="1" si="217"/>
        <v>0</v>
      </c>
      <c r="J1027" s="8">
        <f t="shared" ca="1" si="218"/>
        <v>1</v>
      </c>
      <c r="K1027" s="8">
        <f t="shared" ca="1" si="219"/>
        <v>42.780000000000655</v>
      </c>
      <c r="L1027" s="8">
        <f t="shared" ca="1" si="220"/>
        <v>11007.930000000006</v>
      </c>
      <c r="M1027" s="9">
        <f ca="1">AVERAGE(E1027:OFFSET(E1027,-M$5+1,0))</f>
        <v>4556.2130000000006</v>
      </c>
      <c r="N1027" s="9">
        <f ca="1">AVERAGE(E1027:OFFSET(E1027,-N$5+1,0))</f>
        <v>4532.6090000000004</v>
      </c>
      <c r="O1027" s="9">
        <f t="shared" ca="1" si="221"/>
        <v>0</v>
      </c>
      <c r="P1027" s="14">
        <f t="shared" si="212"/>
        <v>0.92007970082474566</v>
      </c>
      <c r="Q1027" s="15">
        <f ca="1">STDEV(P1027:OFFSET(P1027,-$Q$5+1,0))</f>
        <v>1.4930337344416809</v>
      </c>
      <c r="R1027" s="15">
        <f ca="1">STDEV(P1027:OFFSET(P1027,-$R$5+1,0))</f>
        <v>1.8592897329765179</v>
      </c>
      <c r="S1027" s="18">
        <f t="shared" si="213"/>
        <v>82.710000000000036</v>
      </c>
      <c r="T1027" s="18">
        <f t="shared" si="214"/>
        <v>82.710000000000036</v>
      </c>
      <c r="U1027" s="18">
        <f t="shared" si="222"/>
        <v>97.184836403203619</v>
      </c>
      <c r="V1027" s="33">
        <f ca="1">AVERAGE(E1027:OFFSET(E1027,-V$5+1,0))</f>
        <v>4531.1357142857141</v>
      </c>
      <c r="W1027" s="33">
        <f t="shared" ca="1" si="215"/>
        <v>4676.9129688905196</v>
      </c>
      <c r="X1027" s="33">
        <f t="shared" ca="1" si="216"/>
        <v>4385.3584596809087</v>
      </c>
      <c r="Y1027" s="32">
        <f t="shared" ca="1" si="223"/>
        <v>0</v>
      </c>
    </row>
    <row r="1028" spans="1:25">
      <c r="A1028" s="5">
        <v>39883</v>
      </c>
      <c r="B1028" s="4">
        <v>4789.8</v>
      </c>
      <c r="C1028" s="4">
        <v>4798.0600000000004</v>
      </c>
      <c r="D1028" s="4">
        <v>4747.8900000000003</v>
      </c>
      <c r="E1028" s="4">
        <v>4759.96</v>
      </c>
      <c r="F1028" s="4">
        <v>5713200</v>
      </c>
      <c r="G1028" s="8">
        <f t="shared" si="211"/>
        <v>118.77999999999975</v>
      </c>
      <c r="H1028" s="8">
        <f t="shared" ref="H1028:H1091" si="224">E1028-B1028</f>
        <v>-29.840000000000146</v>
      </c>
      <c r="I1028" s="20">
        <f t="shared" ca="1" si="217"/>
        <v>1</v>
      </c>
      <c r="J1028" s="8">
        <f t="shared" ca="1" si="218"/>
        <v>1</v>
      </c>
      <c r="K1028" s="8">
        <f t="shared" ca="1" si="219"/>
        <v>88.9399999999996</v>
      </c>
      <c r="L1028" s="8">
        <f t="shared" ca="1" si="220"/>
        <v>11096.870000000006</v>
      </c>
      <c r="M1028" s="9">
        <f ca="1">AVERAGE(E1028:OFFSET(E1028,-M$5+1,0))</f>
        <v>4582.835</v>
      </c>
      <c r="N1028" s="9">
        <f ca="1">AVERAGE(E1028:OFFSET(E1028,-N$5+1,0))</f>
        <v>4541.8095000000012</v>
      </c>
      <c r="O1028" s="9">
        <f t="shared" ca="1" si="221"/>
        <v>0</v>
      </c>
      <c r="P1028" s="14">
        <f t="shared" si="212"/>
        <v>1.8861801597485386</v>
      </c>
      <c r="Q1028" s="15">
        <f ca="1">STDEV(P1028:OFFSET(P1028,-$Q$5+1,0))</f>
        <v>1.5304570572289922</v>
      </c>
      <c r="R1028" s="15">
        <f ca="1">STDEV(P1028:OFFSET(P1028,-$R$5+1,0))</f>
        <v>1.8473439252483066</v>
      </c>
      <c r="S1028" s="18">
        <f t="shared" si="213"/>
        <v>50.170000000000073</v>
      </c>
      <c r="T1028" s="18">
        <f t="shared" si="214"/>
        <v>127.03999999999996</v>
      </c>
      <c r="U1028" s="18">
        <f t="shared" si="222"/>
        <v>101.16552488277647</v>
      </c>
      <c r="V1028" s="33">
        <f ca="1">AVERAGE(E1028:OFFSET(E1028,-V$5+1,0))</f>
        <v>4547.642142857143</v>
      </c>
      <c r="W1028" s="33">
        <f t="shared" ca="1" si="215"/>
        <v>4699.3904301813072</v>
      </c>
      <c r="X1028" s="33">
        <f t="shared" ca="1" si="216"/>
        <v>4395.8938555329787</v>
      </c>
      <c r="Y1028" s="32">
        <f t="shared" ca="1" si="223"/>
        <v>1</v>
      </c>
    </row>
    <row r="1029" spans="1:25">
      <c r="A1029" s="5">
        <v>39884</v>
      </c>
      <c r="B1029" s="4">
        <v>4782.21</v>
      </c>
      <c r="C1029" s="4">
        <v>4794.9399999999996</v>
      </c>
      <c r="D1029" s="4">
        <v>4743.76</v>
      </c>
      <c r="E1029" s="4">
        <v>4754.6499999999996</v>
      </c>
      <c r="F1029" s="4">
        <v>4327000</v>
      </c>
      <c r="G1029" s="8">
        <f t="shared" ref="G1029:G1092" si="225">B1029-E1028</f>
        <v>22.25</v>
      </c>
      <c r="H1029" s="8">
        <f t="shared" si="224"/>
        <v>-27.5600000000004</v>
      </c>
      <c r="I1029" s="20">
        <f t="shared" ca="1" si="217"/>
        <v>0</v>
      </c>
      <c r="J1029" s="8">
        <f t="shared" ca="1" si="218"/>
        <v>2</v>
      </c>
      <c r="K1029" s="8">
        <f t="shared" ca="1" si="219"/>
        <v>-32.8700000000008</v>
      </c>
      <c r="L1029" s="8">
        <f t="shared" ca="1" si="220"/>
        <v>11064.000000000005</v>
      </c>
      <c r="M1029" s="9">
        <f ca="1">AVERAGE(E1029:OFFSET(E1029,-M$5+1,0))</f>
        <v>4606.4440000000004</v>
      </c>
      <c r="N1029" s="9">
        <f ca="1">AVERAGE(E1029:OFFSET(E1029,-N$5+1,0))</f>
        <v>4556.2209999999995</v>
      </c>
      <c r="O1029" s="9">
        <f t="shared" ca="1" si="221"/>
        <v>0</v>
      </c>
      <c r="P1029" s="14">
        <f t="shared" ref="P1029:P1092" si="226">100*LN(E1029/E1028)</f>
        <v>-0.11161782881885275</v>
      </c>
      <c r="Q1029" s="15">
        <f ca="1">STDEV(P1029:OFFSET(P1029,-$Q$5+1,0))</f>
        <v>1.5459043477580559</v>
      </c>
      <c r="R1029" s="15">
        <f ca="1">STDEV(P1029:OFFSET(P1029,-$R$5+1,0))</f>
        <v>1.8450471077940529</v>
      </c>
      <c r="S1029" s="18">
        <f t="shared" si="213"/>
        <v>51.179999999999382</v>
      </c>
      <c r="T1029" s="18">
        <f t="shared" si="214"/>
        <v>51.179999999999382</v>
      </c>
      <c r="U1029" s="18">
        <f t="shared" si="222"/>
        <v>94.50078823173952</v>
      </c>
      <c r="V1029" s="33">
        <f ca="1">AVERAGE(E1029:OFFSET(E1029,-V$5+1,0))</f>
        <v>4570.3357142857139</v>
      </c>
      <c r="W1029" s="33">
        <f t="shared" ca="1" si="215"/>
        <v>4712.0868966333228</v>
      </c>
      <c r="X1029" s="33">
        <f t="shared" ca="1" si="216"/>
        <v>4428.5845319381051</v>
      </c>
      <c r="Y1029" s="32">
        <f t="shared" ca="1" si="223"/>
        <v>0</v>
      </c>
    </row>
    <row r="1030" spans="1:25">
      <c r="A1030" s="5">
        <v>39885</v>
      </c>
      <c r="B1030" s="4">
        <v>4844.97</v>
      </c>
      <c r="C1030" s="4">
        <v>4923.57</v>
      </c>
      <c r="D1030" s="4">
        <v>4830.17</v>
      </c>
      <c r="E1030" s="4">
        <v>4897.3900000000003</v>
      </c>
      <c r="F1030" s="4">
        <v>5976000</v>
      </c>
      <c r="G1030" s="8">
        <f t="shared" si="225"/>
        <v>90.320000000000618</v>
      </c>
      <c r="H1030" s="8">
        <f t="shared" si="224"/>
        <v>52.420000000000073</v>
      </c>
      <c r="I1030" s="20">
        <f t="shared" ca="1" si="217"/>
        <v>0</v>
      </c>
      <c r="J1030" s="8">
        <f t="shared" ca="1" si="218"/>
        <v>2</v>
      </c>
      <c r="K1030" s="8">
        <f t="shared" ca="1" si="219"/>
        <v>285.48000000000138</v>
      </c>
      <c r="L1030" s="8">
        <f t="shared" ca="1" si="220"/>
        <v>11349.480000000007</v>
      </c>
      <c r="M1030" s="9">
        <f ca="1">AVERAGE(E1030:OFFSET(E1030,-M$5+1,0))</f>
        <v>4640.4680000000008</v>
      </c>
      <c r="N1030" s="9">
        <f ca="1">AVERAGE(E1030:OFFSET(E1030,-N$5+1,0))</f>
        <v>4571.4655000000002</v>
      </c>
      <c r="O1030" s="9">
        <f t="shared" ca="1" si="221"/>
        <v>0</v>
      </c>
      <c r="P1030" s="14">
        <f t="shared" si="226"/>
        <v>2.957932358683288</v>
      </c>
      <c r="Q1030" s="15">
        <f ca="1">STDEV(P1030:OFFSET(P1030,-$Q$5+1,0))</f>
        <v>1.730243204090621</v>
      </c>
      <c r="R1030" s="15">
        <f ca="1">STDEV(P1030:OFFSET(P1030,-$R$5+1,0))</f>
        <v>1.8924183259070191</v>
      </c>
      <c r="S1030" s="18">
        <f t="shared" si="213"/>
        <v>93.399999999999636</v>
      </c>
      <c r="T1030" s="18">
        <f t="shared" si="214"/>
        <v>168.92000000000007</v>
      </c>
      <c r="U1030" s="18">
        <f t="shared" si="222"/>
        <v>104.42334980084094</v>
      </c>
      <c r="V1030" s="33">
        <f ca="1">AVERAGE(E1030:OFFSET(E1030,-V$5+1,0))</f>
        <v>4600.3078571428568</v>
      </c>
      <c r="W1030" s="33">
        <f t="shared" ca="1" si="215"/>
        <v>4756.9428818441183</v>
      </c>
      <c r="X1030" s="33">
        <f t="shared" ca="1" si="216"/>
        <v>4443.6728324415953</v>
      </c>
      <c r="Y1030" s="32">
        <f t="shared" ca="1" si="223"/>
        <v>0</v>
      </c>
    </row>
    <row r="1031" spans="1:25">
      <c r="A1031" s="5">
        <v>39888</v>
      </c>
      <c r="B1031" s="4">
        <v>4940.8500000000004</v>
      </c>
      <c r="C1031" s="4">
        <v>4991.59</v>
      </c>
      <c r="D1031" s="4">
        <v>4915.3999999999996</v>
      </c>
      <c r="E1031" s="4">
        <v>4971.32</v>
      </c>
      <c r="F1031" s="4">
        <v>5243200</v>
      </c>
      <c r="G1031" s="8">
        <f t="shared" si="225"/>
        <v>43.460000000000036</v>
      </c>
      <c r="H1031" s="8">
        <f t="shared" si="224"/>
        <v>30.469999999999345</v>
      </c>
      <c r="I1031" s="20">
        <f t="shared" ca="1" si="217"/>
        <v>0</v>
      </c>
      <c r="J1031" s="8">
        <f t="shared" ca="1" si="218"/>
        <v>2</v>
      </c>
      <c r="K1031" s="8">
        <f t="shared" ca="1" si="219"/>
        <v>147.85999999999876</v>
      </c>
      <c r="L1031" s="8">
        <f t="shared" ca="1" si="220"/>
        <v>11497.340000000006</v>
      </c>
      <c r="M1031" s="9">
        <f ca="1">AVERAGE(E1031:OFFSET(E1031,-M$5+1,0))</f>
        <v>4695.0169999999998</v>
      </c>
      <c r="N1031" s="9">
        <f ca="1">AVERAGE(E1031:OFFSET(E1031,-N$5+1,0))</f>
        <v>4590.4684999999999</v>
      </c>
      <c r="O1031" s="9">
        <f t="shared" ca="1" si="221"/>
        <v>0</v>
      </c>
      <c r="P1031" s="14">
        <f t="shared" si="226"/>
        <v>1.4982988260859493</v>
      </c>
      <c r="Q1031" s="15">
        <f ca="1">STDEV(P1031:OFFSET(P1031,-$Q$5+1,0))</f>
        <v>1.1697532164757787</v>
      </c>
      <c r="R1031" s="15">
        <f ca="1">STDEV(P1031:OFFSET(P1031,-$R$5+1,0))</f>
        <v>1.6812326447008248</v>
      </c>
      <c r="S1031" s="18">
        <f t="shared" si="213"/>
        <v>76.190000000000509</v>
      </c>
      <c r="T1031" s="18">
        <f t="shared" si="214"/>
        <v>94.199999999999818</v>
      </c>
      <c r="U1031" s="18">
        <f t="shared" si="222"/>
        <v>103.06023649406212</v>
      </c>
      <c r="V1031" s="33">
        <f ca="1">AVERAGE(E1031:OFFSET(E1031,-V$5+1,0))</f>
        <v>4638.9607142857149</v>
      </c>
      <c r="W1031" s="33">
        <f t="shared" ca="1" si="215"/>
        <v>4793.5510690268084</v>
      </c>
      <c r="X1031" s="33">
        <f t="shared" ca="1" si="216"/>
        <v>4484.3703595446214</v>
      </c>
      <c r="Y1031" s="32">
        <f t="shared" ca="1" si="223"/>
        <v>0</v>
      </c>
    </row>
    <row r="1032" spans="1:25">
      <c r="A1032" s="5">
        <v>39889</v>
      </c>
      <c r="B1032" s="4">
        <v>4998.8999999999996</v>
      </c>
      <c r="C1032" s="4">
        <v>5050.63</v>
      </c>
      <c r="D1032" s="4">
        <v>4954.5</v>
      </c>
      <c r="E1032" s="4">
        <v>5041.3900000000003</v>
      </c>
      <c r="F1032" s="4">
        <v>5435200</v>
      </c>
      <c r="G1032" s="8">
        <f t="shared" si="225"/>
        <v>27.579999999999927</v>
      </c>
      <c r="H1032" s="8">
        <f t="shared" si="224"/>
        <v>42.490000000000691</v>
      </c>
      <c r="I1032" s="20">
        <f t="shared" ca="1" si="217"/>
        <v>0</v>
      </c>
      <c r="J1032" s="8">
        <f t="shared" ca="1" si="218"/>
        <v>2</v>
      </c>
      <c r="K1032" s="8">
        <f t="shared" ca="1" si="219"/>
        <v>140.14000000000124</v>
      </c>
      <c r="L1032" s="8">
        <f t="shared" ca="1" si="220"/>
        <v>11637.480000000007</v>
      </c>
      <c r="M1032" s="9">
        <f ca="1">AVERAGE(E1032:OFFSET(E1032,-M$5+1,0))</f>
        <v>4755.6219999999994</v>
      </c>
      <c r="N1032" s="9">
        <f ca="1">AVERAGE(E1032:OFFSET(E1032,-N$5+1,0))</f>
        <v>4617.9489999999996</v>
      </c>
      <c r="O1032" s="9">
        <f t="shared" ca="1" si="221"/>
        <v>0</v>
      </c>
      <c r="P1032" s="14">
        <f t="shared" si="226"/>
        <v>1.3996439303813757</v>
      </c>
      <c r="Q1032" s="15">
        <f ca="1">STDEV(P1032:OFFSET(P1032,-$Q$5+1,0))</f>
        <v>1.1221417824200981</v>
      </c>
      <c r="R1032" s="15">
        <f ca="1">STDEV(P1032:OFFSET(P1032,-$R$5+1,0))</f>
        <v>1.6837758331982089</v>
      </c>
      <c r="S1032" s="18">
        <f t="shared" si="213"/>
        <v>96.130000000000109</v>
      </c>
      <c r="T1032" s="18">
        <f t="shared" si="214"/>
        <v>96.130000000000109</v>
      </c>
      <c r="U1032" s="18">
        <f t="shared" si="222"/>
        <v>102.13620496152053</v>
      </c>
      <c r="V1032" s="33">
        <f ca="1">AVERAGE(E1032:OFFSET(E1032,-V$5+1,0))</f>
        <v>4678.0785714285712</v>
      </c>
      <c r="W1032" s="33">
        <f t="shared" ca="1" si="215"/>
        <v>4831.2828788708521</v>
      </c>
      <c r="X1032" s="33">
        <f t="shared" ca="1" si="216"/>
        <v>4524.8742639862903</v>
      </c>
      <c r="Y1032" s="32">
        <f t="shared" ca="1" si="223"/>
        <v>0</v>
      </c>
    </row>
    <row r="1033" spans="1:25">
      <c r="A1033" s="5">
        <v>39890</v>
      </c>
      <c r="B1033" s="4">
        <v>5074.63</v>
      </c>
      <c r="C1033" s="4">
        <v>5083.55</v>
      </c>
      <c r="D1033" s="4">
        <v>5021.4799999999996</v>
      </c>
      <c r="E1033" s="4">
        <v>5047.54</v>
      </c>
      <c r="F1033" s="4">
        <v>5605000</v>
      </c>
      <c r="G1033" s="8">
        <f t="shared" si="225"/>
        <v>33.239999999999782</v>
      </c>
      <c r="H1033" s="8">
        <f t="shared" si="224"/>
        <v>-27.090000000000146</v>
      </c>
      <c r="I1033" s="20">
        <f t="shared" ca="1" si="217"/>
        <v>0</v>
      </c>
      <c r="J1033" s="8">
        <f t="shared" ca="1" si="218"/>
        <v>2</v>
      </c>
      <c r="K1033" s="8">
        <f t="shared" ca="1" si="219"/>
        <v>12.299999999999272</v>
      </c>
      <c r="L1033" s="8">
        <f t="shared" ca="1" si="220"/>
        <v>11649.780000000006</v>
      </c>
      <c r="M1033" s="9">
        <f ca="1">AVERAGE(E1033:OFFSET(E1033,-M$5+1,0))</f>
        <v>4806.2339999999995</v>
      </c>
      <c r="N1033" s="9">
        <f ca="1">AVERAGE(E1033:OFFSET(E1033,-N$5+1,0))</f>
        <v>4645.4074999999993</v>
      </c>
      <c r="O1033" s="9">
        <f t="shared" ca="1" si="221"/>
        <v>0</v>
      </c>
      <c r="P1033" s="14">
        <f t="shared" si="226"/>
        <v>0.12191581786675744</v>
      </c>
      <c r="Q1033" s="15">
        <f ca="1">STDEV(P1033:OFFSET(P1033,-$Q$5+1,0))</f>
        <v>1.105586453591862</v>
      </c>
      <c r="R1033" s="15">
        <f ca="1">STDEV(P1033:OFFSET(P1033,-$R$5+1,0))</f>
        <v>1.6692743738814049</v>
      </c>
      <c r="S1033" s="18">
        <f t="shared" si="213"/>
        <v>62.070000000000618</v>
      </c>
      <c r="T1033" s="18">
        <f t="shared" si="214"/>
        <v>62.070000000000618</v>
      </c>
      <c r="U1033" s="18">
        <f t="shared" si="222"/>
        <v>96.794044299984549</v>
      </c>
      <c r="V1033" s="33">
        <f ca="1">AVERAGE(E1033:OFFSET(E1033,-V$5+1,0))</f>
        <v>4715.8628571428571</v>
      </c>
      <c r="W1033" s="33">
        <f t="shared" ca="1" si="215"/>
        <v>4861.0539235928336</v>
      </c>
      <c r="X1033" s="33">
        <f t="shared" ca="1" si="216"/>
        <v>4570.6717906928807</v>
      </c>
      <c r="Y1033" s="32">
        <f t="shared" ca="1" si="223"/>
        <v>0</v>
      </c>
    </row>
    <row r="1034" spans="1:25">
      <c r="A1034" s="5">
        <v>39891</v>
      </c>
      <c r="B1034" s="4">
        <v>5090.5</v>
      </c>
      <c r="C1034" s="4">
        <v>5125.3999999999996</v>
      </c>
      <c r="D1034" s="4">
        <v>5035.82</v>
      </c>
      <c r="E1034" s="4">
        <v>5035.93</v>
      </c>
      <c r="F1034" s="4">
        <v>6125000</v>
      </c>
      <c r="G1034" s="8">
        <f t="shared" si="225"/>
        <v>42.960000000000036</v>
      </c>
      <c r="H1034" s="8">
        <f t="shared" si="224"/>
        <v>-54.569999999999709</v>
      </c>
      <c r="I1034" s="20">
        <f t="shared" ca="1" si="217"/>
        <v>0</v>
      </c>
      <c r="J1034" s="8">
        <f t="shared" ca="1" si="218"/>
        <v>2</v>
      </c>
      <c r="K1034" s="8">
        <f t="shared" ca="1" si="219"/>
        <v>-23.219999999999345</v>
      </c>
      <c r="L1034" s="8">
        <f t="shared" ca="1" si="220"/>
        <v>11626.560000000007</v>
      </c>
      <c r="M1034" s="9">
        <f ca="1">AVERAGE(E1034:OFFSET(E1034,-M$5+1,0))</f>
        <v>4846.107</v>
      </c>
      <c r="N1034" s="9">
        <f ca="1">AVERAGE(E1034:OFFSET(E1034,-N$5+1,0))</f>
        <v>4670.7604999999994</v>
      </c>
      <c r="O1034" s="9">
        <f t="shared" ca="1" si="221"/>
        <v>0</v>
      </c>
      <c r="P1034" s="14">
        <f t="shared" si="226"/>
        <v>-0.23027797237365502</v>
      </c>
      <c r="Q1034" s="15">
        <f ca="1">STDEV(P1034:OFFSET(P1034,-$Q$5+1,0))</f>
        <v>1.1084549911741208</v>
      </c>
      <c r="R1034" s="15">
        <f ca="1">STDEV(P1034:OFFSET(P1034,-$R$5+1,0))</f>
        <v>1.6549463577304162</v>
      </c>
      <c r="S1034" s="18">
        <f t="shared" si="213"/>
        <v>89.579999999999927</v>
      </c>
      <c r="T1034" s="18">
        <f t="shared" si="214"/>
        <v>89.579999999999927</v>
      </c>
      <c r="U1034" s="18">
        <f t="shared" si="222"/>
        <v>95.832171726653272</v>
      </c>
      <c r="V1034" s="33">
        <f ca="1">AVERAGE(E1034:OFFSET(E1034,-V$5+1,0))</f>
        <v>4750.06142857143</v>
      </c>
      <c r="W1034" s="33">
        <f t="shared" ca="1" si="215"/>
        <v>4893.8096861614104</v>
      </c>
      <c r="X1034" s="33">
        <f t="shared" ca="1" si="216"/>
        <v>4606.3131709814497</v>
      </c>
      <c r="Y1034" s="32">
        <f t="shared" ca="1" si="223"/>
        <v>0</v>
      </c>
    </row>
    <row r="1035" spans="1:25">
      <c r="A1035" s="5">
        <v>39892</v>
      </c>
      <c r="B1035" s="4">
        <v>5060.25</v>
      </c>
      <c r="C1035" s="4">
        <v>5069.42</v>
      </c>
      <c r="D1035" s="4">
        <v>4961.62</v>
      </c>
      <c r="E1035" s="4">
        <v>4961.62</v>
      </c>
      <c r="F1035" s="4">
        <v>5149600</v>
      </c>
      <c r="G1035" s="8">
        <f t="shared" si="225"/>
        <v>24.319999999999709</v>
      </c>
      <c r="H1035" s="8">
        <f t="shared" si="224"/>
        <v>-98.630000000000109</v>
      </c>
      <c r="I1035" s="20">
        <f t="shared" ca="1" si="217"/>
        <v>0</v>
      </c>
      <c r="J1035" s="8">
        <f t="shared" ca="1" si="218"/>
        <v>2</v>
      </c>
      <c r="K1035" s="8">
        <f t="shared" ca="1" si="219"/>
        <v>-148.6200000000008</v>
      </c>
      <c r="L1035" s="8">
        <f t="shared" ca="1" si="220"/>
        <v>11477.940000000006</v>
      </c>
      <c r="M1035" s="9">
        <f ca="1">AVERAGE(E1035:OFFSET(E1035,-M$5+1,0))</f>
        <v>4876.9060000000009</v>
      </c>
      <c r="N1035" s="9">
        <f ca="1">AVERAGE(E1035:OFFSET(E1035,-N$5+1,0))</f>
        <v>4696.9944999999989</v>
      </c>
      <c r="O1035" s="9">
        <f t="shared" ca="1" si="221"/>
        <v>0</v>
      </c>
      <c r="P1035" s="14">
        <f t="shared" si="226"/>
        <v>-1.4865915851245415</v>
      </c>
      <c r="Q1035" s="15">
        <f ca="1">STDEV(P1035:OFFSET(P1035,-$Q$5+1,0))</f>
        <v>1.3266602169361965</v>
      </c>
      <c r="R1035" s="15">
        <f ca="1">STDEV(P1035:OFFSET(P1035,-$R$5+1,0))</f>
        <v>1.6762649322809284</v>
      </c>
      <c r="S1035" s="18">
        <f t="shared" si="213"/>
        <v>107.80000000000018</v>
      </c>
      <c r="T1035" s="18">
        <f t="shared" si="214"/>
        <v>107.80000000000018</v>
      </c>
      <c r="U1035" s="18">
        <f t="shared" si="222"/>
        <v>97.42788216309954</v>
      </c>
      <c r="V1035" s="33">
        <f ca="1">AVERAGE(E1035:OFFSET(E1035,-V$5+1,0))</f>
        <v>4788.3321428571426</v>
      </c>
      <c r="W1035" s="33">
        <f t="shared" ca="1" si="215"/>
        <v>4934.473966101792</v>
      </c>
      <c r="X1035" s="33">
        <f t="shared" ca="1" si="216"/>
        <v>4642.1903196124931</v>
      </c>
      <c r="Y1035" s="32">
        <f t="shared" ca="1" si="223"/>
        <v>0</v>
      </c>
    </row>
    <row r="1036" spans="1:25">
      <c r="A1036" s="5">
        <v>39895</v>
      </c>
      <c r="B1036" s="4">
        <v>5022.6000000000004</v>
      </c>
      <c r="C1036" s="4">
        <v>5124.18</v>
      </c>
      <c r="D1036" s="4">
        <v>5015.82</v>
      </c>
      <c r="E1036" s="4">
        <v>5124.18</v>
      </c>
      <c r="F1036" s="4">
        <v>4549600</v>
      </c>
      <c r="G1036" s="8">
        <f t="shared" si="225"/>
        <v>60.980000000000473</v>
      </c>
      <c r="H1036" s="8">
        <f t="shared" si="224"/>
        <v>101.57999999999993</v>
      </c>
      <c r="I1036" s="20">
        <f t="shared" ca="1" si="217"/>
        <v>0</v>
      </c>
      <c r="J1036" s="8">
        <f t="shared" ca="1" si="218"/>
        <v>2</v>
      </c>
      <c r="K1036" s="8">
        <f t="shared" ca="1" si="219"/>
        <v>325.1200000000008</v>
      </c>
      <c r="L1036" s="8">
        <f t="shared" ca="1" si="220"/>
        <v>11803.060000000007</v>
      </c>
      <c r="M1036" s="9">
        <f ca="1">AVERAGE(E1036:OFFSET(E1036,-M$5+1,0))</f>
        <v>4926.5</v>
      </c>
      <c r="N1036" s="9">
        <f ca="1">AVERAGE(E1036:OFFSET(E1036,-N$5+1,0))</f>
        <v>4729.3144999999986</v>
      </c>
      <c r="O1036" s="9">
        <f t="shared" ca="1" si="221"/>
        <v>0</v>
      </c>
      <c r="P1036" s="14">
        <f t="shared" si="226"/>
        <v>3.2238211909427821</v>
      </c>
      <c r="Q1036" s="15">
        <f ca="1">STDEV(P1036:OFFSET(P1036,-$Q$5+1,0))</f>
        <v>1.4786942091197905</v>
      </c>
      <c r="R1036" s="15">
        <f ca="1">STDEV(P1036:OFFSET(P1036,-$R$5+1,0))</f>
        <v>1.5545597386352035</v>
      </c>
      <c r="S1036" s="18">
        <f t="shared" si="213"/>
        <v>108.36000000000058</v>
      </c>
      <c r="T1036" s="18">
        <f t="shared" si="214"/>
        <v>162.5600000000004</v>
      </c>
      <c r="U1036" s="18">
        <f t="shared" si="222"/>
        <v>106.112164541353</v>
      </c>
      <c r="V1036" s="33">
        <f ca="1">AVERAGE(E1036:OFFSET(E1036,-V$5+1,0))</f>
        <v>4837.5349999999989</v>
      </c>
      <c r="W1036" s="33">
        <f t="shared" ca="1" si="215"/>
        <v>4996.7032468120287</v>
      </c>
      <c r="X1036" s="33">
        <f t="shared" ca="1" si="216"/>
        <v>4678.3667531879692</v>
      </c>
      <c r="Y1036" s="32">
        <f t="shared" ca="1" si="223"/>
        <v>0</v>
      </c>
    </row>
    <row r="1037" spans="1:25">
      <c r="A1037" s="5">
        <v>39896</v>
      </c>
      <c r="B1037" s="4">
        <v>5237.78</v>
      </c>
      <c r="C1037" s="4">
        <v>5264.94</v>
      </c>
      <c r="D1037" s="4">
        <v>5205.9399999999996</v>
      </c>
      <c r="E1037" s="4">
        <v>5242.18</v>
      </c>
      <c r="F1037" s="4">
        <v>6609200</v>
      </c>
      <c r="G1037" s="8">
        <f t="shared" si="225"/>
        <v>113.59999999999945</v>
      </c>
      <c r="H1037" s="8">
        <f t="shared" si="224"/>
        <v>4.4000000000005457</v>
      </c>
      <c r="I1037" s="20">
        <f t="shared" ca="1" si="217"/>
        <v>0</v>
      </c>
      <c r="J1037" s="8">
        <f t="shared" ca="1" si="218"/>
        <v>2</v>
      </c>
      <c r="K1037" s="8">
        <f t="shared" ca="1" si="219"/>
        <v>236</v>
      </c>
      <c r="L1037" s="8">
        <f t="shared" ca="1" si="220"/>
        <v>12039.060000000007</v>
      </c>
      <c r="M1037" s="9">
        <f ca="1">AVERAGE(E1037:OFFSET(E1037,-M$5+1,0))</f>
        <v>4983.616</v>
      </c>
      <c r="N1037" s="9">
        <f ca="1">AVERAGE(E1037:OFFSET(E1037,-N$5+1,0))</f>
        <v>4769.914499999999</v>
      </c>
      <c r="O1037" s="9">
        <f t="shared" ca="1" si="221"/>
        <v>0</v>
      </c>
      <c r="P1037" s="14">
        <f t="shared" si="226"/>
        <v>2.2766930127487739</v>
      </c>
      <c r="Q1037" s="15">
        <f ca="1">STDEV(P1037:OFFSET(P1037,-$Q$5+1,0))</f>
        <v>1.5300572174033615</v>
      </c>
      <c r="R1037" s="15">
        <f ca="1">STDEV(P1037:OFFSET(P1037,-$R$5+1,0))</f>
        <v>1.5811793065171718</v>
      </c>
      <c r="S1037" s="18">
        <f t="shared" si="213"/>
        <v>59</v>
      </c>
      <c r="T1037" s="18">
        <f t="shared" si="214"/>
        <v>140.75999999999931</v>
      </c>
      <c r="U1037" s="18">
        <f t="shared" si="222"/>
        <v>110.73187593583918</v>
      </c>
      <c r="V1037" s="33">
        <f ca="1">AVERAGE(E1037:OFFSET(E1037,-V$5+1,0))</f>
        <v>4887.5892857142853</v>
      </c>
      <c r="W1037" s="33">
        <f t="shared" ca="1" si="215"/>
        <v>5053.6870996180442</v>
      </c>
      <c r="X1037" s="33">
        <f t="shared" ca="1" si="216"/>
        <v>4721.4914718105265</v>
      </c>
      <c r="Y1037" s="32">
        <f t="shared" ca="1" si="223"/>
        <v>0</v>
      </c>
    </row>
    <row r="1038" spans="1:25">
      <c r="A1038" s="5">
        <v>39897</v>
      </c>
      <c r="B1038" s="4">
        <v>5248.78</v>
      </c>
      <c r="C1038" s="4">
        <v>5365.81</v>
      </c>
      <c r="D1038" s="4">
        <v>5226.49</v>
      </c>
      <c r="E1038" s="4">
        <v>5346.38</v>
      </c>
      <c r="F1038" s="4">
        <v>7001400</v>
      </c>
      <c r="G1038" s="8">
        <f t="shared" si="225"/>
        <v>6.5999999999994543</v>
      </c>
      <c r="H1038" s="8">
        <f t="shared" si="224"/>
        <v>97.600000000000364</v>
      </c>
      <c r="I1038" s="20">
        <f t="shared" ca="1" si="217"/>
        <v>0</v>
      </c>
      <c r="J1038" s="8">
        <f t="shared" ca="1" si="218"/>
        <v>2</v>
      </c>
      <c r="K1038" s="8">
        <f t="shared" ca="1" si="219"/>
        <v>208.39999999999964</v>
      </c>
      <c r="L1038" s="8">
        <f t="shared" ca="1" si="220"/>
        <v>12247.460000000006</v>
      </c>
      <c r="M1038" s="9">
        <f ca="1">AVERAGE(E1038:OFFSET(E1038,-M$5+1,0))</f>
        <v>5042.2579999999998</v>
      </c>
      <c r="N1038" s="9">
        <f ca="1">AVERAGE(E1038:OFFSET(E1038,-N$5+1,0))</f>
        <v>4812.5464999999995</v>
      </c>
      <c r="O1038" s="9">
        <f t="shared" ca="1" si="221"/>
        <v>0</v>
      </c>
      <c r="P1038" s="14">
        <f t="shared" si="226"/>
        <v>1.9682254022177825</v>
      </c>
      <c r="Q1038" s="15">
        <f ca="1">STDEV(P1038:OFFSET(P1038,-$Q$5+1,0))</f>
        <v>1.5346350830932547</v>
      </c>
      <c r="R1038" s="15">
        <f ca="1">STDEV(P1038:OFFSET(P1038,-$R$5+1,0))</f>
        <v>1.5986379694973061</v>
      </c>
      <c r="S1038" s="18">
        <f t="shared" si="213"/>
        <v>139.32000000000062</v>
      </c>
      <c r="T1038" s="18">
        <f t="shared" si="214"/>
        <v>139.32000000000062</v>
      </c>
      <c r="U1038" s="18">
        <f t="shared" si="222"/>
        <v>114.54362581106071</v>
      </c>
      <c r="V1038" s="33">
        <f ca="1">AVERAGE(E1038:OFFSET(E1038,-V$5+1,0))</f>
        <v>4938.2450000000008</v>
      </c>
      <c r="W1038" s="33">
        <f t="shared" ca="1" si="215"/>
        <v>5110.0604387165922</v>
      </c>
      <c r="X1038" s="33">
        <f t="shared" ca="1" si="216"/>
        <v>4766.4295612834094</v>
      </c>
      <c r="Y1038" s="32">
        <f t="shared" ca="1" si="223"/>
        <v>0</v>
      </c>
    </row>
    <row r="1039" spans="1:25">
      <c r="A1039" s="5">
        <v>39898</v>
      </c>
      <c r="B1039" s="4">
        <v>5374.77</v>
      </c>
      <c r="C1039" s="4">
        <v>5422.95</v>
      </c>
      <c r="D1039" s="4">
        <v>5335.35</v>
      </c>
      <c r="E1039" s="4">
        <v>5386.56</v>
      </c>
      <c r="F1039" s="4">
        <v>7339800</v>
      </c>
      <c r="G1039" s="8">
        <f t="shared" si="225"/>
        <v>28.390000000000327</v>
      </c>
      <c r="H1039" s="8">
        <f t="shared" si="224"/>
        <v>11.789999999999964</v>
      </c>
      <c r="I1039" s="20">
        <f t="shared" ca="1" si="217"/>
        <v>0</v>
      </c>
      <c r="J1039" s="8">
        <f t="shared" ca="1" si="218"/>
        <v>2</v>
      </c>
      <c r="K1039" s="8">
        <f t="shared" ca="1" si="219"/>
        <v>80.360000000000582</v>
      </c>
      <c r="L1039" s="8">
        <f t="shared" ca="1" si="220"/>
        <v>12327.820000000007</v>
      </c>
      <c r="M1039" s="9">
        <f ca="1">AVERAGE(E1039:OFFSET(E1039,-M$5+1,0))</f>
        <v>5105.4489999999987</v>
      </c>
      <c r="N1039" s="9">
        <f ca="1">AVERAGE(E1039:OFFSET(E1039,-N$5+1,0))</f>
        <v>4855.9465</v>
      </c>
      <c r="O1039" s="9">
        <f t="shared" ca="1" si="221"/>
        <v>0</v>
      </c>
      <c r="P1039" s="14">
        <f t="shared" si="226"/>
        <v>0.74872658758078114</v>
      </c>
      <c r="Q1039" s="15">
        <f ca="1">STDEV(P1039:OFFSET(P1039,-$Q$5+1,0))</f>
        <v>1.4783982903780757</v>
      </c>
      <c r="R1039" s="15">
        <f ca="1">STDEV(P1039:OFFSET(P1039,-$R$5+1,0))</f>
        <v>1.5013255726986343</v>
      </c>
      <c r="S1039" s="18">
        <f t="shared" si="213"/>
        <v>87.599999999999454</v>
      </c>
      <c r="T1039" s="18">
        <f t="shared" si="214"/>
        <v>87.599999999999454</v>
      </c>
      <c r="U1039" s="18">
        <f t="shared" si="222"/>
        <v>110.95114236958587</v>
      </c>
      <c r="V1039" s="33">
        <f ca="1">AVERAGE(E1039:OFFSET(E1039,-V$5+1,0))</f>
        <v>4990.5971428571429</v>
      </c>
      <c r="W1039" s="33">
        <f t="shared" ca="1" si="215"/>
        <v>5157.0238564115216</v>
      </c>
      <c r="X1039" s="33">
        <f t="shared" ca="1" si="216"/>
        <v>4824.1704293027642</v>
      </c>
      <c r="Y1039" s="32">
        <f t="shared" ca="1" si="223"/>
        <v>0</v>
      </c>
    </row>
    <row r="1040" spans="1:25">
      <c r="A1040" s="5">
        <v>39899</v>
      </c>
      <c r="B1040" s="4">
        <v>5468.49</v>
      </c>
      <c r="C1040" s="4">
        <v>5468.49</v>
      </c>
      <c r="D1040" s="4">
        <v>5367.99</v>
      </c>
      <c r="E1040" s="4">
        <v>5390.7</v>
      </c>
      <c r="F1040" s="4">
        <v>7301000</v>
      </c>
      <c r="G1040" s="8">
        <f t="shared" si="225"/>
        <v>81.929999999999382</v>
      </c>
      <c r="H1040" s="8">
        <f t="shared" si="224"/>
        <v>-77.789999999999964</v>
      </c>
      <c r="I1040" s="20">
        <f t="shared" ca="1" si="217"/>
        <v>0</v>
      </c>
      <c r="J1040" s="8">
        <f t="shared" ca="1" si="218"/>
        <v>2</v>
      </c>
      <c r="K1040" s="8">
        <f t="shared" ca="1" si="219"/>
        <v>8.2799999999988358</v>
      </c>
      <c r="L1040" s="8">
        <f t="shared" ca="1" si="220"/>
        <v>12336.100000000006</v>
      </c>
      <c r="M1040" s="9">
        <f ca="1">AVERAGE(E1040:OFFSET(E1040,-M$5+1,0))</f>
        <v>5154.78</v>
      </c>
      <c r="N1040" s="9">
        <f ca="1">AVERAGE(E1040:OFFSET(E1040,-N$5+1,0))</f>
        <v>4897.6239999999998</v>
      </c>
      <c r="O1040" s="9">
        <f t="shared" ca="1" si="221"/>
        <v>0</v>
      </c>
      <c r="P1040" s="14">
        <f t="shared" si="226"/>
        <v>7.6828436980065751E-2</v>
      </c>
      <c r="Q1040" s="15">
        <f ca="1">STDEV(P1040:OFFSET(P1040,-$Q$5+1,0))</f>
        <v>1.3859502398745212</v>
      </c>
      <c r="R1040" s="15">
        <f ca="1">STDEV(P1040:OFFSET(P1040,-$R$5+1,0))</f>
        <v>1.501743104908714</v>
      </c>
      <c r="S1040" s="18">
        <f t="shared" si="213"/>
        <v>100.5</v>
      </c>
      <c r="T1040" s="18">
        <f t="shared" si="214"/>
        <v>100.5</v>
      </c>
      <c r="U1040" s="18">
        <f t="shared" si="222"/>
        <v>109.55765672030776</v>
      </c>
      <c r="V1040" s="33">
        <f ca="1">AVERAGE(E1040:OFFSET(E1040,-V$5+1,0))</f>
        <v>5045.0585714285708</v>
      </c>
      <c r="W1040" s="33">
        <f t="shared" ca="1" si="215"/>
        <v>5209.3950565090327</v>
      </c>
      <c r="X1040" s="33">
        <f t="shared" ca="1" si="216"/>
        <v>4880.7220863481089</v>
      </c>
      <c r="Y1040" s="32">
        <f t="shared" ca="1" si="223"/>
        <v>0</v>
      </c>
    </row>
    <row r="1041" spans="1:25">
      <c r="A1041" s="5">
        <v>39902</v>
      </c>
      <c r="B1041" s="4">
        <v>5362.9</v>
      </c>
      <c r="C1041" s="4">
        <v>5362.9</v>
      </c>
      <c r="D1041" s="4">
        <v>5166.87</v>
      </c>
      <c r="E1041" s="4">
        <v>5206.05</v>
      </c>
      <c r="F1041" s="4">
        <v>6138600</v>
      </c>
      <c r="G1041" s="8">
        <f t="shared" si="225"/>
        <v>-27.800000000000182</v>
      </c>
      <c r="H1041" s="8">
        <f t="shared" si="224"/>
        <v>-156.84999999999945</v>
      </c>
      <c r="I1041" s="20">
        <f t="shared" ca="1" si="217"/>
        <v>0</v>
      </c>
      <c r="J1041" s="8">
        <f t="shared" ca="1" si="218"/>
        <v>2</v>
      </c>
      <c r="K1041" s="8">
        <f t="shared" ca="1" si="219"/>
        <v>-369.29999999999927</v>
      </c>
      <c r="L1041" s="8">
        <f t="shared" ca="1" si="220"/>
        <v>11966.800000000007</v>
      </c>
      <c r="M1041" s="9">
        <f ca="1">AVERAGE(E1041:OFFSET(E1041,-M$5+1,0))</f>
        <v>5178.2529999999997</v>
      </c>
      <c r="N1041" s="9">
        <f ca="1">AVERAGE(E1041:OFFSET(E1041,-N$5+1,0))</f>
        <v>4936.6349999999993</v>
      </c>
      <c r="O1041" s="9">
        <f t="shared" ca="1" si="221"/>
        <v>0</v>
      </c>
      <c r="P1041" s="14">
        <f t="shared" si="226"/>
        <v>-3.4853835789400316</v>
      </c>
      <c r="Q1041" s="15">
        <f ca="1">STDEV(P1041:OFFSET(P1041,-$Q$5+1,0))</f>
        <v>1.951437522135256</v>
      </c>
      <c r="R1041" s="15">
        <f ca="1">STDEV(P1041:OFFSET(P1041,-$R$5+1,0))</f>
        <v>1.6342123012715379</v>
      </c>
      <c r="S1041" s="18">
        <f t="shared" si="213"/>
        <v>196.02999999999975</v>
      </c>
      <c r="T1041" s="18">
        <f t="shared" si="214"/>
        <v>223.82999999999993</v>
      </c>
      <c r="U1041" s="18">
        <f t="shared" si="222"/>
        <v>124.79396915760006</v>
      </c>
      <c r="V1041" s="33">
        <f ca="1">AVERAGE(E1041:OFFSET(E1041,-V$5+1,0))</f>
        <v>5083.2750000000005</v>
      </c>
      <c r="W1041" s="33">
        <f t="shared" ca="1" si="215"/>
        <v>5270.4659537364005</v>
      </c>
      <c r="X1041" s="33">
        <f t="shared" ca="1" si="216"/>
        <v>4896.0840462636006</v>
      </c>
      <c r="Y1041" s="32">
        <f t="shared" ca="1" si="223"/>
        <v>0</v>
      </c>
    </row>
    <row r="1042" spans="1:25">
      <c r="A1042" s="5">
        <v>39903</v>
      </c>
      <c r="B1042" s="4">
        <v>5214.96</v>
      </c>
      <c r="C1042" s="4">
        <v>5286.45</v>
      </c>
      <c r="D1042" s="4">
        <v>5194.93</v>
      </c>
      <c r="E1042" s="4">
        <v>5210.84</v>
      </c>
      <c r="F1042" s="4">
        <v>5029000</v>
      </c>
      <c r="G1042" s="8">
        <f t="shared" si="225"/>
        <v>8.9099999999998545</v>
      </c>
      <c r="H1042" s="8">
        <f t="shared" si="224"/>
        <v>-4.1199999999998909</v>
      </c>
      <c r="I1042" s="20">
        <f t="shared" ca="1" si="217"/>
        <v>0</v>
      </c>
      <c r="J1042" s="8">
        <f t="shared" ca="1" si="218"/>
        <v>2</v>
      </c>
      <c r="K1042" s="8">
        <f t="shared" ca="1" si="219"/>
        <v>9.5799999999999272</v>
      </c>
      <c r="L1042" s="8">
        <f t="shared" ca="1" si="220"/>
        <v>11976.380000000006</v>
      </c>
      <c r="M1042" s="9">
        <f ca="1">AVERAGE(E1042:OFFSET(E1042,-M$5+1,0))</f>
        <v>5195.1979999999994</v>
      </c>
      <c r="N1042" s="9">
        <f ca="1">AVERAGE(E1042:OFFSET(E1042,-N$5+1,0))</f>
        <v>4975.4099999999989</v>
      </c>
      <c r="O1042" s="9">
        <f t="shared" ca="1" si="221"/>
        <v>0</v>
      </c>
      <c r="P1042" s="14">
        <f t="shared" si="226"/>
        <v>9.1966034730241841E-2</v>
      </c>
      <c r="Q1042" s="15">
        <f ca="1">STDEV(P1042:OFFSET(P1042,-$Q$5+1,0))</f>
        <v>1.9252142440594695</v>
      </c>
      <c r="R1042" s="15">
        <f ca="1">STDEV(P1042:OFFSET(P1042,-$R$5+1,0))</f>
        <v>1.5988798621294531</v>
      </c>
      <c r="S1042" s="18">
        <f t="shared" si="213"/>
        <v>91.519999999999527</v>
      </c>
      <c r="T1042" s="18">
        <f t="shared" si="214"/>
        <v>91.519999999999527</v>
      </c>
      <c r="U1042" s="18">
        <f t="shared" si="222"/>
        <v>120.35743993658666</v>
      </c>
      <c r="V1042" s="33">
        <f ca="1">AVERAGE(E1042:OFFSET(E1042,-V$5+1,0))</f>
        <v>5115.4807142857144</v>
      </c>
      <c r="W1042" s="33">
        <f t="shared" ca="1" si="215"/>
        <v>5296.0168741905945</v>
      </c>
      <c r="X1042" s="33">
        <f t="shared" ca="1" si="216"/>
        <v>4934.9445543808342</v>
      </c>
      <c r="Y1042" s="32">
        <f t="shared" ca="1" si="223"/>
        <v>0</v>
      </c>
    </row>
    <row r="1043" spans="1:25">
      <c r="A1043" s="5">
        <v>39904</v>
      </c>
      <c r="B1043" s="4">
        <v>5271.83</v>
      </c>
      <c r="C1043" s="4">
        <v>5341.31</v>
      </c>
      <c r="D1043" s="4">
        <v>5271.83</v>
      </c>
      <c r="E1043" s="4">
        <v>5314.45</v>
      </c>
      <c r="F1043" s="4">
        <v>5232400</v>
      </c>
      <c r="G1043" s="8">
        <f t="shared" si="225"/>
        <v>60.989999999999782</v>
      </c>
      <c r="H1043" s="8">
        <f t="shared" si="224"/>
        <v>42.619999999999891</v>
      </c>
      <c r="I1043" s="20">
        <f t="shared" ca="1" si="217"/>
        <v>0</v>
      </c>
      <c r="J1043" s="8">
        <f t="shared" ca="1" si="218"/>
        <v>2</v>
      </c>
      <c r="K1043" s="8">
        <f t="shared" ca="1" si="219"/>
        <v>207.21999999999935</v>
      </c>
      <c r="L1043" s="8">
        <f t="shared" ca="1" si="220"/>
        <v>12183.600000000006</v>
      </c>
      <c r="M1043" s="9">
        <f ca="1">AVERAGE(E1043:OFFSET(E1043,-M$5+1,0))</f>
        <v>5221.8890000000001</v>
      </c>
      <c r="N1043" s="9">
        <f ca="1">AVERAGE(E1043:OFFSET(E1043,-N$5+1,0))</f>
        <v>5014.0614999999998</v>
      </c>
      <c r="O1043" s="9">
        <f t="shared" ca="1" si="221"/>
        <v>0</v>
      </c>
      <c r="P1043" s="14">
        <f t="shared" si="226"/>
        <v>1.9688454548172307</v>
      </c>
      <c r="Q1043" s="15">
        <f ca="1">STDEV(P1043:OFFSET(P1043,-$Q$5+1,0))</f>
        <v>1.990456716390429</v>
      </c>
      <c r="R1043" s="15">
        <f ca="1">STDEV(P1043:OFFSET(P1043,-$R$5+1,0))</f>
        <v>1.6170433704994158</v>
      </c>
      <c r="S1043" s="18">
        <f t="shared" si="213"/>
        <v>69.480000000000473</v>
      </c>
      <c r="T1043" s="18">
        <f t="shared" si="214"/>
        <v>130.47000000000025</v>
      </c>
      <c r="U1043" s="18">
        <f t="shared" si="222"/>
        <v>121.70578127837514</v>
      </c>
      <c r="V1043" s="33">
        <f ca="1">AVERAGE(E1043:OFFSET(E1043,-V$5+1,0))</f>
        <v>5155.4664285714271</v>
      </c>
      <c r="W1043" s="33">
        <f t="shared" ca="1" si="215"/>
        <v>5338.0251004889897</v>
      </c>
      <c r="X1043" s="33">
        <f t="shared" ca="1" si="216"/>
        <v>4972.9077566538645</v>
      </c>
      <c r="Y1043" s="32">
        <f t="shared" ca="1" si="223"/>
        <v>0</v>
      </c>
    </row>
    <row r="1044" spans="1:25">
      <c r="A1044" s="5">
        <v>39905</v>
      </c>
      <c r="B1044" s="4">
        <v>5428.92</v>
      </c>
      <c r="C1044" s="4">
        <v>5477.97</v>
      </c>
      <c r="D1044" s="4">
        <v>5401.3</v>
      </c>
      <c r="E1044" s="4">
        <v>5473.78</v>
      </c>
      <c r="F1044" s="4">
        <v>7837800</v>
      </c>
      <c r="G1044" s="8">
        <f t="shared" si="225"/>
        <v>114.47000000000025</v>
      </c>
      <c r="H1044" s="8">
        <f t="shared" si="224"/>
        <v>44.859999999999673</v>
      </c>
      <c r="I1044" s="20">
        <f t="shared" ca="1" si="217"/>
        <v>1</v>
      </c>
      <c r="J1044" s="8">
        <f t="shared" ca="1" si="218"/>
        <v>2</v>
      </c>
      <c r="K1044" s="8">
        <f t="shared" ca="1" si="219"/>
        <v>318.65999999999985</v>
      </c>
      <c r="L1044" s="8">
        <f t="shared" ca="1" si="220"/>
        <v>12502.260000000006</v>
      </c>
      <c r="M1044" s="9">
        <f ca="1">AVERAGE(E1044:OFFSET(E1044,-M$5+1,0))</f>
        <v>5265.6740000000009</v>
      </c>
      <c r="N1044" s="9">
        <f ca="1">AVERAGE(E1044:OFFSET(E1044,-N$5+1,0))</f>
        <v>5055.8904999999995</v>
      </c>
      <c r="O1044" s="9">
        <f t="shared" ca="1" si="221"/>
        <v>0</v>
      </c>
      <c r="P1044" s="14">
        <f t="shared" si="226"/>
        <v>2.9539894097353971</v>
      </c>
      <c r="Q1044" s="15">
        <f ca="1">STDEV(P1044:OFFSET(P1044,-$Q$5+1,0))</f>
        <v>2.1090998273229387</v>
      </c>
      <c r="R1044" s="15">
        <f ca="1">STDEV(P1044:OFFSET(P1044,-$R$5+1,0))</f>
        <v>1.6533416104041985</v>
      </c>
      <c r="S1044" s="18">
        <f t="shared" si="213"/>
        <v>76.670000000000073</v>
      </c>
      <c r="T1044" s="18">
        <f t="shared" si="214"/>
        <v>163.52000000000044</v>
      </c>
      <c r="U1044" s="18">
        <f t="shared" si="222"/>
        <v>127.28101044125852</v>
      </c>
      <c r="V1044" s="33">
        <f ca="1">AVERAGE(E1044:OFFSET(E1044,-V$5+1,0))</f>
        <v>5196.6371428571429</v>
      </c>
      <c r="W1044" s="33">
        <f t="shared" ca="1" si="215"/>
        <v>5387.5586585190304</v>
      </c>
      <c r="X1044" s="33">
        <f t="shared" ca="1" si="216"/>
        <v>5005.7156271952554</v>
      </c>
      <c r="Y1044" s="32">
        <f t="shared" ca="1" si="223"/>
        <v>1</v>
      </c>
    </row>
    <row r="1045" spans="1:25">
      <c r="A1045" s="5">
        <v>39906</v>
      </c>
      <c r="B1045" s="4">
        <v>5541.34</v>
      </c>
      <c r="C1045" s="4">
        <v>5567.15</v>
      </c>
      <c r="D1045" s="4">
        <v>5482.18</v>
      </c>
      <c r="E1045" s="4">
        <v>5529.63</v>
      </c>
      <c r="F1045" s="4">
        <v>8533200</v>
      </c>
      <c r="G1045" s="8">
        <f t="shared" si="225"/>
        <v>67.5600000000004</v>
      </c>
      <c r="H1045" s="8">
        <f t="shared" si="224"/>
        <v>-11.710000000000036</v>
      </c>
      <c r="I1045" s="20">
        <f t="shared" ca="1" si="217"/>
        <v>0</v>
      </c>
      <c r="J1045" s="8">
        <f t="shared" ca="1" si="218"/>
        <v>3</v>
      </c>
      <c r="K1045" s="8">
        <f t="shared" ca="1" si="219"/>
        <v>99.990000000000691</v>
      </c>
      <c r="L1045" s="8">
        <f t="shared" ca="1" si="220"/>
        <v>12602.250000000007</v>
      </c>
      <c r="M1045" s="9">
        <f ca="1">AVERAGE(E1045:OFFSET(E1045,-M$5+1,0))</f>
        <v>5322.4749999999995</v>
      </c>
      <c r="N1045" s="9">
        <f ca="1">AVERAGE(E1045:OFFSET(E1045,-N$5+1,0))</f>
        <v>5099.6904999999997</v>
      </c>
      <c r="O1045" s="9">
        <f t="shared" ca="1" si="221"/>
        <v>0</v>
      </c>
      <c r="P1045" s="14">
        <f t="shared" si="226"/>
        <v>1.0151485698240861</v>
      </c>
      <c r="Q1045" s="15">
        <f ca="1">STDEV(P1045:OFFSET(P1045,-$Q$5+1,0))</f>
        <v>1.9453065646145118</v>
      </c>
      <c r="R1045" s="15">
        <f ca="1">STDEV(P1045:OFFSET(P1045,-$R$5+1,0))</f>
        <v>1.6269381888747925</v>
      </c>
      <c r="S1045" s="18">
        <f t="shared" si="213"/>
        <v>84.969999999999345</v>
      </c>
      <c r="T1045" s="18">
        <f t="shared" si="214"/>
        <v>93.369999999999891</v>
      </c>
      <c r="U1045" s="18">
        <f t="shared" si="222"/>
        <v>122.75954238242403</v>
      </c>
      <c r="V1045" s="33">
        <f ca="1">AVERAGE(E1045:OFFSET(E1045,-V$5+1,0))</f>
        <v>5236.5164285714282</v>
      </c>
      <c r="W1045" s="33">
        <f t="shared" ca="1" si="215"/>
        <v>5420.6557421450643</v>
      </c>
      <c r="X1045" s="33">
        <f t="shared" ca="1" si="216"/>
        <v>5052.377114997792</v>
      </c>
      <c r="Y1045" s="32">
        <f t="shared" ca="1" si="223"/>
        <v>0</v>
      </c>
    </row>
    <row r="1046" spans="1:25">
      <c r="A1046" s="5">
        <v>39909</v>
      </c>
      <c r="B1046" s="4">
        <v>5590.7</v>
      </c>
      <c r="C1046" s="4">
        <v>5624.28</v>
      </c>
      <c r="D1046" s="4">
        <v>5521.88</v>
      </c>
      <c r="E1046" s="4">
        <v>5556.22</v>
      </c>
      <c r="F1046" s="4">
        <v>7273200</v>
      </c>
      <c r="G1046" s="8">
        <f t="shared" si="225"/>
        <v>61.069999999999709</v>
      </c>
      <c r="H1046" s="8">
        <f t="shared" si="224"/>
        <v>-34.479999999999563</v>
      </c>
      <c r="I1046" s="20">
        <f t="shared" ca="1" si="217"/>
        <v>0</v>
      </c>
      <c r="J1046" s="8">
        <f t="shared" ca="1" si="218"/>
        <v>3</v>
      </c>
      <c r="K1046" s="8">
        <f t="shared" ca="1" si="219"/>
        <v>79.770000000000437</v>
      </c>
      <c r="L1046" s="8">
        <f t="shared" ca="1" si="220"/>
        <v>12682.020000000008</v>
      </c>
      <c r="M1046" s="9">
        <f ca="1">AVERAGE(E1046:OFFSET(E1046,-M$5+1,0))</f>
        <v>5365.6790000000001</v>
      </c>
      <c r="N1046" s="9">
        <f ca="1">AVERAGE(E1046:OFFSET(E1046,-N$5+1,0))</f>
        <v>5146.0895</v>
      </c>
      <c r="O1046" s="9">
        <f t="shared" ca="1" si="221"/>
        <v>0</v>
      </c>
      <c r="P1046" s="14">
        <f t="shared" si="226"/>
        <v>0.47971154203671457</v>
      </c>
      <c r="Q1046" s="15">
        <f ca="1">STDEV(P1046:OFFSET(P1046,-$Q$5+1,0))</f>
        <v>1.7978582732557047</v>
      </c>
      <c r="R1046" s="15">
        <f ca="1">STDEV(P1046:OFFSET(P1046,-$R$5+1,0))</f>
        <v>1.6269578276391139</v>
      </c>
      <c r="S1046" s="18">
        <f t="shared" si="213"/>
        <v>102.39999999999964</v>
      </c>
      <c r="T1046" s="18">
        <f t="shared" si="214"/>
        <v>102.39999999999964</v>
      </c>
      <c r="U1046" s="18">
        <f t="shared" si="222"/>
        <v>120.04493673143411</v>
      </c>
      <c r="V1046" s="33">
        <f ca="1">AVERAGE(E1046:OFFSET(E1046,-V$5+1,0))</f>
        <v>5273.29</v>
      </c>
      <c r="W1046" s="33">
        <f t="shared" ca="1" si="215"/>
        <v>5453.3574050971511</v>
      </c>
      <c r="X1046" s="33">
        <f t="shared" ca="1" si="216"/>
        <v>5093.2225949028489</v>
      </c>
      <c r="Y1046" s="32">
        <f t="shared" ca="1" si="223"/>
        <v>0</v>
      </c>
    </row>
    <row r="1047" spans="1:25">
      <c r="A1047" s="5">
        <v>39910</v>
      </c>
      <c r="B1047" s="4">
        <v>5497.88</v>
      </c>
      <c r="C1047" s="4">
        <v>5576.85</v>
      </c>
      <c r="D1047" s="4">
        <v>5484.89</v>
      </c>
      <c r="E1047" s="4">
        <v>5576.85</v>
      </c>
      <c r="F1047" s="4">
        <v>5954800</v>
      </c>
      <c r="G1047" s="8">
        <f t="shared" si="225"/>
        <v>-58.340000000000146</v>
      </c>
      <c r="H1047" s="8">
        <f t="shared" si="224"/>
        <v>78.970000000000255</v>
      </c>
      <c r="I1047" s="20">
        <f t="shared" ca="1" si="217"/>
        <v>0</v>
      </c>
      <c r="J1047" s="8">
        <f t="shared" ca="1" si="218"/>
        <v>3</v>
      </c>
      <c r="K1047" s="8">
        <f t="shared" ca="1" si="219"/>
        <v>61.890000000000327</v>
      </c>
      <c r="L1047" s="8">
        <f t="shared" ca="1" si="220"/>
        <v>12743.910000000007</v>
      </c>
      <c r="M1047" s="9">
        <f ca="1">AVERAGE(E1047:OFFSET(E1047,-M$5+1,0))</f>
        <v>5399.1459999999997</v>
      </c>
      <c r="N1047" s="9">
        <f ca="1">AVERAGE(E1047:OFFSET(E1047,-N$5+1,0))</f>
        <v>5191.3810000000003</v>
      </c>
      <c r="O1047" s="9">
        <f t="shared" ca="1" si="221"/>
        <v>0</v>
      </c>
      <c r="P1047" s="14">
        <f t="shared" si="226"/>
        <v>0.37060799245486847</v>
      </c>
      <c r="Q1047" s="15">
        <f ca="1">STDEV(P1047:OFFSET(P1047,-$Q$5+1,0))</f>
        <v>1.7245678753970299</v>
      </c>
      <c r="R1047" s="15">
        <f ca="1">STDEV(P1047:OFFSET(P1047,-$R$5+1,0))</f>
        <v>1.6269133450257836</v>
      </c>
      <c r="S1047" s="18">
        <f t="shared" si="213"/>
        <v>91.960000000000036</v>
      </c>
      <c r="T1047" s="18">
        <f t="shared" si="214"/>
        <v>91.960000000000036</v>
      </c>
      <c r="U1047" s="18">
        <f t="shared" si="222"/>
        <v>116.30027850057624</v>
      </c>
      <c r="V1047" s="33">
        <f ca="1">AVERAGE(E1047:OFFSET(E1047,-V$5+1,0))</f>
        <v>5311.0978571428568</v>
      </c>
      <c r="W1047" s="33">
        <f t="shared" ca="1" si="215"/>
        <v>5485.5482748937211</v>
      </c>
      <c r="X1047" s="33">
        <f t="shared" ca="1" si="216"/>
        <v>5136.6474393919925</v>
      </c>
      <c r="Y1047" s="32">
        <f t="shared" ca="1" si="223"/>
        <v>0</v>
      </c>
    </row>
    <row r="1048" spans="1:25">
      <c r="A1048" s="5">
        <v>39911</v>
      </c>
      <c r="B1048" s="4">
        <v>5534.58</v>
      </c>
      <c r="C1048" s="4">
        <v>5608.96</v>
      </c>
      <c r="D1048" s="4">
        <v>5435.04</v>
      </c>
      <c r="E1048" s="4">
        <v>5443.56</v>
      </c>
      <c r="F1048" s="4">
        <v>7470600</v>
      </c>
      <c r="G1048" s="8">
        <f t="shared" si="225"/>
        <v>-42.270000000000437</v>
      </c>
      <c r="H1048" s="8">
        <f t="shared" si="224"/>
        <v>-91.019999999999527</v>
      </c>
      <c r="I1048" s="20">
        <f t="shared" ca="1" si="217"/>
        <v>0</v>
      </c>
      <c r="J1048" s="8">
        <f t="shared" ca="1" si="218"/>
        <v>3</v>
      </c>
      <c r="K1048" s="8">
        <f t="shared" ca="1" si="219"/>
        <v>-399.86999999999989</v>
      </c>
      <c r="L1048" s="8">
        <f t="shared" ca="1" si="220"/>
        <v>12344.040000000008</v>
      </c>
      <c r="M1048" s="9">
        <f ca="1">AVERAGE(E1048:OFFSET(E1048,-M$5+1,0))</f>
        <v>5408.8639999999996</v>
      </c>
      <c r="N1048" s="9">
        <f ca="1">AVERAGE(E1048:OFFSET(E1048,-N$5+1,0))</f>
        <v>5225.5609999999997</v>
      </c>
      <c r="O1048" s="9">
        <f t="shared" ca="1" si="221"/>
        <v>0</v>
      </c>
      <c r="P1048" s="14">
        <f t="shared" si="226"/>
        <v>-2.4190842266414858</v>
      </c>
      <c r="Q1048" s="15">
        <f ca="1">STDEV(P1048:OFFSET(P1048,-$Q$5+1,0))</f>
        <v>1.8929910650527388</v>
      </c>
      <c r="R1048" s="15">
        <f ca="1">STDEV(P1048:OFFSET(P1048,-$R$5+1,0))</f>
        <v>1.6888687806810116</v>
      </c>
      <c r="S1048" s="18">
        <f t="shared" si="213"/>
        <v>173.92000000000007</v>
      </c>
      <c r="T1048" s="18">
        <f t="shared" si="214"/>
        <v>173.92000000000007</v>
      </c>
      <c r="U1048" s="18">
        <f t="shared" si="222"/>
        <v>123.98290803383276</v>
      </c>
      <c r="V1048" s="33">
        <f ca="1">AVERAGE(E1048:OFFSET(E1048,-V$5+1,0))</f>
        <v>5340.2142857142853</v>
      </c>
      <c r="W1048" s="33">
        <f t="shared" ca="1" si="215"/>
        <v>5526.1886477650341</v>
      </c>
      <c r="X1048" s="33">
        <f t="shared" ca="1" si="216"/>
        <v>5154.2399236635365</v>
      </c>
      <c r="Y1048" s="32">
        <f t="shared" ca="1" si="223"/>
        <v>0</v>
      </c>
    </row>
    <row r="1049" spans="1:25">
      <c r="A1049" s="5">
        <v>39912</v>
      </c>
      <c r="B1049" s="4">
        <v>5532.99</v>
      </c>
      <c r="C1049" s="4">
        <v>5667.8</v>
      </c>
      <c r="D1049" s="4">
        <v>5526.13</v>
      </c>
      <c r="E1049" s="4">
        <v>5667.8</v>
      </c>
      <c r="F1049" s="4">
        <v>7002600</v>
      </c>
      <c r="G1049" s="8">
        <f t="shared" si="225"/>
        <v>89.429999999999382</v>
      </c>
      <c r="H1049" s="8">
        <f t="shared" si="224"/>
        <v>134.8100000000004</v>
      </c>
      <c r="I1049" s="20">
        <f t="shared" ca="1" si="217"/>
        <v>1</v>
      </c>
      <c r="J1049" s="8">
        <f t="shared" ca="1" si="218"/>
        <v>3</v>
      </c>
      <c r="K1049" s="8">
        <f t="shared" ca="1" si="219"/>
        <v>672.71999999999935</v>
      </c>
      <c r="L1049" s="8">
        <f t="shared" ca="1" si="220"/>
        <v>13016.760000000007</v>
      </c>
      <c r="M1049" s="9">
        <f ca="1">AVERAGE(E1049:OFFSET(E1049,-M$5+1,0))</f>
        <v>5436.9879999999994</v>
      </c>
      <c r="N1049" s="9">
        <f ca="1">AVERAGE(E1049:OFFSET(E1049,-N$5+1,0))</f>
        <v>5271.2184999999999</v>
      </c>
      <c r="O1049" s="9">
        <f t="shared" ca="1" si="221"/>
        <v>0</v>
      </c>
      <c r="P1049" s="14">
        <f t="shared" si="226"/>
        <v>4.0367776792221779</v>
      </c>
      <c r="Q1049" s="15">
        <f ca="1">STDEV(P1049:OFFSET(P1049,-$Q$5+1,0))</f>
        <v>2.253885554200437</v>
      </c>
      <c r="R1049" s="15">
        <f ca="1">STDEV(P1049:OFFSET(P1049,-$R$5+1,0))</f>
        <v>1.7172898351634767</v>
      </c>
      <c r="S1049" s="18">
        <f t="shared" si="213"/>
        <v>141.67000000000007</v>
      </c>
      <c r="T1049" s="18">
        <f t="shared" si="214"/>
        <v>224.23999999999978</v>
      </c>
      <c r="U1049" s="18">
        <f t="shared" si="222"/>
        <v>137.35052029598836</v>
      </c>
      <c r="V1049" s="33">
        <f ca="1">AVERAGE(E1049:OFFSET(E1049,-V$5+1,0))</f>
        <v>5390.6557142857137</v>
      </c>
      <c r="W1049" s="33">
        <f t="shared" ca="1" si="215"/>
        <v>5596.6814947296962</v>
      </c>
      <c r="X1049" s="33">
        <f t="shared" ca="1" si="216"/>
        <v>5184.6299338417311</v>
      </c>
      <c r="Y1049" s="32">
        <f t="shared" ca="1" si="223"/>
        <v>1</v>
      </c>
    </row>
    <row r="1050" spans="1:25">
      <c r="A1050" s="5">
        <v>39913</v>
      </c>
      <c r="B1050" s="4">
        <v>5784.9</v>
      </c>
      <c r="C1050" s="4">
        <v>5788.21</v>
      </c>
      <c r="D1050" s="4">
        <v>5696.56</v>
      </c>
      <c r="E1050" s="4">
        <v>5781.96</v>
      </c>
      <c r="F1050" s="4">
        <v>7954400</v>
      </c>
      <c r="G1050" s="8">
        <f t="shared" si="225"/>
        <v>117.09999999999945</v>
      </c>
      <c r="H1050" s="8">
        <f t="shared" si="224"/>
        <v>-2.9399999999995998</v>
      </c>
      <c r="I1050" s="20">
        <f t="shared" ca="1" si="217"/>
        <v>0</v>
      </c>
      <c r="J1050" s="8">
        <f t="shared" ca="1" si="218"/>
        <v>3</v>
      </c>
      <c r="K1050" s="8">
        <f t="shared" ca="1" si="219"/>
        <v>342.47999999999956</v>
      </c>
      <c r="L1050" s="8">
        <f t="shared" ca="1" si="220"/>
        <v>13359.240000000007</v>
      </c>
      <c r="M1050" s="9">
        <f ca="1">AVERAGE(E1050:OFFSET(E1050,-M$5+1,0))</f>
        <v>5476.1139999999996</v>
      </c>
      <c r="N1050" s="9">
        <f ca="1">AVERAGE(E1050:OFFSET(E1050,-N$5+1,0))</f>
        <v>5315.447000000001</v>
      </c>
      <c r="O1050" s="9">
        <f t="shared" ca="1" si="221"/>
        <v>0</v>
      </c>
      <c r="P1050" s="14">
        <f t="shared" si="226"/>
        <v>1.9941690158006169</v>
      </c>
      <c r="Q1050" s="15">
        <f ca="1">STDEV(P1050:OFFSET(P1050,-$Q$5+1,0))</f>
        <v>2.29423343177077</v>
      </c>
      <c r="R1050" s="15">
        <f ca="1">STDEV(P1050:OFFSET(P1050,-$R$5+1,0))</f>
        <v>1.6958974988427977</v>
      </c>
      <c r="S1050" s="18">
        <f t="shared" si="213"/>
        <v>91.649999999999636</v>
      </c>
      <c r="T1050" s="18">
        <f t="shared" si="214"/>
        <v>120.40999999999985</v>
      </c>
      <c r="U1050" s="18">
        <f t="shared" si="222"/>
        <v>135.09178425652323</v>
      </c>
      <c r="V1050" s="33">
        <f ca="1">AVERAGE(E1050:OFFSET(E1050,-V$5+1,0))</f>
        <v>5437.64</v>
      </c>
      <c r="W1050" s="33">
        <f t="shared" ca="1" si="215"/>
        <v>5640.2776763847851</v>
      </c>
      <c r="X1050" s="33">
        <f t="shared" ca="1" si="216"/>
        <v>5235.0023236152156</v>
      </c>
      <c r="Y1050" s="32">
        <f t="shared" ca="1" si="223"/>
        <v>0</v>
      </c>
    </row>
    <row r="1051" spans="1:25">
      <c r="A1051" s="5">
        <v>39916</v>
      </c>
      <c r="B1051" s="4">
        <v>5814.17</v>
      </c>
      <c r="C1051" s="4">
        <v>5861.11</v>
      </c>
      <c r="D1051" s="4">
        <v>5784.1</v>
      </c>
      <c r="E1051" s="4">
        <v>5857.64</v>
      </c>
      <c r="F1051" s="4">
        <v>7212600</v>
      </c>
      <c r="G1051" s="8">
        <f t="shared" si="225"/>
        <v>32.210000000000036</v>
      </c>
      <c r="H1051" s="8">
        <f t="shared" si="224"/>
        <v>43.470000000000255</v>
      </c>
      <c r="I1051" s="20">
        <f t="shared" ca="1" si="217"/>
        <v>0</v>
      </c>
      <c r="J1051" s="8">
        <f t="shared" ca="1" si="218"/>
        <v>3</v>
      </c>
      <c r="K1051" s="8">
        <f t="shared" ca="1" si="219"/>
        <v>227.04000000000087</v>
      </c>
      <c r="L1051" s="8">
        <f t="shared" ca="1" si="220"/>
        <v>13586.280000000008</v>
      </c>
      <c r="M1051" s="9">
        <f ca="1">AVERAGE(E1051:OFFSET(E1051,-M$5+1,0))</f>
        <v>5541.2730000000001</v>
      </c>
      <c r="N1051" s="9">
        <f ca="1">AVERAGE(E1051:OFFSET(E1051,-N$5+1,0))</f>
        <v>5359.7630000000008</v>
      </c>
      <c r="O1051" s="9">
        <f t="shared" ca="1" si="221"/>
        <v>0</v>
      </c>
      <c r="P1051" s="14">
        <f t="shared" si="226"/>
        <v>1.3004066547058493</v>
      </c>
      <c r="Q1051" s="15">
        <f ca="1">STDEV(P1051:OFFSET(P1051,-$Q$5+1,0))</f>
        <v>1.7612425597060359</v>
      </c>
      <c r="R1051" s="15">
        <f ca="1">STDEV(P1051:OFFSET(P1051,-$R$5+1,0))</f>
        <v>1.6967866175192066</v>
      </c>
      <c r="S1051" s="18">
        <f t="shared" si="213"/>
        <v>77.009999999999309</v>
      </c>
      <c r="T1051" s="18">
        <f t="shared" si="214"/>
        <v>79.149999999999636</v>
      </c>
      <c r="U1051" s="18">
        <f t="shared" si="222"/>
        <v>127.63287968898675</v>
      </c>
      <c r="V1051" s="33">
        <f ca="1">AVERAGE(E1051:OFFSET(E1051,-V$5+1,0))</f>
        <v>5481.6014285714282</v>
      </c>
      <c r="W1051" s="33">
        <f t="shared" ca="1" si="215"/>
        <v>5673.0507481049081</v>
      </c>
      <c r="X1051" s="33">
        <f t="shared" ca="1" si="216"/>
        <v>5290.1521090379483</v>
      </c>
      <c r="Y1051" s="32">
        <f t="shared" ca="1" si="223"/>
        <v>0</v>
      </c>
    </row>
    <row r="1052" spans="1:25">
      <c r="A1052" s="5">
        <v>39917</v>
      </c>
      <c r="B1052" s="4">
        <v>5814.42</v>
      </c>
      <c r="C1052" s="4">
        <v>5898.76</v>
      </c>
      <c r="D1052" s="4">
        <v>5765.81</v>
      </c>
      <c r="E1052" s="4">
        <v>5892.68</v>
      </c>
      <c r="F1052" s="4">
        <v>6466800</v>
      </c>
      <c r="G1052" s="8">
        <f t="shared" si="225"/>
        <v>-43.220000000000255</v>
      </c>
      <c r="H1052" s="8">
        <f t="shared" si="224"/>
        <v>78.260000000000218</v>
      </c>
      <c r="I1052" s="20">
        <f t="shared" ca="1" si="217"/>
        <v>0</v>
      </c>
      <c r="J1052" s="8">
        <f t="shared" ca="1" si="218"/>
        <v>3</v>
      </c>
      <c r="K1052" s="8">
        <f t="shared" ca="1" si="219"/>
        <v>105.11999999999989</v>
      </c>
      <c r="L1052" s="8">
        <f t="shared" ca="1" si="220"/>
        <v>13691.400000000009</v>
      </c>
      <c r="M1052" s="9">
        <f ca="1">AVERAGE(E1052:OFFSET(E1052,-M$5+1,0))</f>
        <v>5609.4570000000003</v>
      </c>
      <c r="N1052" s="9">
        <f ca="1">AVERAGE(E1052:OFFSET(E1052,-N$5+1,0))</f>
        <v>5402.3275000000012</v>
      </c>
      <c r="O1052" s="9">
        <f t="shared" ca="1" si="221"/>
        <v>0</v>
      </c>
      <c r="P1052" s="14">
        <f t="shared" si="226"/>
        <v>0.59641105716498088</v>
      </c>
      <c r="Q1052" s="15">
        <f ca="1">STDEV(P1052:OFFSET(P1052,-$Q$5+1,0))</f>
        <v>1.7336487749702247</v>
      </c>
      <c r="R1052" s="15">
        <f ca="1">STDEV(P1052:OFFSET(P1052,-$R$5+1,0))</f>
        <v>1.6349778597509683</v>
      </c>
      <c r="S1052" s="18">
        <f t="shared" si="213"/>
        <v>132.94999999999982</v>
      </c>
      <c r="T1052" s="18">
        <f t="shared" si="214"/>
        <v>132.94999999999982</v>
      </c>
      <c r="U1052" s="18">
        <f t="shared" si="222"/>
        <v>128.34182906378848</v>
      </c>
      <c r="V1052" s="33">
        <f ca="1">AVERAGE(E1052:OFFSET(E1052,-V$5+1,0))</f>
        <v>5520.6228571428574</v>
      </c>
      <c r="W1052" s="33">
        <f t="shared" ca="1" si="215"/>
        <v>5713.1356007385402</v>
      </c>
      <c r="X1052" s="33">
        <f t="shared" ca="1" si="216"/>
        <v>5328.1101135471745</v>
      </c>
      <c r="Y1052" s="32">
        <f t="shared" ca="1" si="223"/>
        <v>0</v>
      </c>
    </row>
    <row r="1053" spans="1:25">
      <c r="A1053" s="5">
        <v>39918</v>
      </c>
      <c r="B1053" s="4">
        <v>5879.86</v>
      </c>
      <c r="C1053" s="4">
        <v>5904.28</v>
      </c>
      <c r="D1053" s="4">
        <v>5798.62</v>
      </c>
      <c r="E1053" s="4">
        <v>5875.19</v>
      </c>
      <c r="F1053" s="4">
        <v>6486200</v>
      </c>
      <c r="G1053" s="8">
        <f t="shared" si="225"/>
        <v>-12.820000000000618</v>
      </c>
      <c r="H1053" s="8">
        <f t="shared" si="224"/>
        <v>-4.6700000000000728</v>
      </c>
      <c r="I1053" s="20">
        <f t="shared" ca="1" si="217"/>
        <v>0</v>
      </c>
      <c r="J1053" s="8">
        <f t="shared" ca="1" si="218"/>
        <v>3</v>
      </c>
      <c r="K1053" s="8">
        <f t="shared" ca="1" si="219"/>
        <v>-52.470000000002074</v>
      </c>
      <c r="L1053" s="8">
        <f t="shared" ca="1" si="220"/>
        <v>13638.930000000008</v>
      </c>
      <c r="M1053" s="9">
        <f ca="1">AVERAGE(E1053:OFFSET(E1053,-M$5+1,0))</f>
        <v>5665.5310000000009</v>
      </c>
      <c r="N1053" s="9">
        <f ca="1">AVERAGE(E1053:OFFSET(E1053,-N$5+1,0))</f>
        <v>5443.7100000000009</v>
      </c>
      <c r="O1053" s="9">
        <f t="shared" ca="1" si="221"/>
        <v>0</v>
      </c>
      <c r="P1053" s="14">
        <f t="shared" si="226"/>
        <v>-0.29725027346728256</v>
      </c>
      <c r="Q1053" s="15">
        <f ca="1">STDEV(P1053:OFFSET(P1053,-$Q$5+1,0))</f>
        <v>1.7739333943011288</v>
      </c>
      <c r="R1053" s="15">
        <f ca="1">STDEV(P1053:OFFSET(P1053,-$R$5+1,0))</f>
        <v>1.6401793191180081</v>
      </c>
      <c r="S1053" s="18">
        <f t="shared" si="213"/>
        <v>105.65999999999985</v>
      </c>
      <c r="T1053" s="18">
        <f t="shared" si="214"/>
        <v>105.65999999999985</v>
      </c>
      <c r="U1053" s="18">
        <f t="shared" si="222"/>
        <v>125.31758518861666</v>
      </c>
      <c r="V1053" s="33">
        <f ca="1">AVERAGE(E1053:OFFSET(E1053,-V$5+1,0))</f>
        <v>5555.5250000000005</v>
      </c>
      <c r="W1053" s="33">
        <f t="shared" ca="1" si="215"/>
        <v>5743.5013777829254</v>
      </c>
      <c r="X1053" s="33">
        <f t="shared" ca="1" si="216"/>
        <v>5367.5486222170757</v>
      </c>
      <c r="Y1053" s="32">
        <f t="shared" ca="1" si="223"/>
        <v>0</v>
      </c>
    </row>
    <row r="1054" spans="1:25">
      <c r="A1054" s="5">
        <v>39919</v>
      </c>
      <c r="B1054" s="4">
        <v>6009.67</v>
      </c>
      <c r="C1054" s="4">
        <v>6025.85</v>
      </c>
      <c r="D1054" s="4">
        <v>5965.48</v>
      </c>
      <c r="E1054" s="4">
        <v>5997.17</v>
      </c>
      <c r="F1054" s="4">
        <v>7799200</v>
      </c>
      <c r="G1054" s="8">
        <f t="shared" si="225"/>
        <v>134.48000000000047</v>
      </c>
      <c r="H1054" s="8">
        <f t="shared" si="224"/>
        <v>-12.5</v>
      </c>
      <c r="I1054" s="20">
        <f t="shared" ca="1" si="217"/>
        <v>0</v>
      </c>
      <c r="J1054" s="8">
        <f t="shared" ca="1" si="218"/>
        <v>3</v>
      </c>
      <c r="K1054" s="8">
        <f t="shared" ca="1" si="219"/>
        <v>365.94000000000142</v>
      </c>
      <c r="L1054" s="8">
        <f t="shared" ca="1" si="220"/>
        <v>14004.87000000001</v>
      </c>
      <c r="M1054" s="9">
        <f ca="1">AVERAGE(E1054:OFFSET(E1054,-M$5+1,0))</f>
        <v>5717.8700000000008</v>
      </c>
      <c r="N1054" s="9">
        <f ca="1">AVERAGE(E1054:OFFSET(E1054,-N$5+1,0))</f>
        <v>5491.7720000000008</v>
      </c>
      <c r="O1054" s="9">
        <f t="shared" ca="1" si="221"/>
        <v>0</v>
      </c>
      <c r="P1054" s="14">
        <f t="shared" si="226"/>
        <v>2.054929135886236</v>
      </c>
      <c r="Q1054" s="15">
        <f ca="1">STDEV(P1054:OFFSET(P1054,-$Q$5+1,0))</f>
        <v>1.6846061540424675</v>
      </c>
      <c r="R1054" s="15">
        <f ca="1">STDEV(P1054:OFFSET(P1054,-$R$5+1,0))</f>
        <v>1.6547872783642112</v>
      </c>
      <c r="S1054" s="18">
        <f t="shared" si="213"/>
        <v>60.3700000000008</v>
      </c>
      <c r="T1054" s="18">
        <f t="shared" si="214"/>
        <v>150.66000000000076</v>
      </c>
      <c r="U1054" s="18">
        <f t="shared" si="222"/>
        <v>128.69657383013455</v>
      </c>
      <c r="V1054" s="33">
        <f ca="1">AVERAGE(E1054:OFFSET(E1054,-V$5+1,0))</f>
        <v>5598.8442857142854</v>
      </c>
      <c r="W1054" s="33">
        <f t="shared" ca="1" si="215"/>
        <v>5791.8891464594872</v>
      </c>
      <c r="X1054" s="33">
        <f t="shared" ca="1" si="216"/>
        <v>5405.7994249690837</v>
      </c>
      <c r="Y1054" s="32">
        <f t="shared" ca="1" si="223"/>
        <v>0</v>
      </c>
    </row>
    <row r="1055" spans="1:25">
      <c r="A1055" s="5">
        <v>39920</v>
      </c>
      <c r="B1055" s="4">
        <v>6068.55</v>
      </c>
      <c r="C1055" s="4">
        <v>6071.06</v>
      </c>
      <c r="D1055" s="4">
        <v>5706.03</v>
      </c>
      <c r="E1055" s="4">
        <v>5755.38</v>
      </c>
      <c r="F1055" s="4">
        <v>10438800</v>
      </c>
      <c r="G1055" s="8">
        <f t="shared" si="225"/>
        <v>71.380000000000109</v>
      </c>
      <c r="H1055" s="8">
        <f t="shared" si="224"/>
        <v>-313.17000000000007</v>
      </c>
      <c r="I1055" s="20">
        <f t="shared" ca="1" si="217"/>
        <v>0</v>
      </c>
      <c r="J1055" s="8">
        <f t="shared" ca="1" si="218"/>
        <v>3</v>
      </c>
      <c r="K1055" s="8">
        <f t="shared" ca="1" si="219"/>
        <v>-725.36999999999989</v>
      </c>
      <c r="L1055" s="8">
        <f t="shared" ca="1" si="220"/>
        <v>13279.500000000011</v>
      </c>
      <c r="M1055" s="9">
        <f ca="1">AVERAGE(E1055:OFFSET(E1055,-M$5+1,0))</f>
        <v>5740.4449999999997</v>
      </c>
      <c r="N1055" s="9">
        <f ca="1">AVERAGE(E1055:OFFSET(E1055,-N$5+1,0))</f>
        <v>5531.46</v>
      </c>
      <c r="O1055" s="9">
        <f t="shared" ca="1" si="221"/>
        <v>0</v>
      </c>
      <c r="P1055" s="14">
        <f t="shared" si="226"/>
        <v>-4.1152621758153884</v>
      </c>
      <c r="Q1055" s="15">
        <f ca="1">STDEV(P1055:OFFSET(P1055,-$Q$5+1,0))</f>
        <v>2.3138191273680464</v>
      </c>
      <c r="R1055" s="15">
        <f ca="1">STDEV(P1055:OFFSET(P1055,-$R$5+1,0))</f>
        <v>1.7709659472835</v>
      </c>
      <c r="S1055" s="18">
        <f t="shared" si="213"/>
        <v>365.03000000000065</v>
      </c>
      <c r="T1055" s="18">
        <f t="shared" si="214"/>
        <v>365.03000000000065</v>
      </c>
      <c r="U1055" s="18">
        <f t="shared" si="222"/>
        <v>160.20769731945003</v>
      </c>
      <c r="V1055" s="33">
        <f ca="1">AVERAGE(E1055:OFFSET(E1055,-V$5+1,0))</f>
        <v>5638.0821428571435</v>
      </c>
      <c r="W1055" s="33">
        <f t="shared" ca="1" si="215"/>
        <v>5878.3936888363187</v>
      </c>
      <c r="X1055" s="33">
        <f t="shared" ca="1" si="216"/>
        <v>5397.7705968779683</v>
      </c>
      <c r="Y1055" s="32">
        <f t="shared" ca="1" si="223"/>
        <v>0</v>
      </c>
    </row>
    <row r="1056" spans="1:25">
      <c r="A1056" s="5">
        <v>39923</v>
      </c>
      <c r="B1056" s="4">
        <v>5764.48</v>
      </c>
      <c r="C1056" s="4">
        <v>5797.63</v>
      </c>
      <c r="D1056" s="4">
        <v>5648.1</v>
      </c>
      <c r="E1056" s="4">
        <v>5781.66</v>
      </c>
      <c r="F1056" s="4">
        <v>6013800</v>
      </c>
      <c r="G1056" s="8">
        <f t="shared" si="225"/>
        <v>9.0999999999994543</v>
      </c>
      <c r="H1056" s="8">
        <f t="shared" si="224"/>
        <v>17.180000000000291</v>
      </c>
      <c r="I1056" s="20">
        <f t="shared" ca="1" si="217"/>
        <v>0</v>
      </c>
      <c r="J1056" s="8">
        <f t="shared" ca="1" si="218"/>
        <v>3</v>
      </c>
      <c r="K1056" s="8">
        <f t="shared" ca="1" si="219"/>
        <v>78.839999999999236</v>
      </c>
      <c r="L1056" s="8">
        <f t="shared" ca="1" si="220"/>
        <v>13358.340000000011</v>
      </c>
      <c r="M1056" s="9">
        <f ca="1">AVERAGE(E1056:OFFSET(E1056,-M$5+1,0))</f>
        <v>5762.9889999999996</v>
      </c>
      <c r="N1056" s="9">
        <f ca="1">AVERAGE(E1056:OFFSET(E1056,-N$5+1,0))</f>
        <v>5564.3340000000007</v>
      </c>
      <c r="O1056" s="9">
        <f t="shared" ca="1" si="221"/>
        <v>0</v>
      </c>
      <c r="P1056" s="14">
        <f t="shared" si="226"/>
        <v>0.45557691493667934</v>
      </c>
      <c r="Q1056" s="15">
        <f ca="1">STDEV(P1056:OFFSET(P1056,-$Q$5+1,0))</f>
        <v>2.313739494602459</v>
      </c>
      <c r="R1056" s="15">
        <f ca="1">STDEV(P1056:OFFSET(P1056,-$R$5+1,0))</f>
        <v>1.7706908410334012</v>
      </c>
      <c r="S1056" s="18">
        <f t="shared" si="213"/>
        <v>149.52999999999975</v>
      </c>
      <c r="T1056" s="18">
        <f t="shared" si="214"/>
        <v>149.52999999999975</v>
      </c>
      <c r="U1056" s="18">
        <f t="shared" si="222"/>
        <v>158.78400434352332</v>
      </c>
      <c r="V1056" s="33">
        <f ca="1">AVERAGE(E1056:OFFSET(E1056,-V$5+1,0))</f>
        <v>5678.8550000000014</v>
      </c>
      <c r="W1056" s="33">
        <f t="shared" ca="1" si="215"/>
        <v>5917.0310065152862</v>
      </c>
      <c r="X1056" s="33">
        <f t="shared" ca="1" si="216"/>
        <v>5440.6789934847166</v>
      </c>
      <c r="Y1056" s="32">
        <f t="shared" ca="1" si="223"/>
        <v>0</v>
      </c>
    </row>
    <row r="1057" spans="1:25">
      <c r="A1057" s="5">
        <v>39924</v>
      </c>
      <c r="B1057" s="4">
        <v>5665.94</v>
      </c>
      <c r="C1057" s="4">
        <v>5881.41</v>
      </c>
      <c r="D1057" s="4">
        <v>5663.56</v>
      </c>
      <c r="E1057" s="4">
        <v>5881.41</v>
      </c>
      <c r="F1057" s="4">
        <v>5742200</v>
      </c>
      <c r="G1057" s="8">
        <f t="shared" si="225"/>
        <v>-115.72000000000025</v>
      </c>
      <c r="H1057" s="8">
        <f t="shared" si="224"/>
        <v>215.47000000000025</v>
      </c>
      <c r="I1057" s="20">
        <f t="shared" ca="1" si="217"/>
        <v>0</v>
      </c>
      <c r="J1057" s="8">
        <f t="shared" ca="1" si="218"/>
        <v>3</v>
      </c>
      <c r="K1057" s="8">
        <f t="shared" ca="1" si="219"/>
        <v>299.25</v>
      </c>
      <c r="L1057" s="8">
        <f t="shared" ca="1" si="220"/>
        <v>13657.590000000011</v>
      </c>
      <c r="M1057" s="9">
        <f ca="1">AVERAGE(E1057:OFFSET(E1057,-M$5+1,0))</f>
        <v>5793.4449999999997</v>
      </c>
      <c r="N1057" s="9">
        <f ca="1">AVERAGE(E1057:OFFSET(E1057,-N$5+1,0))</f>
        <v>5596.2955000000011</v>
      </c>
      <c r="O1057" s="9">
        <f t="shared" ca="1" si="221"/>
        <v>0</v>
      </c>
      <c r="P1057" s="14">
        <f t="shared" si="226"/>
        <v>1.7105690399567559</v>
      </c>
      <c r="Q1057" s="15">
        <f ca="1">STDEV(P1057:OFFSET(P1057,-$Q$5+1,0))</f>
        <v>2.3505030219311687</v>
      </c>
      <c r="R1057" s="15">
        <f ca="1">STDEV(P1057:OFFSET(P1057,-$R$5+1,0))</f>
        <v>1.7564376475954544</v>
      </c>
      <c r="S1057" s="18">
        <f t="shared" si="213"/>
        <v>217.84999999999945</v>
      </c>
      <c r="T1057" s="18">
        <f t="shared" si="214"/>
        <v>217.84999999999945</v>
      </c>
      <c r="U1057" s="18">
        <f t="shared" si="222"/>
        <v>166.65947043105348</v>
      </c>
      <c r="V1057" s="33">
        <f ca="1">AVERAGE(E1057:OFFSET(E1057,-V$5+1,0))</f>
        <v>5719.352142857143</v>
      </c>
      <c r="W1057" s="33">
        <f t="shared" ca="1" si="215"/>
        <v>5969.3413485037236</v>
      </c>
      <c r="X1057" s="33">
        <f t="shared" ca="1" si="216"/>
        <v>5469.3629372105624</v>
      </c>
      <c r="Y1057" s="32">
        <f t="shared" ca="1" si="223"/>
        <v>0</v>
      </c>
    </row>
    <row r="1058" spans="1:25">
      <c r="A1058" s="5">
        <v>39925</v>
      </c>
      <c r="B1058" s="4">
        <v>5887.48</v>
      </c>
      <c r="C1058" s="4">
        <v>5925.92</v>
      </c>
      <c r="D1058" s="4">
        <v>5856.13</v>
      </c>
      <c r="E1058" s="4">
        <v>5886.11</v>
      </c>
      <c r="F1058" s="4">
        <v>6273800</v>
      </c>
      <c r="G1058" s="8">
        <f t="shared" si="225"/>
        <v>6.069999999999709</v>
      </c>
      <c r="H1058" s="8">
        <f t="shared" si="224"/>
        <v>-1.3699999999998909</v>
      </c>
      <c r="I1058" s="20">
        <f t="shared" ca="1" si="217"/>
        <v>0</v>
      </c>
      <c r="J1058" s="8">
        <f t="shared" ca="1" si="218"/>
        <v>3</v>
      </c>
      <c r="K1058" s="8">
        <f t="shared" ca="1" si="219"/>
        <v>14.099999999999454</v>
      </c>
      <c r="L1058" s="8">
        <f t="shared" ca="1" si="220"/>
        <v>13671.69000000001</v>
      </c>
      <c r="M1058" s="9">
        <f ca="1">AVERAGE(E1058:OFFSET(E1058,-M$5+1,0))</f>
        <v>5837.7</v>
      </c>
      <c r="N1058" s="9">
        <f ca="1">AVERAGE(E1058:OFFSET(E1058,-N$5+1,0))</f>
        <v>5623.2820000000011</v>
      </c>
      <c r="O1058" s="9">
        <f t="shared" ca="1" si="221"/>
        <v>0</v>
      </c>
      <c r="P1058" s="14">
        <f t="shared" si="226"/>
        <v>7.988089673814916E-2</v>
      </c>
      <c r="Q1058" s="15">
        <f ca="1">STDEV(P1058:OFFSET(P1058,-$Q$5+1,0))</f>
        <v>2.123837957447186</v>
      </c>
      <c r="R1058" s="15">
        <f ca="1">STDEV(P1058:OFFSET(P1058,-$R$5+1,0))</f>
        <v>1.755247459838265</v>
      </c>
      <c r="S1058" s="18">
        <f t="shared" si="213"/>
        <v>69.789999999999964</v>
      </c>
      <c r="T1058" s="18">
        <f t="shared" si="214"/>
        <v>69.789999999999964</v>
      </c>
      <c r="U1058" s="18">
        <f t="shared" si="222"/>
        <v>153.74354104024636</v>
      </c>
      <c r="V1058" s="33">
        <f ca="1">AVERAGE(E1058:OFFSET(E1058,-V$5+1,0))</f>
        <v>5748.8042857142864</v>
      </c>
      <c r="W1058" s="33">
        <f t="shared" ca="1" si="215"/>
        <v>5979.4195972746556</v>
      </c>
      <c r="X1058" s="33">
        <f t="shared" ca="1" si="216"/>
        <v>5518.1889741539171</v>
      </c>
      <c r="Y1058" s="32">
        <f t="shared" ca="1" si="223"/>
        <v>0</v>
      </c>
    </row>
    <row r="1059" spans="1:25">
      <c r="A1059" s="5">
        <v>39926</v>
      </c>
      <c r="B1059" s="4">
        <v>5900.45</v>
      </c>
      <c r="C1059" s="4">
        <v>5903.47</v>
      </c>
      <c r="D1059" s="4">
        <v>5789.27</v>
      </c>
      <c r="E1059" s="4">
        <v>5875.24</v>
      </c>
      <c r="F1059" s="4">
        <v>6048800</v>
      </c>
      <c r="G1059" s="8">
        <f t="shared" si="225"/>
        <v>14.340000000000146</v>
      </c>
      <c r="H1059" s="8">
        <f t="shared" si="224"/>
        <v>-25.210000000000036</v>
      </c>
      <c r="I1059" s="20">
        <f t="shared" ca="1" si="217"/>
        <v>0</v>
      </c>
      <c r="J1059" s="8">
        <f t="shared" ca="1" si="218"/>
        <v>3</v>
      </c>
      <c r="K1059" s="8">
        <f t="shared" ca="1" si="219"/>
        <v>-32.609999999999673</v>
      </c>
      <c r="L1059" s="8">
        <f t="shared" ca="1" si="220"/>
        <v>13639.080000000009</v>
      </c>
      <c r="M1059" s="9">
        <f ca="1">AVERAGE(E1059:OFFSET(E1059,-M$5+1,0))</f>
        <v>5858.4439999999995</v>
      </c>
      <c r="N1059" s="9">
        <f ca="1">AVERAGE(E1059:OFFSET(E1059,-N$5+1,0))</f>
        <v>5647.7160000000013</v>
      </c>
      <c r="O1059" s="9">
        <f t="shared" ca="1" si="221"/>
        <v>0</v>
      </c>
      <c r="P1059" s="14">
        <f t="shared" si="226"/>
        <v>-0.18484277901681556</v>
      </c>
      <c r="Q1059" s="15">
        <f ca="1">STDEV(P1059:OFFSET(P1059,-$Q$5+1,0))</f>
        <v>1.7997526555671208</v>
      </c>
      <c r="R1059" s="15">
        <f ca="1">STDEV(P1059:OFFSET(P1059,-$R$5+1,0))</f>
        <v>1.7604260614376066</v>
      </c>
      <c r="S1059" s="18">
        <f t="shared" si="213"/>
        <v>114.19999999999982</v>
      </c>
      <c r="T1059" s="18">
        <f t="shared" si="214"/>
        <v>114.19999999999982</v>
      </c>
      <c r="U1059" s="18">
        <f t="shared" si="222"/>
        <v>148.4710689015468</v>
      </c>
      <c r="V1059" s="33">
        <f ca="1">AVERAGE(E1059:OFFSET(E1059,-V$5+1,0))</f>
        <v>5773.4907142857146</v>
      </c>
      <c r="W1059" s="33">
        <f t="shared" ca="1" si="215"/>
        <v>5996.1973176380352</v>
      </c>
      <c r="X1059" s="33">
        <f t="shared" ca="1" si="216"/>
        <v>5550.784110933394</v>
      </c>
      <c r="Y1059" s="32">
        <f t="shared" ca="1" si="223"/>
        <v>0</v>
      </c>
    </row>
    <row r="1060" spans="1:25">
      <c r="A1060" s="5">
        <v>39927</v>
      </c>
      <c r="B1060" s="4">
        <v>5913.13</v>
      </c>
      <c r="C1060" s="4">
        <v>5987.23</v>
      </c>
      <c r="D1060" s="4">
        <v>5824.42</v>
      </c>
      <c r="E1060" s="4">
        <v>5880.77</v>
      </c>
      <c r="F1060" s="4">
        <v>6519600</v>
      </c>
      <c r="G1060" s="8">
        <f t="shared" si="225"/>
        <v>37.890000000000327</v>
      </c>
      <c r="H1060" s="8">
        <f t="shared" si="224"/>
        <v>-32.359999999999673</v>
      </c>
      <c r="I1060" s="20">
        <f t="shared" ca="1" si="217"/>
        <v>0</v>
      </c>
      <c r="J1060" s="8">
        <f t="shared" ca="1" si="218"/>
        <v>3</v>
      </c>
      <c r="K1060" s="8">
        <f t="shared" ca="1" si="219"/>
        <v>16.590000000001965</v>
      </c>
      <c r="L1060" s="8">
        <f t="shared" ca="1" si="220"/>
        <v>13655.670000000011</v>
      </c>
      <c r="M1060" s="9">
        <f ca="1">AVERAGE(E1060:OFFSET(E1060,-M$5+1,0))</f>
        <v>5868.3249999999998</v>
      </c>
      <c r="N1060" s="9">
        <f ca="1">AVERAGE(E1060:OFFSET(E1060,-N$5+1,0))</f>
        <v>5672.2195000000011</v>
      </c>
      <c r="O1060" s="9">
        <f t="shared" ca="1" si="221"/>
        <v>0</v>
      </c>
      <c r="P1060" s="14">
        <f t="shared" si="226"/>
        <v>9.4079545830299705E-2</v>
      </c>
      <c r="Q1060" s="15">
        <f ca="1">STDEV(P1060:OFFSET(P1060,-$Q$5+1,0))</f>
        <v>1.7058429345278938</v>
      </c>
      <c r="R1060" s="15">
        <f ca="1">STDEV(P1060:OFFSET(P1060,-$R$5+1,0))</f>
        <v>1.7623493733865412</v>
      </c>
      <c r="S1060" s="18">
        <f t="shared" si="213"/>
        <v>162.80999999999949</v>
      </c>
      <c r="T1060" s="18">
        <f t="shared" si="214"/>
        <v>162.80999999999949</v>
      </c>
      <c r="U1060" s="18">
        <f t="shared" si="222"/>
        <v>150.3829263813405</v>
      </c>
      <c r="V1060" s="33">
        <f ca="1">AVERAGE(E1060:OFFSET(E1060,-V$5+1,0))</f>
        <v>5796.6728571428584</v>
      </c>
      <c r="W1060" s="33">
        <f t="shared" ca="1" si="215"/>
        <v>6022.2472467148691</v>
      </c>
      <c r="X1060" s="33">
        <f t="shared" ca="1" si="216"/>
        <v>5571.0984675708478</v>
      </c>
      <c r="Y1060" s="32">
        <f t="shared" ca="1" si="223"/>
        <v>0</v>
      </c>
    </row>
    <row r="1061" spans="1:25">
      <c r="A1061" s="5">
        <v>39930</v>
      </c>
      <c r="B1061" s="4">
        <v>5931.87</v>
      </c>
      <c r="C1061" s="4">
        <v>5946.97</v>
      </c>
      <c r="D1061" s="4">
        <v>5672.25</v>
      </c>
      <c r="E1061" s="4">
        <v>5705.05</v>
      </c>
      <c r="F1061" s="4">
        <v>6312600</v>
      </c>
      <c r="G1061" s="8">
        <f t="shared" si="225"/>
        <v>51.099999999999454</v>
      </c>
      <c r="H1061" s="8">
        <f t="shared" si="224"/>
        <v>-226.81999999999971</v>
      </c>
      <c r="I1061" s="20">
        <f t="shared" ca="1" si="217"/>
        <v>0</v>
      </c>
      <c r="J1061" s="8">
        <f t="shared" ca="1" si="218"/>
        <v>3</v>
      </c>
      <c r="K1061" s="8">
        <f t="shared" ca="1" si="219"/>
        <v>-527.16000000000076</v>
      </c>
      <c r="L1061" s="8">
        <f t="shared" ca="1" si="220"/>
        <v>13128.510000000009</v>
      </c>
      <c r="M1061" s="9">
        <f ca="1">AVERAGE(E1061:OFFSET(E1061,-M$5+1,0))</f>
        <v>5853.0660000000007</v>
      </c>
      <c r="N1061" s="9">
        <f ca="1">AVERAGE(E1061:OFFSET(E1061,-N$5+1,0))</f>
        <v>5697.1695000000018</v>
      </c>
      <c r="O1061" s="9">
        <f t="shared" ca="1" si="221"/>
        <v>0</v>
      </c>
      <c r="P1061" s="14">
        <f t="shared" si="226"/>
        <v>-3.0335958200447073</v>
      </c>
      <c r="Q1061" s="15">
        <f ca="1">STDEV(P1061:OFFSET(P1061,-$Q$5+1,0))</f>
        <v>1.92328368399064</v>
      </c>
      <c r="R1061" s="15">
        <f ca="1">STDEV(P1061:OFFSET(P1061,-$R$5+1,0))</f>
        <v>1.7681061938092062</v>
      </c>
      <c r="S1061" s="18">
        <f t="shared" si="213"/>
        <v>274.72000000000025</v>
      </c>
      <c r="T1061" s="18">
        <f t="shared" si="214"/>
        <v>274.72000000000025</v>
      </c>
      <c r="U1061" s="18">
        <f t="shared" si="222"/>
        <v>166.96120286382848</v>
      </c>
      <c r="V1061" s="33">
        <f ca="1">AVERAGE(E1061:OFFSET(E1061,-V$5+1,0))</f>
        <v>5805.8300000000008</v>
      </c>
      <c r="W1061" s="33">
        <f t="shared" ca="1" si="215"/>
        <v>6056.271804295744</v>
      </c>
      <c r="X1061" s="33">
        <f t="shared" ca="1" si="216"/>
        <v>5555.3881957042577</v>
      </c>
      <c r="Y1061" s="32">
        <f t="shared" ca="1" si="223"/>
        <v>0</v>
      </c>
    </row>
    <row r="1062" spans="1:25">
      <c r="A1062" s="5">
        <v>39931</v>
      </c>
      <c r="B1062" s="4">
        <v>5744.77</v>
      </c>
      <c r="C1062" s="4">
        <v>5773.53</v>
      </c>
      <c r="D1062" s="4">
        <v>5596.73</v>
      </c>
      <c r="E1062" s="4">
        <v>5596.73</v>
      </c>
      <c r="F1062" s="4">
        <v>5991400</v>
      </c>
      <c r="G1062" s="8">
        <f t="shared" si="225"/>
        <v>39.720000000000255</v>
      </c>
      <c r="H1062" s="8">
        <f t="shared" si="224"/>
        <v>-148.04000000000087</v>
      </c>
      <c r="I1062" s="20">
        <f t="shared" ca="1" si="217"/>
        <v>0</v>
      </c>
      <c r="J1062" s="8">
        <f t="shared" ca="1" si="218"/>
        <v>3</v>
      </c>
      <c r="K1062" s="8">
        <f t="shared" ca="1" si="219"/>
        <v>-324.96000000000186</v>
      </c>
      <c r="L1062" s="8">
        <f t="shared" ca="1" si="220"/>
        <v>12803.550000000007</v>
      </c>
      <c r="M1062" s="9">
        <f ca="1">AVERAGE(E1062:OFFSET(E1062,-M$5+1,0))</f>
        <v>5823.4709999999995</v>
      </c>
      <c r="N1062" s="9">
        <f ca="1">AVERAGE(E1062:OFFSET(E1062,-N$5+1,0))</f>
        <v>5716.4640000000018</v>
      </c>
      <c r="O1062" s="9">
        <f t="shared" ca="1" si="221"/>
        <v>0</v>
      </c>
      <c r="P1062" s="14">
        <f t="shared" si="226"/>
        <v>-1.9169248900536631</v>
      </c>
      <c r="Q1062" s="15">
        <f ca="1">STDEV(P1062:OFFSET(P1062,-$Q$5+1,0))</f>
        <v>1.9621869318934189</v>
      </c>
      <c r="R1062" s="15">
        <f ca="1">STDEV(P1062:OFFSET(P1062,-$R$5+1,0))</f>
        <v>1.8126526991719725</v>
      </c>
      <c r="S1062" s="18">
        <f t="shared" si="213"/>
        <v>176.80000000000018</v>
      </c>
      <c r="T1062" s="18">
        <f t="shared" si="214"/>
        <v>176.80000000000018</v>
      </c>
      <c r="U1062" s="18">
        <f t="shared" si="222"/>
        <v>168.2730424819847</v>
      </c>
      <c r="V1062" s="33">
        <f ca="1">AVERAGE(E1062:OFFSET(E1062,-V$5+1,0))</f>
        <v>5816.7707142857134</v>
      </c>
      <c r="W1062" s="33">
        <f t="shared" ca="1" si="215"/>
        <v>6069.1802780086909</v>
      </c>
      <c r="X1062" s="33">
        <f t="shared" ca="1" si="216"/>
        <v>5564.3611505627359</v>
      </c>
      <c r="Y1062" s="32">
        <f t="shared" ca="1" si="223"/>
        <v>0</v>
      </c>
    </row>
    <row r="1063" spans="1:25">
      <c r="A1063" s="5">
        <v>39932</v>
      </c>
      <c r="B1063" s="4">
        <v>5627.54</v>
      </c>
      <c r="C1063" s="4">
        <v>5649.24</v>
      </c>
      <c r="D1063" s="4">
        <v>5571.93</v>
      </c>
      <c r="E1063" s="4">
        <v>5614.06</v>
      </c>
      <c r="F1063" s="4">
        <v>5284400</v>
      </c>
      <c r="G1063" s="8">
        <f t="shared" si="225"/>
        <v>30.8100000000004</v>
      </c>
      <c r="H1063" s="8">
        <f t="shared" si="224"/>
        <v>-13.479999999999563</v>
      </c>
      <c r="I1063" s="20">
        <f t="shared" ca="1" si="217"/>
        <v>0</v>
      </c>
      <c r="J1063" s="8">
        <f t="shared" ca="1" si="218"/>
        <v>3</v>
      </c>
      <c r="K1063" s="8">
        <f t="shared" ca="1" si="219"/>
        <v>51.99000000000251</v>
      </c>
      <c r="L1063" s="8">
        <f t="shared" ca="1" si="220"/>
        <v>12855.540000000008</v>
      </c>
      <c r="M1063" s="9">
        <f ca="1">AVERAGE(E1063:OFFSET(E1063,-M$5+1,0))</f>
        <v>5797.3580000000002</v>
      </c>
      <c r="N1063" s="9">
        <f ca="1">AVERAGE(E1063:OFFSET(E1063,-N$5+1,0))</f>
        <v>5731.4445000000005</v>
      </c>
      <c r="O1063" s="9">
        <f t="shared" ca="1" si="221"/>
        <v>0</v>
      </c>
      <c r="P1063" s="14">
        <f t="shared" si="226"/>
        <v>0.30916668323867191</v>
      </c>
      <c r="Q1063" s="15">
        <f ca="1">STDEV(P1063:OFFSET(P1063,-$Q$5+1,0))</f>
        <v>1.9789729132112528</v>
      </c>
      <c r="R1063" s="15">
        <f ca="1">STDEV(P1063:OFFSET(P1063,-$R$5+1,0))</f>
        <v>1.789824682968596</v>
      </c>
      <c r="S1063" s="18">
        <f t="shared" si="213"/>
        <v>77.309999999999491</v>
      </c>
      <c r="T1063" s="18">
        <f t="shared" si="214"/>
        <v>77.309999999999491</v>
      </c>
      <c r="U1063" s="18">
        <f t="shared" si="222"/>
        <v>156.14463681772003</v>
      </c>
      <c r="V1063" s="33">
        <f ca="1">AVERAGE(E1063:OFFSET(E1063,-V$5+1,0))</f>
        <v>5812.932142857142</v>
      </c>
      <c r="W1063" s="33">
        <f t="shared" ca="1" si="215"/>
        <v>6047.1490980837225</v>
      </c>
      <c r="X1063" s="33">
        <f t="shared" ca="1" si="216"/>
        <v>5578.7151876305616</v>
      </c>
      <c r="Y1063" s="32">
        <f t="shared" ca="1" si="223"/>
        <v>0</v>
      </c>
    </row>
    <row r="1064" spans="1:25">
      <c r="A1064" s="5">
        <v>39933</v>
      </c>
      <c r="B1064" s="4">
        <v>5964.03</v>
      </c>
      <c r="C1064" s="4">
        <v>5995.12</v>
      </c>
      <c r="D1064" s="4">
        <v>5932.03</v>
      </c>
      <c r="E1064" s="4">
        <v>5992.57</v>
      </c>
      <c r="F1064" s="4">
        <v>5619800</v>
      </c>
      <c r="G1064" s="8">
        <f t="shared" si="225"/>
        <v>349.96999999999935</v>
      </c>
      <c r="H1064" s="8">
        <f t="shared" si="224"/>
        <v>28.539999999999964</v>
      </c>
      <c r="I1064" s="20">
        <f t="shared" ca="1" si="217"/>
        <v>0</v>
      </c>
      <c r="J1064" s="8">
        <f t="shared" ca="1" si="218"/>
        <v>3</v>
      </c>
      <c r="K1064" s="8">
        <f t="shared" ca="1" si="219"/>
        <v>1135.5299999999979</v>
      </c>
      <c r="L1064" s="8">
        <f t="shared" ca="1" si="220"/>
        <v>13991.070000000007</v>
      </c>
      <c r="M1064" s="9">
        <f ca="1">AVERAGE(E1064:OFFSET(E1064,-M$5+1,0))</f>
        <v>5796.8980000000001</v>
      </c>
      <c r="N1064" s="9">
        <f ca="1">AVERAGE(E1064:OFFSET(E1064,-N$5+1,0))</f>
        <v>5757.3840000000009</v>
      </c>
      <c r="O1064" s="9">
        <f t="shared" ca="1" si="221"/>
        <v>0</v>
      </c>
      <c r="P1064" s="14">
        <f t="shared" si="226"/>
        <v>6.5246203077052307</v>
      </c>
      <c r="Q1064" s="15">
        <f ca="1">STDEV(P1064:OFFSET(P1064,-$Q$5+1,0))</f>
        <v>2.8994510660575199</v>
      </c>
      <c r="R1064" s="15">
        <f ca="1">STDEV(P1064:OFFSET(P1064,-$R$5+1,0))</f>
        <v>2.0124820936634733</v>
      </c>
      <c r="S1064" s="18">
        <f t="shared" si="213"/>
        <v>63.090000000000146</v>
      </c>
      <c r="T1064" s="18">
        <f t="shared" si="214"/>
        <v>381.05999999999949</v>
      </c>
      <c r="U1064" s="18">
        <f t="shared" si="222"/>
        <v>186.13335190869063</v>
      </c>
      <c r="V1064" s="33">
        <f ca="1">AVERAGE(E1064:OFFSET(E1064,-V$5+1,0))</f>
        <v>5827.9757142857143</v>
      </c>
      <c r="W1064" s="33">
        <f t="shared" ca="1" si="215"/>
        <v>6107.17574214875</v>
      </c>
      <c r="X1064" s="33">
        <f t="shared" ca="1" si="216"/>
        <v>5548.7756864226785</v>
      </c>
      <c r="Y1064" s="32">
        <f t="shared" ca="1" si="223"/>
        <v>0</v>
      </c>
    </row>
    <row r="1065" spans="1:25">
      <c r="A1065" s="5">
        <v>39937</v>
      </c>
      <c r="B1065" s="4">
        <v>6285.6</v>
      </c>
      <c r="C1065" s="4">
        <v>6356.29</v>
      </c>
      <c r="D1065" s="4">
        <v>6256.29</v>
      </c>
      <c r="E1065" s="4">
        <v>6330.4</v>
      </c>
      <c r="F1065" s="4">
        <v>6844800</v>
      </c>
      <c r="G1065" s="8">
        <f t="shared" si="225"/>
        <v>293.03000000000065</v>
      </c>
      <c r="H1065" s="8">
        <f t="shared" si="224"/>
        <v>44.799999999999272</v>
      </c>
      <c r="I1065" s="20">
        <f t="shared" ca="1" si="217"/>
        <v>1</v>
      </c>
      <c r="J1065" s="8">
        <f t="shared" ca="1" si="218"/>
        <v>3</v>
      </c>
      <c r="K1065" s="8">
        <f t="shared" ca="1" si="219"/>
        <v>1013.4899999999998</v>
      </c>
      <c r="L1065" s="8">
        <f t="shared" ca="1" si="220"/>
        <v>15004.560000000007</v>
      </c>
      <c r="M1065" s="9">
        <f ca="1">AVERAGE(E1065:OFFSET(E1065,-M$5+1,0))</f>
        <v>5854.4</v>
      </c>
      <c r="N1065" s="9">
        <f ca="1">AVERAGE(E1065:OFFSET(E1065,-N$5+1,0))</f>
        <v>5797.4225000000006</v>
      </c>
      <c r="O1065" s="9">
        <f t="shared" ca="1" si="221"/>
        <v>0</v>
      </c>
      <c r="P1065" s="14">
        <f t="shared" si="226"/>
        <v>5.4843056786417685</v>
      </c>
      <c r="Q1065" s="15">
        <f ca="1">STDEV(P1065:OFFSET(P1065,-$Q$5+1,0))</f>
        <v>2.9764953926282902</v>
      </c>
      <c r="R1065" s="15">
        <f ca="1">STDEV(P1065:OFFSET(P1065,-$R$5+1,0))</f>
        <v>2.1523392876209009</v>
      </c>
      <c r="S1065" s="18">
        <f t="shared" si="213"/>
        <v>100</v>
      </c>
      <c r="T1065" s="18">
        <f t="shared" si="214"/>
        <v>363.72000000000025</v>
      </c>
      <c r="U1065" s="18">
        <f t="shared" si="222"/>
        <v>209.81157165419859</v>
      </c>
      <c r="V1065" s="33">
        <f ca="1">AVERAGE(E1065:OFFSET(E1065,-V$5+1,0))</f>
        <v>5861.7442857142842</v>
      </c>
      <c r="W1065" s="33">
        <f t="shared" ca="1" si="215"/>
        <v>6176.4616431955819</v>
      </c>
      <c r="X1065" s="33">
        <f t="shared" ca="1" si="216"/>
        <v>5547.0269282329864</v>
      </c>
      <c r="Y1065" s="32">
        <f t="shared" ca="1" si="223"/>
        <v>1</v>
      </c>
    </row>
    <row r="1066" spans="1:25">
      <c r="A1066" s="5">
        <v>39938</v>
      </c>
      <c r="B1066" s="4">
        <v>6557.75</v>
      </c>
      <c r="C1066" s="4">
        <v>6562.77</v>
      </c>
      <c r="D1066" s="4">
        <v>6326.76</v>
      </c>
      <c r="E1066" s="4">
        <v>6379.94</v>
      </c>
      <c r="F1066" s="4">
        <v>9164800</v>
      </c>
      <c r="G1066" s="8">
        <f t="shared" si="225"/>
        <v>227.35000000000036</v>
      </c>
      <c r="H1066" s="8">
        <f t="shared" si="224"/>
        <v>-177.8100000000004</v>
      </c>
      <c r="I1066" s="20">
        <f t="shared" ca="1" si="217"/>
        <v>0</v>
      </c>
      <c r="J1066" s="8">
        <f t="shared" ca="1" si="218"/>
        <v>3</v>
      </c>
      <c r="K1066" s="8">
        <f t="shared" ca="1" si="219"/>
        <v>148.61999999999989</v>
      </c>
      <c r="L1066" s="8">
        <f t="shared" ca="1" si="220"/>
        <v>15153.180000000008</v>
      </c>
      <c r="M1066" s="9">
        <f ca="1">AVERAGE(E1066:OFFSET(E1066,-M$5+1,0))</f>
        <v>5914.2280000000001</v>
      </c>
      <c r="N1066" s="9">
        <f ca="1">AVERAGE(E1066:OFFSET(E1066,-N$5+1,0))</f>
        <v>5838.6085000000003</v>
      </c>
      <c r="O1066" s="9">
        <f t="shared" ca="1" si="221"/>
        <v>0</v>
      </c>
      <c r="P1066" s="14">
        <f t="shared" si="226"/>
        <v>0.77952676109155827</v>
      </c>
      <c r="Q1066" s="15">
        <f ca="1">STDEV(P1066:OFFSET(P1066,-$Q$5+1,0))</f>
        <v>2.9722486151528695</v>
      </c>
      <c r="R1066" s="15">
        <f ca="1">STDEV(P1066:OFFSET(P1066,-$R$5+1,0))</f>
        <v>2.1417298613422742</v>
      </c>
      <c r="S1066" s="18">
        <f t="shared" si="213"/>
        <v>236.01000000000022</v>
      </c>
      <c r="T1066" s="18">
        <f t="shared" si="214"/>
        <v>236.01000000000022</v>
      </c>
      <c r="U1066" s="18">
        <f t="shared" si="222"/>
        <v>213.30469543363881</v>
      </c>
      <c r="V1066" s="33">
        <f ca="1">AVERAGE(E1066:OFFSET(E1066,-V$5+1,0))</f>
        <v>5896.5485714285705</v>
      </c>
      <c r="W1066" s="33">
        <f t="shared" ca="1" si="215"/>
        <v>6216.5056145790286</v>
      </c>
      <c r="X1066" s="33">
        <f t="shared" ca="1" si="216"/>
        <v>5576.5915282781125</v>
      </c>
      <c r="Y1066" s="32">
        <f t="shared" ca="1" si="223"/>
        <v>0</v>
      </c>
    </row>
    <row r="1067" spans="1:25">
      <c r="A1067" s="5">
        <v>39939</v>
      </c>
      <c r="B1067" s="4">
        <v>6389.55</v>
      </c>
      <c r="C1067" s="4">
        <v>6570.5</v>
      </c>
      <c r="D1067" s="4">
        <v>6372.94</v>
      </c>
      <c r="E1067" s="4">
        <v>6566.7</v>
      </c>
      <c r="F1067" s="4">
        <v>9475600</v>
      </c>
      <c r="G1067" s="8">
        <f t="shared" si="225"/>
        <v>9.6100000000005821</v>
      </c>
      <c r="H1067" s="8">
        <f t="shared" si="224"/>
        <v>177.14999999999964</v>
      </c>
      <c r="I1067" s="20">
        <f t="shared" ca="1" si="217"/>
        <v>0</v>
      </c>
      <c r="J1067" s="8">
        <f t="shared" ca="1" si="218"/>
        <v>3</v>
      </c>
      <c r="K1067" s="8">
        <f t="shared" ca="1" si="219"/>
        <v>560.28000000000065</v>
      </c>
      <c r="L1067" s="8">
        <f t="shared" ca="1" si="220"/>
        <v>15713.460000000008</v>
      </c>
      <c r="M1067" s="9">
        <f ca="1">AVERAGE(E1067:OFFSET(E1067,-M$5+1,0))</f>
        <v>5982.7569999999996</v>
      </c>
      <c r="N1067" s="9">
        <f ca="1">AVERAGE(E1067:OFFSET(E1067,-N$5+1,0))</f>
        <v>5888.1010000000006</v>
      </c>
      <c r="O1067" s="9">
        <f t="shared" ca="1" si="221"/>
        <v>0</v>
      </c>
      <c r="P1067" s="14">
        <f t="shared" si="226"/>
        <v>2.8852730281319419</v>
      </c>
      <c r="Q1067" s="15">
        <f ca="1">STDEV(P1067:OFFSET(P1067,-$Q$5+1,0))</f>
        <v>3.026837475195868</v>
      </c>
      <c r="R1067" s="15">
        <f ca="1">STDEV(P1067:OFFSET(P1067,-$R$5+1,0))</f>
        <v>2.1668895978714913</v>
      </c>
      <c r="S1067" s="18">
        <f t="shared" si="213"/>
        <v>197.5600000000004</v>
      </c>
      <c r="T1067" s="18">
        <f t="shared" si="214"/>
        <v>197.5600000000004</v>
      </c>
      <c r="U1067" s="18">
        <f t="shared" si="222"/>
        <v>211.2054027091537</v>
      </c>
      <c r="V1067" s="33">
        <f ca="1">AVERAGE(E1067:OFFSET(E1067,-V$5+1,0))</f>
        <v>5945.9421428571432</v>
      </c>
      <c r="W1067" s="33">
        <f t="shared" ca="1" si="215"/>
        <v>6262.7502469208739</v>
      </c>
      <c r="X1067" s="33">
        <f t="shared" ca="1" si="216"/>
        <v>5629.1340387934124</v>
      </c>
      <c r="Y1067" s="32">
        <f t="shared" ca="1" si="223"/>
        <v>0</v>
      </c>
    </row>
    <row r="1068" spans="1:25">
      <c r="A1068" s="5">
        <v>39940</v>
      </c>
      <c r="B1068" s="4">
        <v>6603.52</v>
      </c>
      <c r="C1068" s="4">
        <v>6628.54</v>
      </c>
      <c r="D1068" s="4">
        <v>6455.23</v>
      </c>
      <c r="E1068" s="4">
        <v>6572.87</v>
      </c>
      <c r="F1068" s="4">
        <v>10118400</v>
      </c>
      <c r="G1068" s="8">
        <f t="shared" si="225"/>
        <v>36.820000000000618</v>
      </c>
      <c r="H1068" s="8">
        <f t="shared" si="224"/>
        <v>-30.650000000000546</v>
      </c>
      <c r="I1068" s="20">
        <f t="shared" ca="1" si="217"/>
        <v>0</v>
      </c>
      <c r="J1068" s="8">
        <f t="shared" ca="1" si="218"/>
        <v>3</v>
      </c>
      <c r="K1068" s="8">
        <f t="shared" ca="1" si="219"/>
        <v>18.510000000000218</v>
      </c>
      <c r="L1068" s="8">
        <f t="shared" ca="1" si="220"/>
        <v>15731.970000000008</v>
      </c>
      <c r="M1068" s="9">
        <f ca="1">AVERAGE(E1068:OFFSET(E1068,-M$5+1,0))</f>
        <v>6051.433</v>
      </c>
      <c r="N1068" s="9">
        <f ca="1">AVERAGE(E1068:OFFSET(E1068,-N$5+1,0))</f>
        <v>5944.566499999999</v>
      </c>
      <c r="O1068" s="9">
        <f t="shared" ca="1" si="221"/>
        <v>0</v>
      </c>
      <c r="P1068" s="14">
        <f t="shared" si="226"/>
        <v>9.391480015700536E-2</v>
      </c>
      <c r="Q1068" s="15">
        <f ca="1">STDEV(P1068:OFFSET(P1068,-$Q$5+1,0))</f>
        <v>3.0263140459906461</v>
      </c>
      <c r="R1068" s="15">
        <f ca="1">STDEV(P1068:OFFSET(P1068,-$R$5+1,0))</f>
        <v>2.1634752544940166</v>
      </c>
      <c r="S1068" s="18">
        <f t="shared" si="213"/>
        <v>173.3100000000004</v>
      </c>
      <c r="T1068" s="18">
        <f t="shared" si="214"/>
        <v>173.3100000000004</v>
      </c>
      <c r="U1068" s="18">
        <f t="shared" si="222"/>
        <v>206.15268234793328</v>
      </c>
      <c r="V1068" s="33">
        <f ca="1">AVERAGE(E1068:OFFSET(E1068,-V$5+1,0))</f>
        <v>5987.0635714285718</v>
      </c>
      <c r="W1068" s="33">
        <f t="shared" ca="1" si="215"/>
        <v>6296.2925949504715</v>
      </c>
      <c r="X1068" s="33">
        <f t="shared" ca="1" si="216"/>
        <v>5677.834547906672</v>
      </c>
      <c r="Y1068" s="32">
        <f t="shared" ca="1" si="223"/>
        <v>0</v>
      </c>
    </row>
    <row r="1069" spans="1:25">
      <c r="A1069" s="5">
        <v>39941</v>
      </c>
      <c r="B1069" s="4">
        <v>6510.22</v>
      </c>
      <c r="C1069" s="4">
        <v>6587.62</v>
      </c>
      <c r="D1069" s="4">
        <v>6483.21</v>
      </c>
      <c r="E1069" s="4">
        <v>6583.87</v>
      </c>
      <c r="F1069" s="4">
        <v>7952800</v>
      </c>
      <c r="G1069" s="8">
        <f t="shared" si="225"/>
        <v>-62.649999999999636</v>
      </c>
      <c r="H1069" s="8">
        <f t="shared" si="224"/>
        <v>73.649999999999636</v>
      </c>
      <c r="I1069" s="20">
        <f t="shared" ca="1" si="217"/>
        <v>0</v>
      </c>
      <c r="J1069" s="8">
        <f t="shared" ca="1" si="218"/>
        <v>3</v>
      </c>
      <c r="K1069" s="8">
        <f t="shared" ca="1" si="219"/>
        <v>33</v>
      </c>
      <c r="L1069" s="8">
        <f t="shared" ca="1" si="220"/>
        <v>15764.970000000008</v>
      </c>
      <c r="M1069" s="9">
        <f ca="1">AVERAGE(E1069:OFFSET(E1069,-M$5+1,0))</f>
        <v>6122.2960000000003</v>
      </c>
      <c r="N1069" s="9">
        <f ca="1">AVERAGE(E1069:OFFSET(E1069,-N$5+1,0))</f>
        <v>5990.369999999999</v>
      </c>
      <c r="O1069" s="9">
        <f t="shared" ca="1" si="221"/>
        <v>0</v>
      </c>
      <c r="P1069" s="14">
        <f t="shared" si="226"/>
        <v>0.1672147137219297</v>
      </c>
      <c r="Q1069" s="15">
        <f ca="1">STDEV(P1069:OFFSET(P1069,-$Q$5+1,0))</f>
        <v>3.0116728845248084</v>
      </c>
      <c r="R1069" s="15">
        <f ca="1">STDEV(P1069:OFFSET(P1069,-$R$5+1,0))</f>
        <v>2.1608879250255062</v>
      </c>
      <c r="S1069" s="18">
        <f t="shared" si="213"/>
        <v>104.40999999999985</v>
      </c>
      <c r="T1069" s="18">
        <f t="shared" si="214"/>
        <v>104.40999999999985</v>
      </c>
      <c r="U1069" s="18">
        <f t="shared" si="222"/>
        <v>192.58699136820883</v>
      </c>
      <c r="V1069" s="33">
        <f ca="1">AVERAGE(E1069:OFFSET(E1069,-V$5+1,0))</f>
        <v>6046.2414285714276</v>
      </c>
      <c r="W1069" s="33">
        <f t="shared" ca="1" si="215"/>
        <v>6335.1219156237412</v>
      </c>
      <c r="X1069" s="33">
        <f t="shared" ca="1" si="216"/>
        <v>5757.360941519114</v>
      </c>
      <c r="Y1069" s="32">
        <f t="shared" ca="1" si="223"/>
        <v>0</v>
      </c>
    </row>
    <row r="1070" spans="1:25">
      <c r="A1070" s="5">
        <v>39944</v>
      </c>
      <c r="B1070" s="4">
        <v>6581.7</v>
      </c>
      <c r="C1070" s="4">
        <v>6680.97</v>
      </c>
      <c r="D1070" s="4">
        <v>6571.41</v>
      </c>
      <c r="E1070" s="4">
        <v>6647.5</v>
      </c>
      <c r="F1070" s="4">
        <v>7872200</v>
      </c>
      <c r="G1070" s="8">
        <f t="shared" si="225"/>
        <v>-2.1700000000000728</v>
      </c>
      <c r="H1070" s="8">
        <f t="shared" si="224"/>
        <v>65.800000000000182</v>
      </c>
      <c r="I1070" s="20">
        <f t="shared" ca="1" si="217"/>
        <v>0</v>
      </c>
      <c r="J1070" s="8">
        <f t="shared" ca="1" si="218"/>
        <v>3</v>
      </c>
      <c r="K1070" s="8">
        <f t="shared" ca="1" si="219"/>
        <v>190.89000000000033</v>
      </c>
      <c r="L1070" s="8">
        <f t="shared" ca="1" si="220"/>
        <v>15955.860000000008</v>
      </c>
      <c r="M1070" s="9">
        <f ca="1">AVERAGE(E1070:OFFSET(E1070,-M$5+1,0))</f>
        <v>6198.9690000000001</v>
      </c>
      <c r="N1070" s="9">
        <f ca="1">AVERAGE(E1070:OFFSET(E1070,-N$5+1,0))</f>
        <v>6033.646999999999</v>
      </c>
      <c r="O1070" s="9">
        <f t="shared" ca="1" si="221"/>
        <v>0</v>
      </c>
      <c r="P1070" s="14">
        <f t="shared" si="226"/>
        <v>0.96181257911669427</v>
      </c>
      <c r="Q1070" s="15">
        <f ca="1">STDEV(P1070:OFFSET(P1070,-$Q$5+1,0))</f>
        <v>2.9906562356371591</v>
      </c>
      <c r="R1070" s="15">
        <f ca="1">STDEV(P1070:OFFSET(P1070,-$R$5+1,0))</f>
        <v>2.1329696216416854</v>
      </c>
      <c r="S1070" s="18">
        <f t="shared" si="213"/>
        <v>109.5600000000004</v>
      </c>
      <c r="T1070" s="18">
        <f t="shared" si="214"/>
        <v>109.5600000000004</v>
      </c>
      <c r="U1070" s="18">
        <f t="shared" si="222"/>
        <v>181.51672585244771</v>
      </c>
      <c r="V1070" s="33">
        <f ca="1">AVERAGE(E1070:OFFSET(E1070,-V$5+1,0))</f>
        <v>6108.0871428571418</v>
      </c>
      <c r="W1070" s="33">
        <f t="shared" ca="1" si="215"/>
        <v>6380.3622316358133</v>
      </c>
      <c r="X1070" s="33">
        <f t="shared" ca="1" si="216"/>
        <v>5835.8120540784703</v>
      </c>
      <c r="Y1070" s="32">
        <f t="shared" ca="1" si="223"/>
        <v>0</v>
      </c>
    </row>
    <row r="1071" spans="1:25">
      <c r="A1071" s="5">
        <v>39945</v>
      </c>
      <c r="B1071" s="4">
        <v>6550.28</v>
      </c>
      <c r="C1071" s="4">
        <v>6553.69</v>
      </c>
      <c r="D1071" s="4">
        <v>6404.93</v>
      </c>
      <c r="E1071" s="4">
        <v>6432.55</v>
      </c>
      <c r="F1071" s="4">
        <v>6936000</v>
      </c>
      <c r="G1071" s="8">
        <f t="shared" si="225"/>
        <v>-97.220000000000255</v>
      </c>
      <c r="H1071" s="8">
        <f t="shared" si="224"/>
        <v>-117.72999999999956</v>
      </c>
      <c r="I1071" s="20">
        <f t="shared" ca="1" si="217"/>
        <v>0</v>
      </c>
      <c r="J1071" s="8">
        <f t="shared" ca="1" si="218"/>
        <v>3</v>
      </c>
      <c r="K1071" s="8">
        <f t="shared" ca="1" si="219"/>
        <v>-644.84999999999945</v>
      </c>
      <c r="L1071" s="8">
        <f t="shared" ca="1" si="220"/>
        <v>15311.010000000009</v>
      </c>
      <c r="M1071" s="9">
        <f ca="1">AVERAGE(E1071:OFFSET(E1071,-M$5+1,0))</f>
        <v>6271.719000000001</v>
      </c>
      <c r="N1071" s="9">
        <f ca="1">AVERAGE(E1071:OFFSET(E1071,-N$5+1,0))</f>
        <v>6062.392499999999</v>
      </c>
      <c r="O1071" s="9">
        <f t="shared" ca="1" si="221"/>
        <v>0</v>
      </c>
      <c r="P1071" s="14">
        <f t="shared" si="226"/>
        <v>-3.286980596389121</v>
      </c>
      <c r="Q1071" s="15">
        <f ca="1">STDEV(P1071:OFFSET(P1071,-$Q$5+1,0))</f>
        <v>3.0315452958354538</v>
      </c>
      <c r="R1071" s="15">
        <f ca="1">STDEV(P1071:OFFSET(P1071,-$R$5+1,0))</f>
        <v>2.2230155100658791</v>
      </c>
      <c r="S1071" s="18">
        <f t="shared" si="213"/>
        <v>148.75999999999931</v>
      </c>
      <c r="T1071" s="18">
        <f t="shared" si="214"/>
        <v>242.56999999999971</v>
      </c>
      <c r="U1071" s="18">
        <f t="shared" si="222"/>
        <v>189.65716240545464</v>
      </c>
      <c r="V1071" s="33">
        <f ca="1">AVERAGE(E1071:OFFSET(E1071,-V$5+1,0))</f>
        <v>6147.454285714286</v>
      </c>
      <c r="W1071" s="33">
        <f t="shared" ca="1" si="215"/>
        <v>6431.940029322468</v>
      </c>
      <c r="X1071" s="33">
        <f t="shared" ca="1" si="216"/>
        <v>5862.968542106104</v>
      </c>
      <c r="Y1071" s="32">
        <f t="shared" ca="1" si="223"/>
        <v>0</v>
      </c>
    </row>
    <row r="1072" spans="1:25">
      <c r="A1072" s="5">
        <v>39946</v>
      </c>
      <c r="B1072" s="4">
        <v>6449.46</v>
      </c>
      <c r="C1072" s="4">
        <v>6512.07</v>
      </c>
      <c r="D1072" s="4">
        <v>6435.49</v>
      </c>
      <c r="E1072" s="4">
        <v>6485.14</v>
      </c>
      <c r="F1072" s="4">
        <v>6229200</v>
      </c>
      <c r="G1072" s="8">
        <f t="shared" si="225"/>
        <v>16.909999999999854</v>
      </c>
      <c r="H1072" s="8">
        <f t="shared" si="224"/>
        <v>35.680000000000291</v>
      </c>
      <c r="I1072" s="20">
        <f t="shared" ca="1" si="217"/>
        <v>0</v>
      </c>
      <c r="J1072" s="8">
        <f t="shared" ca="1" si="218"/>
        <v>3</v>
      </c>
      <c r="K1072" s="8">
        <f t="shared" ca="1" si="219"/>
        <v>157.77000000000044</v>
      </c>
      <c r="L1072" s="8">
        <f t="shared" ca="1" si="220"/>
        <v>15468.78000000001</v>
      </c>
      <c r="M1072" s="9">
        <f ca="1">AVERAGE(E1072:OFFSET(E1072,-M$5+1,0))</f>
        <v>6360.56</v>
      </c>
      <c r="N1072" s="9">
        <f ca="1">AVERAGE(E1072:OFFSET(E1072,-N$5+1,0))</f>
        <v>6092.0154999999995</v>
      </c>
      <c r="O1072" s="9">
        <f t="shared" ca="1" si="221"/>
        <v>0</v>
      </c>
      <c r="P1072" s="14">
        <f t="shared" si="226"/>
        <v>0.81423676448845994</v>
      </c>
      <c r="Q1072" s="15">
        <f ca="1">STDEV(P1072:OFFSET(P1072,-$Q$5+1,0))</f>
        <v>2.8362537167844337</v>
      </c>
      <c r="R1072" s="15">
        <f ca="1">STDEV(P1072:OFFSET(P1072,-$R$5+1,0))</f>
        <v>2.2198393699113002</v>
      </c>
      <c r="S1072" s="18">
        <f t="shared" si="213"/>
        <v>76.579999999999927</v>
      </c>
      <c r="T1072" s="18">
        <f t="shared" si="214"/>
        <v>79.519999999999527</v>
      </c>
      <c r="U1072" s="18">
        <f t="shared" si="222"/>
        <v>174.97220741806063</v>
      </c>
      <c r="V1072" s="33">
        <f ca="1">AVERAGE(E1072:OFFSET(E1072,-V$5+1,0))</f>
        <v>6190.2421428571424</v>
      </c>
      <c r="W1072" s="33">
        <f t="shared" ca="1" si="215"/>
        <v>6452.7004539842337</v>
      </c>
      <c r="X1072" s="33">
        <f t="shared" ca="1" si="216"/>
        <v>5927.7838317300511</v>
      </c>
      <c r="Y1072" s="32">
        <f t="shared" ca="1" si="223"/>
        <v>0</v>
      </c>
    </row>
    <row r="1073" spans="1:25">
      <c r="A1073" s="5">
        <v>39947</v>
      </c>
      <c r="B1073" s="4">
        <v>6362.77</v>
      </c>
      <c r="C1073" s="4">
        <v>6435.41</v>
      </c>
      <c r="D1073" s="4">
        <v>6339.47</v>
      </c>
      <c r="E1073" s="4">
        <v>6364.17</v>
      </c>
      <c r="F1073" s="4">
        <v>6386600</v>
      </c>
      <c r="G1073" s="8">
        <f t="shared" si="225"/>
        <v>-122.36999999999989</v>
      </c>
      <c r="H1073" s="8">
        <f t="shared" si="224"/>
        <v>1.3999999999996362</v>
      </c>
      <c r="I1073" s="20">
        <f t="shared" ca="1" si="217"/>
        <v>0</v>
      </c>
      <c r="J1073" s="8">
        <f t="shared" ca="1" si="218"/>
        <v>3</v>
      </c>
      <c r="K1073" s="8">
        <f t="shared" ca="1" si="219"/>
        <v>-362.91000000000076</v>
      </c>
      <c r="L1073" s="8">
        <f t="shared" ca="1" si="220"/>
        <v>15105.87000000001</v>
      </c>
      <c r="M1073" s="9">
        <f ca="1">AVERAGE(E1073:OFFSET(E1073,-M$5+1,0))</f>
        <v>6435.5709999999999</v>
      </c>
      <c r="N1073" s="9">
        <f ca="1">AVERAGE(E1073:OFFSET(E1073,-N$5+1,0))</f>
        <v>6116.4645</v>
      </c>
      <c r="O1073" s="9">
        <f t="shared" ca="1" si="221"/>
        <v>0</v>
      </c>
      <c r="P1073" s="14">
        <f t="shared" si="226"/>
        <v>-1.8829582937999363</v>
      </c>
      <c r="Q1073" s="15">
        <f ca="1">STDEV(P1073:OFFSET(P1073,-$Q$5+1,0))</f>
        <v>3.0152902615327224</v>
      </c>
      <c r="R1073" s="15">
        <f ca="1">STDEV(P1073:OFFSET(P1073,-$R$5+1,0))</f>
        <v>2.2539675544359774</v>
      </c>
      <c r="S1073" s="18">
        <f t="shared" si="213"/>
        <v>95.9399999999996</v>
      </c>
      <c r="T1073" s="18">
        <f t="shared" si="214"/>
        <v>145.67000000000007</v>
      </c>
      <c r="U1073" s="18">
        <f t="shared" si="222"/>
        <v>171.06524642898592</v>
      </c>
      <c r="V1073" s="33">
        <f ca="1">AVERAGE(E1073:OFFSET(E1073,-V$5+1,0))</f>
        <v>6225.1657142857148</v>
      </c>
      <c r="W1073" s="33">
        <f t="shared" ca="1" si="215"/>
        <v>6481.7635839291934</v>
      </c>
      <c r="X1073" s="33">
        <f t="shared" ca="1" si="216"/>
        <v>5968.5678446422362</v>
      </c>
      <c r="Y1073" s="32">
        <f t="shared" ca="1" si="223"/>
        <v>0</v>
      </c>
    </row>
    <row r="1074" spans="1:25">
      <c r="A1074" s="5">
        <v>39948</v>
      </c>
      <c r="B1074" s="4">
        <v>6446.4</v>
      </c>
      <c r="C1074" s="4">
        <v>6520.04</v>
      </c>
      <c r="D1074" s="4">
        <v>6427.63</v>
      </c>
      <c r="E1074" s="4">
        <v>6489.09</v>
      </c>
      <c r="F1074" s="4">
        <v>6753200</v>
      </c>
      <c r="G1074" s="8">
        <f t="shared" si="225"/>
        <v>82.229999999999563</v>
      </c>
      <c r="H1074" s="8">
        <f t="shared" si="224"/>
        <v>42.690000000000509</v>
      </c>
      <c r="I1074" s="20">
        <f t="shared" ca="1" si="217"/>
        <v>0</v>
      </c>
      <c r="J1074" s="8">
        <f t="shared" ca="1" si="218"/>
        <v>3</v>
      </c>
      <c r="K1074" s="8">
        <f t="shared" ca="1" si="219"/>
        <v>374.76000000000022</v>
      </c>
      <c r="L1074" s="8">
        <f t="shared" ca="1" si="220"/>
        <v>15480.63000000001</v>
      </c>
      <c r="M1074" s="9">
        <f ca="1">AVERAGE(E1074:OFFSET(E1074,-M$5+1,0))</f>
        <v>6485.223</v>
      </c>
      <c r="N1074" s="9">
        <f ca="1">AVERAGE(E1074:OFFSET(E1074,-N$5+1,0))</f>
        <v>6141.0604999999996</v>
      </c>
      <c r="O1074" s="9">
        <f t="shared" ca="1" si="221"/>
        <v>0</v>
      </c>
      <c r="P1074" s="14">
        <f t="shared" si="226"/>
        <v>1.9438482290337262</v>
      </c>
      <c r="Q1074" s="15">
        <f ca="1">STDEV(P1074:OFFSET(P1074,-$Q$5+1,0))</f>
        <v>2.413544371266962</v>
      </c>
      <c r="R1074" s="15">
        <f ca="1">STDEV(P1074:OFFSET(P1074,-$R$5+1,0))</f>
        <v>2.2601460215479974</v>
      </c>
      <c r="S1074" s="18">
        <f t="shared" si="213"/>
        <v>92.409999999999854</v>
      </c>
      <c r="T1074" s="18">
        <f t="shared" si="214"/>
        <v>155.86999999999989</v>
      </c>
      <c r="U1074" s="18">
        <f t="shared" si="222"/>
        <v>169.03921357178777</v>
      </c>
      <c r="V1074" s="33">
        <f ca="1">AVERAGE(E1074:OFFSET(E1074,-V$5+1,0))</f>
        <v>6268.6171428571424</v>
      </c>
      <c r="W1074" s="33">
        <f t="shared" ca="1" si="215"/>
        <v>6522.1759632148242</v>
      </c>
      <c r="X1074" s="33">
        <f t="shared" ca="1" si="216"/>
        <v>6015.0583224994607</v>
      </c>
      <c r="Y1074" s="32">
        <f t="shared" ca="1" si="223"/>
        <v>0</v>
      </c>
    </row>
    <row r="1075" spans="1:25">
      <c r="A1075" s="5">
        <v>39951</v>
      </c>
      <c r="B1075" s="4">
        <v>6516.13</v>
      </c>
      <c r="C1075" s="4">
        <v>6577.81</v>
      </c>
      <c r="D1075" s="4">
        <v>6457.14</v>
      </c>
      <c r="E1075" s="4">
        <v>6577.81</v>
      </c>
      <c r="F1075" s="4">
        <v>6952000</v>
      </c>
      <c r="G1075" s="8">
        <f t="shared" si="225"/>
        <v>27.039999999999964</v>
      </c>
      <c r="H1075" s="8">
        <f t="shared" si="224"/>
        <v>61.680000000000291</v>
      </c>
      <c r="I1075" s="20">
        <f t="shared" ca="1" si="217"/>
        <v>1</v>
      </c>
      <c r="J1075" s="8">
        <f t="shared" ca="1" si="218"/>
        <v>3</v>
      </c>
      <c r="K1075" s="8">
        <f t="shared" ca="1" si="219"/>
        <v>266.16000000000076</v>
      </c>
      <c r="L1075" s="8">
        <f t="shared" ca="1" si="220"/>
        <v>15746.790000000012</v>
      </c>
      <c r="M1075" s="9">
        <f ca="1">AVERAGE(E1075:OFFSET(E1075,-M$5+1,0))</f>
        <v>6509.9639999999999</v>
      </c>
      <c r="N1075" s="9">
        <f ca="1">AVERAGE(E1075:OFFSET(E1075,-N$5+1,0))</f>
        <v>6182.1819999999989</v>
      </c>
      <c r="O1075" s="9">
        <f t="shared" ca="1" si="221"/>
        <v>0</v>
      </c>
      <c r="P1075" s="14">
        <f t="shared" si="226"/>
        <v>1.3579558022021847</v>
      </c>
      <c r="Q1075" s="15">
        <f ca="1">STDEV(P1075:OFFSET(P1075,-$Q$5+1,0))</f>
        <v>1.7969058458880329</v>
      </c>
      <c r="R1075" s="15">
        <f ca="1">STDEV(P1075:OFFSET(P1075,-$R$5+1,0))</f>
        <v>2.236343961542965</v>
      </c>
      <c r="S1075" s="18">
        <f t="shared" si="213"/>
        <v>120.67000000000007</v>
      </c>
      <c r="T1075" s="18">
        <f t="shared" si="214"/>
        <v>120.67000000000007</v>
      </c>
      <c r="U1075" s="18">
        <f t="shared" si="222"/>
        <v>162.58998509554942</v>
      </c>
      <c r="V1075" s="33">
        <f ca="1">AVERAGE(E1075:OFFSET(E1075,-V$5+1,0))</f>
        <v>6330.9571428571435</v>
      </c>
      <c r="W1075" s="33">
        <f t="shared" ca="1" si="215"/>
        <v>6574.8421205004679</v>
      </c>
      <c r="X1075" s="33">
        <f t="shared" ca="1" si="216"/>
        <v>6087.0721652138191</v>
      </c>
      <c r="Y1075" s="32">
        <f t="shared" ca="1" si="223"/>
        <v>1</v>
      </c>
    </row>
    <row r="1076" spans="1:25">
      <c r="A1076" s="5">
        <v>39952</v>
      </c>
      <c r="B1076" s="4">
        <v>6750.04</v>
      </c>
      <c r="C1076" s="4">
        <v>6784.26</v>
      </c>
      <c r="D1076" s="4">
        <v>6620.53</v>
      </c>
      <c r="E1076" s="4">
        <v>6655.59</v>
      </c>
      <c r="F1076" s="4">
        <v>8821200</v>
      </c>
      <c r="G1076" s="8">
        <f t="shared" si="225"/>
        <v>172.22999999999956</v>
      </c>
      <c r="H1076" s="8">
        <f t="shared" si="224"/>
        <v>-94.449999999999818</v>
      </c>
      <c r="I1076" s="20">
        <f t="shared" ca="1" si="217"/>
        <v>0</v>
      </c>
      <c r="J1076" s="8">
        <f t="shared" ca="1" si="218"/>
        <v>3</v>
      </c>
      <c r="K1076" s="8">
        <f t="shared" ca="1" si="219"/>
        <v>233.33999999999924</v>
      </c>
      <c r="L1076" s="8">
        <f t="shared" ca="1" si="220"/>
        <v>15980.130000000012</v>
      </c>
      <c r="M1076" s="9">
        <f ca="1">AVERAGE(E1076:OFFSET(E1076,-M$5+1,0))</f>
        <v>6537.5289999999995</v>
      </c>
      <c r="N1076" s="9">
        <f ca="1">AVERAGE(E1076:OFFSET(E1076,-N$5+1,0))</f>
        <v>6225.8784999999989</v>
      </c>
      <c r="O1076" s="9">
        <f t="shared" ca="1" si="221"/>
        <v>0</v>
      </c>
      <c r="P1076" s="14">
        <f t="shared" si="226"/>
        <v>1.175523987355505</v>
      </c>
      <c r="Q1076" s="15">
        <f ca="1">STDEV(P1076:OFFSET(P1076,-$Q$5+1,0))</f>
        <v>1.8109147646354711</v>
      </c>
      <c r="R1076" s="15">
        <f ca="1">STDEV(P1076:OFFSET(P1076,-$R$5+1,0))</f>
        <v>2.2003488717110522</v>
      </c>
      <c r="S1076" s="18">
        <f t="shared" si="213"/>
        <v>163.73000000000047</v>
      </c>
      <c r="T1076" s="18">
        <f t="shared" si="214"/>
        <v>206.44999999999982</v>
      </c>
      <c r="U1076" s="18">
        <f t="shared" si="222"/>
        <v>168.43798708280949</v>
      </c>
      <c r="V1076" s="33">
        <f ca="1">AVERAGE(E1076:OFFSET(E1076,-V$5+1,0))</f>
        <v>6406.5899999999992</v>
      </c>
      <c r="W1076" s="33">
        <f t="shared" ca="1" si="215"/>
        <v>6659.2469806242134</v>
      </c>
      <c r="X1076" s="33">
        <f t="shared" ca="1" si="216"/>
        <v>6153.9330193757851</v>
      </c>
      <c r="Y1076" s="32">
        <f t="shared" ca="1" si="223"/>
        <v>0</v>
      </c>
    </row>
    <row r="1077" spans="1:25">
      <c r="A1077" s="5">
        <v>39953</v>
      </c>
      <c r="B1077" s="4">
        <v>6708.54</v>
      </c>
      <c r="C1077" s="4">
        <v>6740.75</v>
      </c>
      <c r="D1077" s="4">
        <v>6590.79</v>
      </c>
      <c r="E1077" s="4">
        <v>6703.62</v>
      </c>
      <c r="F1077" s="4">
        <v>7998600</v>
      </c>
      <c r="G1077" s="8">
        <f t="shared" si="225"/>
        <v>52.949999999999818</v>
      </c>
      <c r="H1077" s="8">
        <f t="shared" si="224"/>
        <v>-4.9200000000000728</v>
      </c>
      <c r="I1077" s="20">
        <f t="shared" ca="1" si="217"/>
        <v>0</v>
      </c>
      <c r="J1077" s="8">
        <f t="shared" ca="1" si="218"/>
        <v>3</v>
      </c>
      <c r="K1077" s="8">
        <f t="shared" ca="1" si="219"/>
        <v>144.08999999999924</v>
      </c>
      <c r="L1077" s="8">
        <f t="shared" ca="1" si="220"/>
        <v>16124.220000000012</v>
      </c>
      <c r="M1077" s="9">
        <f ca="1">AVERAGE(E1077:OFFSET(E1077,-M$5+1,0))</f>
        <v>6551.2209999999995</v>
      </c>
      <c r="N1077" s="9">
        <f ca="1">AVERAGE(E1077:OFFSET(E1077,-N$5+1,0))</f>
        <v>6266.9889999999996</v>
      </c>
      <c r="O1077" s="9">
        <f t="shared" ca="1" si="221"/>
        <v>0</v>
      </c>
      <c r="P1077" s="14">
        <f t="shared" si="226"/>
        <v>0.71905759317522533</v>
      </c>
      <c r="Q1077" s="15">
        <f ca="1">STDEV(P1077:OFFSET(P1077,-$Q$5+1,0))</f>
        <v>1.6010501548720184</v>
      </c>
      <c r="R1077" s="15">
        <f ca="1">STDEV(P1077:OFFSET(P1077,-$R$5+1,0))</f>
        <v>2.1846165658757188</v>
      </c>
      <c r="S1077" s="18">
        <f t="shared" ref="S1077:S1140" si="227">C1077-D1077</f>
        <v>149.96000000000004</v>
      </c>
      <c r="T1077" s="18">
        <f t="shared" ref="T1077:T1140" si="228">MAX(C1077,E1076)-MIN(D1077,E1076)</f>
        <v>149.96000000000004</v>
      </c>
      <c r="U1077" s="18">
        <f t="shared" si="222"/>
        <v>165.97425547176823</v>
      </c>
      <c r="V1077" s="33">
        <f ca="1">AVERAGE(E1077:OFFSET(E1077,-V$5+1,0))</f>
        <v>6484.4157142857139</v>
      </c>
      <c r="W1077" s="33">
        <f t="shared" ref="W1077:W1140" ca="1" si="229">V1077+W$5*U1077</f>
        <v>6733.3770974933659</v>
      </c>
      <c r="X1077" s="33">
        <f t="shared" ref="X1077:X1140" ca="1" si="230">V1077-W$5*U1077</f>
        <v>6235.4543310780618</v>
      </c>
      <c r="Y1077" s="32">
        <f t="shared" ca="1" si="223"/>
        <v>0</v>
      </c>
    </row>
    <row r="1078" spans="1:25">
      <c r="A1078" s="5">
        <v>39954</v>
      </c>
      <c r="B1078" s="4">
        <v>6690.85</v>
      </c>
      <c r="C1078" s="4">
        <v>6746.1</v>
      </c>
      <c r="D1078" s="4">
        <v>6650.33</v>
      </c>
      <c r="E1078" s="4">
        <v>6718.81</v>
      </c>
      <c r="F1078" s="4">
        <v>7550800</v>
      </c>
      <c r="G1078" s="8">
        <f t="shared" si="225"/>
        <v>-12.769999999999527</v>
      </c>
      <c r="H1078" s="8">
        <f t="shared" si="224"/>
        <v>27.960000000000036</v>
      </c>
      <c r="I1078" s="20">
        <f t="shared" ref="I1078:I1141" ca="1" si="231">Y1078</f>
        <v>0</v>
      </c>
      <c r="J1078" s="8">
        <f t="shared" ref="J1078:J1141" ca="1" si="232">IF((J1077+I1077)&gt;=J$5,J$5,IF((J1077+I1077)&lt;=J$7,J$7,J1077+I1077))</f>
        <v>3</v>
      </c>
      <c r="K1078" s="8">
        <f t="shared" ref="K1078:K1141" ca="1" si="233">J1077*G1078+J1078*H1078</f>
        <v>45.570000000001528</v>
      </c>
      <c r="L1078" s="8">
        <f t="shared" ref="L1078:L1141" ca="1" si="234">L1077+K1078</f>
        <v>16169.790000000014</v>
      </c>
      <c r="M1078" s="9">
        <f ca="1">AVERAGE(E1078:OFFSET(E1078,-M$5+1,0))</f>
        <v>6565.8149999999996</v>
      </c>
      <c r="N1078" s="9">
        <f ca="1">AVERAGE(E1078:OFFSET(E1078,-N$5+1,0))</f>
        <v>6308.6239999999989</v>
      </c>
      <c r="O1078" s="9">
        <f t="shared" ref="O1078:O1141" ca="1" si="235">IF(AND(M1077&lt;=N1077,M1078&gt;N1078),1,IF(AND(M1077&gt;=N1077,M1078&lt;N1078),-1,0))</f>
        <v>0</v>
      </c>
      <c r="P1078" s="14">
        <f t="shared" si="226"/>
        <v>0.22633765249219204</v>
      </c>
      <c r="Q1078" s="15">
        <f ca="1">STDEV(P1078:OFFSET(P1078,-$Q$5+1,0))</f>
        <v>1.6005643209936327</v>
      </c>
      <c r="R1078" s="15">
        <f ca="1">STDEV(P1078:OFFSET(P1078,-$R$5+1,0))</f>
        <v>2.1742822887485018</v>
      </c>
      <c r="S1078" s="18">
        <f t="shared" si="227"/>
        <v>95.770000000000437</v>
      </c>
      <c r="T1078" s="18">
        <f t="shared" si="228"/>
        <v>95.770000000000437</v>
      </c>
      <c r="U1078" s="18">
        <f t="shared" ref="U1078:U1141" si="236">$U$5*T1078+(1-$U$5)*U1077</f>
        <v>156.61368807553251</v>
      </c>
      <c r="V1078" s="33">
        <f ca="1">AVERAGE(E1078:OFFSET(E1078,-V$5+1,0))</f>
        <v>6536.2899999999991</v>
      </c>
      <c r="W1078" s="33">
        <f t="shared" ca="1" si="229"/>
        <v>6771.2105321132976</v>
      </c>
      <c r="X1078" s="33">
        <f t="shared" ca="1" si="230"/>
        <v>6301.3694678867005</v>
      </c>
      <c r="Y1078" s="32">
        <f t="shared" ref="Y1078:Y1141" ca="1" si="237">IF(AND(E1077&gt;X1077,E1078&lt;X1078),-1,IF(AND(E1077&lt;W1077,E1078&gt;W1078),1,0))</f>
        <v>0</v>
      </c>
    </row>
    <row r="1079" spans="1:25">
      <c r="A1079" s="5">
        <v>39955</v>
      </c>
      <c r="B1079" s="4">
        <v>6650.51</v>
      </c>
      <c r="C1079" s="4">
        <v>6781.14</v>
      </c>
      <c r="D1079" s="4">
        <v>6650.51</v>
      </c>
      <c r="E1079" s="4">
        <v>6737.29</v>
      </c>
      <c r="F1079" s="4">
        <v>7378800</v>
      </c>
      <c r="G1079" s="8">
        <f t="shared" si="225"/>
        <v>-68.300000000000182</v>
      </c>
      <c r="H1079" s="8">
        <f t="shared" si="224"/>
        <v>86.779999999999745</v>
      </c>
      <c r="I1079" s="20">
        <f t="shared" ca="1" si="231"/>
        <v>0</v>
      </c>
      <c r="J1079" s="8">
        <f t="shared" ca="1" si="232"/>
        <v>3</v>
      </c>
      <c r="K1079" s="8">
        <f t="shared" ca="1" si="233"/>
        <v>55.43999999999869</v>
      </c>
      <c r="L1079" s="8">
        <f t="shared" ca="1" si="234"/>
        <v>16225.230000000012</v>
      </c>
      <c r="M1079" s="9">
        <f ca="1">AVERAGE(E1079:OFFSET(E1079,-M$5+1,0))</f>
        <v>6581.1570000000011</v>
      </c>
      <c r="N1079" s="9">
        <f ca="1">AVERAGE(E1079:OFFSET(E1079,-N$5+1,0))</f>
        <v>6351.7264999999989</v>
      </c>
      <c r="O1079" s="9">
        <f t="shared" ca="1" si="235"/>
        <v>0</v>
      </c>
      <c r="P1079" s="14">
        <f t="shared" si="226"/>
        <v>0.27467113975684693</v>
      </c>
      <c r="Q1079" s="15">
        <f ca="1">STDEV(P1079:OFFSET(P1079,-$Q$5+1,0))</f>
        <v>1.6005342230973791</v>
      </c>
      <c r="R1079" s="15">
        <f ca="1">STDEV(P1079:OFFSET(P1079,-$R$5+1,0))</f>
        <v>2.1745819389627092</v>
      </c>
      <c r="S1079" s="18">
        <f t="shared" si="227"/>
        <v>130.63000000000011</v>
      </c>
      <c r="T1079" s="18">
        <f t="shared" si="228"/>
        <v>130.63000000000011</v>
      </c>
      <c r="U1079" s="18">
        <f t="shared" si="236"/>
        <v>153.14919633212818</v>
      </c>
      <c r="V1079" s="33">
        <f ca="1">AVERAGE(E1079:OFFSET(E1079,-V$5+1,0))</f>
        <v>6565.3535714285699</v>
      </c>
      <c r="W1079" s="33">
        <f t="shared" ca="1" si="229"/>
        <v>6795.0773659267625</v>
      </c>
      <c r="X1079" s="33">
        <f t="shared" ca="1" si="230"/>
        <v>6335.6297769303774</v>
      </c>
      <c r="Y1079" s="32">
        <f t="shared" ca="1" si="237"/>
        <v>0</v>
      </c>
    </row>
    <row r="1080" spans="1:25">
      <c r="A1080" s="5">
        <v>39958</v>
      </c>
      <c r="B1080" s="4">
        <v>6838.7</v>
      </c>
      <c r="C1080" s="4">
        <v>6878.66</v>
      </c>
      <c r="D1080" s="4">
        <v>6708.19</v>
      </c>
      <c r="E1080" s="4">
        <v>6734.46</v>
      </c>
      <c r="F1080" s="4">
        <v>7459200</v>
      </c>
      <c r="G1080" s="8">
        <f t="shared" si="225"/>
        <v>101.40999999999985</v>
      </c>
      <c r="H1080" s="8">
        <f t="shared" si="224"/>
        <v>-104.23999999999978</v>
      </c>
      <c r="I1080" s="20">
        <f t="shared" ca="1" si="231"/>
        <v>0</v>
      </c>
      <c r="J1080" s="8">
        <f t="shared" ca="1" si="232"/>
        <v>3</v>
      </c>
      <c r="K1080" s="8">
        <f t="shared" ca="1" si="233"/>
        <v>-8.4899999999997817</v>
      </c>
      <c r="L1080" s="8">
        <f t="shared" ca="1" si="234"/>
        <v>16216.740000000013</v>
      </c>
      <c r="M1080" s="9">
        <f ca="1">AVERAGE(E1080:OFFSET(E1080,-M$5+1,0))</f>
        <v>6589.853000000001</v>
      </c>
      <c r="N1080" s="9">
        <f ca="1">AVERAGE(E1080:OFFSET(E1080,-N$5+1,0))</f>
        <v>6394.4109999999991</v>
      </c>
      <c r="O1080" s="9">
        <f t="shared" ca="1" si="235"/>
        <v>0</v>
      </c>
      <c r="P1080" s="14">
        <f t="shared" si="226"/>
        <v>-4.201384440222642E-2</v>
      </c>
      <c r="Q1080" s="15">
        <f ca="1">STDEV(P1080:OFFSET(P1080,-$Q$5+1,0))</f>
        <v>1.5809198088873271</v>
      </c>
      <c r="R1080" s="15">
        <f ca="1">STDEV(P1080:OFFSET(P1080,-$R$5+1,0))</f>
        <v>2.1753391866904206</v>
      </c>
      <c r="S1080" s="18">
        <f t="shared" si="227"/>
        <v>170.47000000000025</v>
      </c>
      <c r="T1080" s="18">
        <f t="shared" si="228"/>
        <v>170.47000000000025</v>
      </c>
      <c r="U1080" s="18">
        <f t="shared" si="236"/>
        <v>155.45863682117778</v>
      </c>
      <c r="V1080" s="33">
        <f ca="1">AVERAGE(E1080:OFFSET(E1080,-V$5+1,0))</f>
        <v>6590.676428571428</v>
      </c>
      <c r="W1080" s="33">
        <f t="shared" ca="1" si="229"/>
        <v>6823.8643838031949</v>
      </c>
      <c r="X1080" s="33">
        <f t="shared" ca="1" si="230"/>
        <v>6357.4884733396611</v>
      </c>
      <c r="Y1080" s="32">
        <f t="shared" ca="1" si="237"/>
        <v>0</v>
      </c>
    </row>
    <row r="1081" spans="1:25">
      <c r="A1081" s="5">
        <v>39959</v>
      </c>
      <c r="B1081" s="4">
        <v>6780.37</v>
      </c>
      <c r="C1081" s="4">
        <v>6830.24</v>
      </c>
      <c r="D1081" s="4">
        <v>6649.95</v>
      </c>
      <c r="E1081" s="4">
        <v>6683.11</v>
      </c>
      <c r="F1081" s="4">
        <v>8110400</v>
      </c>
      <c r="G1081" s="8">
        <f t="shared" si="225"/>
        <v>45.909999999999854</v>
      </c>
      <c r="H1081" s="8">
        <f t="shared" si="224"/>
        <v>-97.260000000000218</v>
      </c>
      <c r="I1081" s="20">
        <f t="shared" ca="1" si="231"/>
        <v>0</v>
      </c>
      <c r="J1081" s="8">
        <f t="shared" ca="1" si="232"/>
        <v>3</v>
      </c>
      <c r="K1081" s="8">
        <f t="shared" ca="1" si="233"/>
        <v>-154.05000000000109</v>
      </c>
      <c r="L1081" s="8">
        <f t="shared" ca="1" si="234"/>
        <v>16062.690000000011</v>
      </c>
      <c r="M1081" s="9">
        <f ca="1">AVERAGE(E1081:OFFSET(E1081,-M$5+1,0))</f>
        <v>6614.9089999999997</v>
      </c>
      <c r="N1081" s="9">
        <f ca="1">AVERAGE(E1081:OFFSET(E1081,-N$5+1,0))</f>
        <v>6443.3140000000003</v>
      </c>
      <c r="O1081" s="9">
        <f t="shared" ca="1" si="235"/>
        <v>0</v>
      </c>
      <c r="P1081" s="14">
        <f t="shared" si="226"/>
        <v>-0.76541804068930985</v>
      </c>
      <c r="Q1081" s="15">
        <f ca="1">STDEV(P1081:OFFSET(P1081,-$Q$5+1,0))</f>
        <v>1.1047432305117273</v>
      </c>
      <c r="R1081" s="15">
        <f ca="1">STDEV(P1081:OFFSET(P1081,-$R$5+1,0))</f>
        <v>2.0864527819227185</v>
      </c>
      <c r="S1081" s="18">
        <f t="shared" si="227"/>
        <v>180.28999999999996</v>
      </c>
      <c r="T1081" s="18">
        <f t="shared" si="228"/>
        <v>180.28999999999996</v>
      </c>
      <c r="U1081" s="18">
        <f t="shared" si="236"/>
        <v>158.76948524502075</v>
      </c>
      <c r="V1081" s="33">
        <f ca="1">AVERAGE(E1081:OFFSET(E1081,-V$5+1,0))</f>
        <v>6598.9914285714285</v>
      </c>
      <c r="W1081" s="33">
        <f t="shared" ca="1" si="229"/>
        <v>6837.14565643896</v>
      </c>
      <c r="X1081" s="33">
        <f t="shared" ca="1" si="230"/>
        <v>6360.837200703897</v>
      </c>
      <c r="Y1081" s="32">
        <f t="shared" ca="1" si="237"/>
        <v>0</v>
      </c>
    </row>
    <row r="1082" spans="1:25">
      <c r="A1082" s="5">
        <v>39960</v>
      </c>
      <c r="B1082" s="4">
        <v>6800.56</v>
      </c>
      <c r="C1082" s="4">
        <v>6930.59</v>
      </c>
      <c r="D1082" s="4">
        <v>6743.39</v>
      </c>
      <c r="E1082" s="4">
        <v>6890.44</v>
      </c>
      <c r="F1082" s="4">
        <v>8228800</v>
      </c>
      <c r="G1082" s="8">
        <f t="shared" si="225"/>
        <v>117.45000000000073</v>
      </c>
      <c r="H1082" s="8">
        <f t="shared" si="224"/>
        <v>89.8799999999992</v>
      </c>
      <c r="I1082" s="20">
        <f t="shared" ca="1" si="231"/>
        <v>1</v>
      </c>
      <c r="J1082" s="8">
        <f t="shared" ca="1" si="232"/>
        <v>3</v>
      </c>
      <c r="K1082" s="8">
        <f t="shared" ca="1" si="233"/>
        <v>621.98999999999978</v>
      </c>
      <c r="L1082" s="8">
        <f t="shared" ca="1" si="234"/>
        <v>16684.680000000011</v>
      </c>
      <c r="M1082" s="9">
        <f ca="1">AVERAGE(E1082:OFFSET(E1082,-M$5+1,0))</f>
        <v>6655.4390000000003</v>
      </c>
      <c r="N1082" s="9">
        <f ca="1">AVERAGE(E1082:OFFSET(E1082,-N$5+1,0))</f>
        <v>6507.9994999999999</v>
      </c>
      <c r="O1082" s="9">
        <f t="shared" ca="1" si="235"/>
        <v>0</v>
      </c>
      <c r="P1082" s="14">
        <f t="shared" si="226"/>
        <v>3.0551495586922517</v>
      </c>
      <c r="Q1082" s="15">
        <f ca="1">STDEV(P1082:OFFSET(P1082,-$Q$5+1,0))</f>
        <v>1.3920525686829739</v>
      </c>
      <c r="R1082" s="15">
        <f ca="1">STDEV(P1082:OFFSET(P1082,-$R$5+1,0))</f>
        <v>2.1194075074801586</v>
      </c>
      <c r="S1082" s="18">
        <f t="shared" si="227"/>
        <v>187.19999999999982</v>
      </c>
      <c r="T1082" s="18">
        <f t="shared" si="228"/>
        <v>247.48000000000047</v>
      </c>
      <c r="U1082" s="18">
        <f t="shared" si="236"/>
        <v>170.59755387901805</v>
      </c>
      <c r="V1082" s="33">
        <f ca="1">AVERAGE(E1082:OFFSET(E1082,-V$5+1,0))</f>
        <v>6621.6750000000002</v>
      </c>
      <c r="W1082" s="33">
        <f t="shared" ca="1" si="229"/>
        <v>6877.5713308185277</v>
      </c>
      <c r="X1082" s="33">
        <f t="shared" ca="1" si="230"/>
        <v>6365.7786691814727</v>
      </c>
      <c r="Y1082" s="32">
        <f t="shared" ca="1" si="237"/>
        <v>1</v>
      </c>
    </row>
    <row r="1083" spans="1:25">
      <c r="A1083" s="5">
        <v>39965</v>
      </c>
      <c r="B1083" s="4">
        <v>7033.33</v>
      </c>
      <c r="C1083" s="4">
        <v>7033.33</v>
      </c>
      <c r="D1083" s="4">
        <v>6892.69</v>
      </c>
      <c r="E1083" s="4">
        <v>6954.1</v>
      </c>
      <c r="F1083" s="4">
        <v>7423000</v>
      </c>
      <c r="G1083" s="8">
        <f t="shared" si="225"/>
        <v>142.89000000000033</v>
      </c>
      <c r="H1083" s="8">
        <f t="shared" si="224"/>
        <v>-79.229999999999563</v>
      </c>
      <c r="I1083" s="20">
        <f t="shared" ca="1" si="231"/>
        <v>0</v>
      </c>
      <c r="J1083" s="8">
        <f t="shared" ca="1" si="232"/>
        <v>3</v>
      </c>
      <c r="K1083" s="8">
        <f t="shared" ca="1" si="233"/>
        <v>190.98000000000229</v>
      </c>
      <c r="L1083" s="8">
        <f t="shared" ca="1" si="234"/>
        <v>16875.660000000014</v>
      </c>
      <c r="M1083" s="9">
        <f ca="1">AVERAGE(E1083:OFFSET(E1083,-M$5+1,0))</f>
        <v>6714.4320000000007</v>
      </c>
      <c r="N1083" s="9">
        <f ca="1">AVERAGE(E1083:OFFSET(E1083,-N$5+1,0))</f>
        <v>6575.0015000000003</v>
      </c>
      <c r="O1083" s="9">
        <f t="shared" ca="1" si="235"/>
        <v>0</v>
      </c>
      <c r="P1083" s="14">
        <f t="shared" si="226"/>
        <v>0.91964700409068978</v>
      </c>
      <c r="Q1083" s="15">
        <f ca="1">STDEV(P1083:OFFSET(P1083,-$Q$5+1,0))</f>
        <v>1.0830557261710962</v>
      </c>
      <c r="R1083" s="15">
        <f ca="1">STDEV(P1083:OFFSET(P1083,-$R$5+1,0))</f>
        <v>2.1097527803339835</v>
      </c>
      <c r="S1083" s="18">
        <f t="shared" si="227"/>
        <v>140.64000000000033</v>
      </c>
      <c r="T1083" s="18">
        <f t="shared" si="228"/>
        <v>142.89000000000033</v>
      </c>
      <c r="U1083" s="18">
        <f t="shared" si="236"/>
        <v>166.90321336181569</v>
      </c>
      <c r="V1083" s="33">
        <f ca="1">AVERAGE(E1083:OFFSET(E1083,-V$5+1,0))</f>
        <v>6648.1200000000017</v>
      </c>
      <c r="W1083" s="33">
        <f t="shared" ca="1" si="229"/>
        <v>6898.4748200427257</v>
      </c>
      <c r="X1083" s="33">
        <f t="shared" ca="1" si="230"/>
        <v>6397.7651799572777</v>
      </c>
      <c r="Y1083" s="32">
        <f t="shared" ca="1" si="237"/>
        <v>0</v>
      </c>
    </row>
    <row r="1084" spans="1:25">
      <c r="A1084" s="5">
        <v>39966</v>
      </c>
      <c r="B1084" s="4">
        <v>7058.12</v>
      </c>
      <c r="C1084" s="4">
        <v>7084.83</v>
      </c>
      <c r="D1084" s="4">
        <v>6899.98</v>
      </c>
      <c r="E1084" s="4">
        <v>6949.08</v>
      </c>
      <c r="F1084" s="4">
        <v>8740600</v>
      </c>
      <c r="G1084" s="8">
        <f t="shared" si="225"/>
        <v>104.01999999999953</v>
      </c>
      <c r="H1084" s="8">
        <f t="shared" si="224"/>
        <v>-109.03999999999996</v>
      </c>
      <c r="I1084" s="20">
        <f t="shared" ca="1" si="231"/>
        <v>0</v>
      </c>
      <c r="J1084" s="8">
        <f t="shared" ca="1" si="232"/>
        <v>3</v>
      </c>
      <c r="K1084" s="8">
        <f t="shared" ca="1" si="233"/>
        <v>-15.06000000000131</v>
      </c>
      <c r="L1084" s="8">
        <f t="shared" ca="1" si="234"/>
        <v>16860.600000000013</v>
      </c>
      <c r="M1084" s="9">
        <f ca="1">AVERAGE(E1084:OFFSET(E1084,-M$5+1,0))</f>
        <v>6760.4309999999996</v>
      </c>
      <c r="N1084" s="9">
        <f ca="1">AVERAGE(E1084:OFFSET(E1084,-N$5+1,0))</f>
        <v>6622.8269999999993</v>
      </c>
      <c r="O1084" s="9">
        <f t="shared" ca="1" si="235"/>
        <v>0</v>
      </c>
      <c r="P1084" s="14">
        <f t="shared" si="226"/>
        <v>-7.2213698134578772E-2</v>
      </c>
      <c r="Q1084" s="15">
        <f ca="1">STDEV(P1084:OFFSET(P1084,-$Q$5+1,0))</f>
        <v>1.0515431158709769</v>
      </c>
      <c r="R1084" s="15">
        <f ca="1">STDEV(P1084:OFFSET(P1084,-$R$5+1,0))</f>
        <v>2.0798803427768586</v>
      </c>
      <c r="S1084" s="18">
        <f t="shared" si="227"/>
        <v>184.85000000000036</v>
      </c>
      <c r="T1084" s="18">
        <f t="shared" si="228"/>
        <v>184.85000000000036</v>
      </c>
      <c r="U1084" s="18">
        <f t="shared" si="236"/>
        <v>169.29611824690699</v>
      </c>
      <c r="V1084" s="33">
        <f ca="1">AVERAGE(E1084:OFFSET(E1084,-V$5+1,0))</f>
        <v>6669.6614285714304</v>
      </c>
      <c r="W1084" s="33">
        <f t="shared" ca="1" si="229"/>
        <v>6923.6056059417906</v>
      </c>
      <c r="X1084" s="33">
        <f t="shared" ca="1" si="230"/>
        <v>6415.7172512010702</v>
      </c>
      <c r="Y1084" s="32">
        <f t="shared" ca="1" si="237"/>
        <v>0</v>
      </c>
    </row>
    <row r="1085" spans="1:25">
      <c r="A1085" s="5">
        <v>39967</v>
      </c>
      <c r="B1085" s="4">
        <v>6915</v>
      </c>
      <c r="C1085" s="4">
        <v>6931.29</v>
      </c>
      <c r="D1085" s="4">
        <v>6847.76</v>
      </c>
      <c r="E1085" s="4">
        <v>6893.14</v>
      </c>
      <c r="F1085" s="4">
        <v>5761400</v>
      </c>
      <c r="G1085" s="8">
        <f t="shared" si="225"/>
        <v>-34.079999999999927</v>
      </c>
      <c r="H1085" s="8">
        <f t="shared" si="224"/>
        <v>-21.859999999999673</v>
      </c>
      <c r="I1085" s="20">
        <f t="shared" ca="1" si="231"/>
        <v>0</v>
      </c>
      <c r="J1085" s="8">
        <f t="shared" ca="1" si="232"/>
        <v>3</v>
      </c>
      <c r="K1085" s="8">
        <f t="shared" ca="1" si="233"/>
        <v>-167.8199999999988</v>
      </c>
      <c r="L1085" s="8">
        <f t="shared" ca="1" si="234"/>
        <v>16692.780000000013</v>
      </c>
      <c r="M1085" s="9">
        <f ca="1">AVERAGE(E1085:OFFSET(E1085,-M$5+1,0))</f>
        <v>6791.9640000000018</v>
      </c>
      <c r="N1085" s="9">
        <f ca="1">AVERAGE(E1085:OFFSET(E1085,-N$5+1,0))</f>
        <v>6650.9639999999999</v>
      </c>
      <c r="O1085" s="9">
        <f t="shared" ca="1" si="235"/>
        <v>0</v>
      </c>
      <c r="P1085" s="14">
        <f t="shared" si="226"/>
        <v>-0.80825625566097237</v>
      </c>
      <c r="Q1085" s="15">
        <f ca="1">STDEV(P1085:OFFSET(P1085,-$Q$5+1,0))</f>
        <v>1.1184721294049669</v>
      </c>
      <c r="R1085" s="15">
        <f ca="1">STDEV(P1085:OFFSET(P1085,-$R$5+1,0))</f>
        <v>2.0904269232140118</v>
      </c>
      <c r="S1085" s="18">
        <f t="shared" si="227"/>
        <v>83.529999999999745</v>
      </c>
      <c r="T1085" s="18">
        <f t="shared" si="228"/>
        <v>101.31999999999971</v>
      </c>
      <c r="U1085" s="18">
        <f t="shared" si="236"/>
        <v>160.23263581398604</v>
      </c>
      <c r="V1085" s="33">
        <f ca="1">AVERAGE(E1085:OFFSET(E1085,-V$5+1,0))</f>
        <v>6702.5607142857143</v>
      </c>
      <c r="W1085" s="33">
        <f t="shared" ca="1" si="229"/>
        <v>6942.9096680066932</v>
      </c>
      <c r="X1085" s="33">
        <f t="shared" ca="1" si="230"/>
        <v>6462.2117605647354</v>
      </c>
      <c r="Y1085" s="32">
        <f t="shared" ca="1" si="237"/>
        <v>0</v>
      </c>
    </row>
    <row r="1086" spans="1:25">
      <c r="A1086" s="5">
        <v>39968</v>
      </c>
      <c r="B1086" s="4">
        <v>6887.88</v>
      </c>
      <c r="C1086" s="4">
        <v>6907.87</v>
      </c>
      <c r="D1086" s="4">
        <v>6716.33</v>
      </c>
      <c r="E1086" s="4">
        <v>6786.06</v>
      </c>
      <c r="F1086" s="4">
        <v>5706000</v>
      </c>
      <c r="G1086" s="8">
        <f t="shared" si="225"/>
        <v>-5.2600000000002183</v>
      </c>
      <c r="H1086" s="8">
        <f t="shared" si="224"/>
        <v>-101.81999999999971</v>
      </c>
      <c r="I1086" s="20">
        <f t="shared" ca="1" si="231"/>
        <v>0</v>
      </c>
      <c r="J1086" s="8">
        <f t="shared" ca="1" si="232"/>
        <v>3</v>
      </c>
      <c r="K1086" s="8">
        <f t="shared" ca="1" si="233"/>
        <v>-321.23999999999978</v>
      </c>
      <c r="L1086" s="8">
        <f t="shared" ca="1" si="234"/>
        <v>16371.540000000014</v>
      </c>
      <c r="M1086" s="9">
        <f ca="1">AVERAGE(E1086:OFFSET(E1086,-M$5+1,0))</f>
        <v>6805.0110000000004</v>
      </c>
      <c r="N1086" s="9">
        <f ca="1">AVERAGE(E1086:OFFSET(E1086,-N$5+1,0))</f>
        <v>6671.2699999999995</v>
      </c>
      <c r="O1086" s="9">
        <f t="shared" ca="1" si="235"/>
        <v>0</v>
      </c>
      <c r="P1086" s="14">
        <f t="shared" si="226"/>
        <v>-1.5656206101216836</v>
      </c>
      <c r="Q1086" s="15">
        <f ca="1">STDEV(P1086:OFFSET(P1086,-$Q$5+1,0))</f>
        <v>1.2536088687805329</v>
      </c>
      <c r="R1086" s="15">
        <f ca="1">STDEV(P1086:OFFSET(P1086,-$R$5+1,0))</f>
        <v>2.1170612172526759</v>
      </c>
      <c r="S1086" s="18">
        <f t="shared" si="227"/>
        <v>191.53999999999996</v>
      </c>
      <c r="T1086" s="18">
        <f t="shared" si="228"/>
        <v>191.53999999999996</v>
      </c>
      <c r="U1086" s="18">
        <f t="shared" si="236"/>
        <v>164.40695103878789</v>
      </c>
      <c r="V1086" s="33">
        <f ca="1">AVERAGE(E1086:OFFSET(E1086,-V$5+1,0))</f>
        <v>6724.0550000000003</v>
      </c>
      <c r="W1086" s="33">
        <f t="shared" ca="1" si="229"/>
        <v>6970.6654265581819</v>
      </c>
      <c r="X1086" s="33">
        <f t="shared" ca="1" si="230"/>
        <v>6477.4445734418186</v>
      </c>
      <c r="Y1086" s="32">
        <f t="shared" ca="1" si="237"/>
        <v>0</v>
      </c>
    </row>
    <row r="1087" spans="1:25">
      <c r="A1087" s="5">
        <v>39969</v>
      </c>
      <c r="B1087" s="4">
        <v>6825.73</v>
      </c>
      <c r="C1087" s="4">
        <v>6829.66</v>
      </c>
      <c r="D1087" s="4">
        <v>6743.15</v>
      </c>
      <c r="E1087" s="4">
        <v>6767.1</v>
      </c>
      <c r="F1087" s="4">
        <v>4586200</v>
      </c>
      <c r="G1087" s="8">
        <f t="shared" si="225"/>
        <v>39.669999999999163</v>
      </c>
      <c r="H1087" s="8">
        <f t="shared" si="224"/>
        <v>-58.6299999999992</v>
      </c>
      <c r="I1087" s="20">
        <f t="shared" ca="1" si="231"/>
        <v>0</v>
      </c>
      <c r="J1087" s="8">
        <f t="shared" ca="1" si="232"/>
        <v>3</v>
      </c>
      <c r="K1087" s="8">
        <f t="shared" ca="1" si="233"/>
        <v>-56.880000000000109</v>
      </c>
      <c r="L1087" s="8">
        <f t="shared" ca="1" si="234"/>
        <v>16314.660000000014</v>
      </c>
      <c r="M1087" s="9">
        <f ca="1">AVERAGE(E1087:OFFSET(E1087,-M$5+1,0))</f>
        <v>6811.3589999999995</v>
      </c>
      <c r="N1087" s="9">
        <f ca="1">AVERAGE(E1087:OFFSET(E1087,-N$5+1,0))</f>
        <v>6681.2900000000009</v>
      </c>
      <c r="O1087" s="9">
        <f t="shared" ca="1" si="235"/>
        <v>0</v>
      </c>
      <c r="P1087" s="14">
        <f t="shared" si="226"/>
        <v>-0.27978733178666249</v>
      </c>
      <c r="Q1087" s="15">
        <f ca="1">STDEV(P1087:OFFSET(P1087,-$Q$5+1,0))</f>
        <v>1.2469119364043795</v>
      </c>
      <c r="R1087" s="15">
        <f ca="1">STDEV(P1087:OFFSET(P1087,-$R$5+1,0))</f>
        <v>2.1205742801921388</v>
      </c>
      <c r="S1087" s="18">
        <f t="shared" si="227"/>
        <v>86.510000000000218</v>
      </c>
      <c r="T1087" s="18">
        <f t="shared" si="228"/>
        <v>86.510000000000218</v>
      </c>
      <c r="U1087" s="18">
        <f t="shared" si="236"/>
        <v>154.02069090028289</v>
      </c>
      <c r="V1087" s="33">
        <f ca="1">AVERAGE(E1087:OFFSET(E1087,-V$5+1,0))</f>
        <v>6752.8357142857149</v>
      </c>
      <c r="W1087" s="33">
        <f t="shared" ca="1" si="229"/>
        <v>6983.8667506361389</v>
      </c>
      <c r="X1087" s="33">
        <f t="shared" ca="1" si="230"/>
        <v>6521.8046779352908</v>
      </c>
      <c r="Y1087" s="32">
        <f t="shared" ca="1" si="237"/>
        <v>0</v>
      </c>
    </row>
    <row r="1088" spans="1:25">
      <c r="A1088" s="5">
        <v>39972</v>
      </c>
      <c r="B1088" s="4">
        <v>6907.32</v>
      </c>
      <c r="C1088" s="4">
        <v>6907.32</v>
      </c>
      <c r="D1088" s="4">
        <v>6628.02</v>
      </c>
      <c r="E1088" s="4">
        <v>6628.02</v>
      </c>
      <c r="F1088" s="4">
        <v>5640800</v>
      </c>
      <c r="G1088" s="8">
        <f t="shared" si="225"/>
        <v>140.21999999999935</v>
      </c>
      <c r="H1088" s="8">
        <f t="shared" si="224"/>
        <v>-279.29999999999927</v>
      </c>
      <c r="I1088" s="20">
        <f t="shared" ca="1" si="231"/>
        <v>0</v>
      </c>
      <c r="J1088" s="8">
        <f t="shared" ca="1" si="232"/>
        <v>3</v>
      </c>
      <c r="K1088" s="8">
        <f t="shared" ca="1" si="233"/>
        <v>-417.23999999999978</v>
      </c>
      <c r="L1088" s="8">
        <f t="shared" ca="1" si="234"/>
        <v>15897.420000000015</v>
      </c>
      <c r="M1088" s="9">
        <f ca="1">AVERAGE(E1088:OFFSET(E1088,-M$5+1,0))</f>
        <v>6802.2800000000007</v>
      </c>
      <c r="N1088" s="9">
        <f ca="1">AVERAGE(E1088:OFFSET(E1088,-N$5+1,0))</f>
        <v>6684.0475000000006</v>
      </c>
      <c r="O1088" s="9">
        <f t="shared" ca="1" si="235"/>
        <v>0</v>
      </c>
      <c r="P1088" s="14">
        <f t="shared" si="226"/>
        <v>-2.0766517676791008</v>
      </c>
      <c r="Q1088" s="15">
        <f ca="1">STDEV(P1088:OFFSET(P1088,-$Q$5+1,0))</f>
        <v>1.4204104909755821</v>
      </c>
      <c r="R1088" s="15">
        <f ca="1">STDEV(P1088:OFFSET(P1088,-$R$5+1,0))</f>
        <v>2.1092163031039179</v>
      </c>
      <c r="S1088" s="18">
        <f t="shared" si="227"/>
        <v>279.29999999999927</v>
      </c>
      <c r="T1088" s="18">
        <f t="shared" si="228"/>
        <v>279.29999999999927</v>
      </c>
      <c r="U1088" s="18">
        <f t="shared" si="236"/>
        <v>170.72459878024506</v>
      </c>
      <c r="V1088" s="33">
        <f ca="1">AVERAGE(E1088:OFFSET(E1088,-V$5+1,0))</f>
        <v>6762.7592857142863</v>
      </c>
      <c r="W1088" s="33">
        <f t="shared" ca="1" si="229"/>
        <v>7018.8461838846542</v>
      </c>
      <c r="X1088" s="33">
        <f t="shared" ca="1" si="230"/>
        <v>6506.6723875439184</v>
      </c>
      <c r="Y1088" s="32">
        <f t="shared" ca="1" si="237"/>
        <v>0</v>
      </c>
    </row>
    <row r="1089" spans="1:25">
      <c r="A1089" s="5">
        <v>39973</v>
      </c>
      <c r="B1089" s="4">
        <v>6636.84</v>
      </c>
      <c r="C1089" s="4">
        <v>6640.44</v>
      </c>
      <c r="D1089" s="4">
        <v>6394.34</v>
      </c>
      <c r="E1089" s="4">
        <v>6414.39</v>
      </c>
      <c r="F1089" s="4">
        <v>5955800</v>
      </c>
      <c r="G1089" s="8">
        <f t="shared" si="225"/>
        <v>8.819999999999709</v>
      </c>
      <c r="H1089" s="8">
        <f t="shared" si="224"/>
        <v>-222.44999999999982</v>
      </c>
      <c r="I1089" s="20">
        <f t="shared" ca="1" si="231"/>
        <v>-1</v>
      </c>
      <c r="J1089" s="8">
        <f t="shared" ca="1" si="232"/>
        <v>3</v>
      </c>
      <c r="K1089" s="8">
        <f t="shared" ca="1" si="233"/>
        <v>-640.89000000000033</v>
      </c>
      <c r="L1089" s="8">
        <f t="shared" ca="1" si="234"/>
        <v>15256.530000000013</v>
      </c>
      <c r="M1089" s="9">
        <f ca="1">AVERAGE(E1089:OFFSET(E1089,-M$5+1,0))</f>
        <v>6769.99</v>
      </c>
      <c r="N1089" s="9">
        <f ca="1">AVERAGE(E1089:OFFSET(E1089,-N$5+1,0))</f>
        <v>6675.5735000000013</v>
      </c>
      <c r="O1089" s="9">
        <f t="shared" ca="1" si="235"/>
        <v>0</v>
      </c>
      <c r="P1089" s="14">
        <f t="shared" si="226"/>
        <v>-3.2762213148649799</v>
      </c>
      <c r="Q1089" s="15">
        <f ca="1">STDEV(P1089:OFFSET(P1089,-$Q$5+1,0))</f>
        <v>1.7188238338395789</v>
      </c>
      <c r="R1089" s="15">
        <f ca="1">STDEV(P1089:OFFSET(P1089,-$R$5+1,0))</f>
        <v>2.1110372430044477</v>
      </c>
      <c r="S1089" s="18">
        <f t="shared" si="227"/>
        <v>246.09999999999945</v>
      </c>
      <c r="T1089" s="18">
        <f t="shared" si="228"/>
        <v>246.09999999999945</v>
      </c>
      <c r="U1089" s="18">
        <f t="shared" si="236"/>
        <v>180.77465227621229</v>
      </c>
      <c r="V1089" s="33">
        <f ca="1">AVERAGE(E1089:OFFSET(E1089,-V$5+1,0))</f>
        <v>6751.0864285714297</v>
      </c>
      <c r="W1089" s="33">
        <f t="shared" ca="1" si="229"/>
        <v>7022.2484069857483</v>
      </c>
      <c r="X1089" s="33">
        <f t="shared" ca="1" si="230"/>
        <v>6479.9244501571111</v>
      </c>
      <c r="Y1089" s="32">
        <f t="shared" ca="1" si="237"/>
        <v>-1</v>
      </c>
    </row>
    <row r="1090" spans="1:25">
      <c r="A1090" s="5">
        <v>39974</v>
      </c>
      <c r="B1090" s="4">
        <v>6478.46</v>
      </c>
      <c r="C1090" s="4">
        <v>6512.22</v>
      </c>
      <c r="D1090" s="4">
        <v>6389.94</v>
      </c>
      <c r="E1090" s="4">
        <v>6462.27</v>
      </c>
      <c r="F1090" s="4">
        <v>4270400</v>
      </c>
      <c r="G1090" s="8">
        <f t="shared" si="225"/>
        <v>64.069999999999709</v>
      </c>
      <c r="H1090" s="8">
        <f t="shared" si="224"/>
        <v>-16.1899999999996</v>
      </c>
      <c r="I1090" s="20">
        <f t="shared" ca="1" si="231"/>
        <v>0</v>
      </c>
      <c r="J1090" s="8">
        <f t="shared" ca="1" si="232"/>
        <v>2</v>
      </c>
      <c r="K1090" s="8">
        <f t="shared" ca="1" si="233"/>
        <v>159.82999999999993</v>
      </c>
      <c r="L1090" s="8">
        <f t="shared" ca="1" si="234"/>
        <v>15416.360000000013</v>
      </c>
      <c r="M1090" s="9">
        <f ca="1">AVERAGE(E1090:OFFSET(E1090,-M$5+1,0))</f>
        <v>6742.7710000000006</v>
      </c>
      <c r="N1090" s="9">
        <f ca="1">AVERAGE(E1090:OFFSET(E1090,-N$5+1,0))</f>
        <v>6666.3120000000008</v>
      </c>
      <c r="O1090" s="9">
        <f t="shared" ca="1" si="235"/>
        <v>0</v>
      </c>
      <c r="P1090" s="14">
        <f t="shared" si="226"/>
        <v>0.74367453466146949</v>
      </c>
      <c r="Q1090" s="15">
        <f ca="1">STDEV(P1090:OFFSET(P1090,-$Q$5+1,0))</f>
        <v>1.7591196725681286</v>
      </c>
      <c r="R1090" s="15">
        <f ca="1">STDEV(P1090:OFFSET(P1090,-$R$5+1,0))</f>
        <v>2.0946427308260631</v>
      </c>
      <c r="S1090" s="18">
        <f t="shared" si="227"/>
        <v>122.28000000000065</v>
      </c>
      <c r="T1090" s="18">
        <f t="shared" si="228"/>
        <v>122.28000000000065</v>
      </c>
      <c r="U1090" s="18">
        <f t="shared" si="236"/>
        <v>172.97536530605075</v>
      </c>
      <c r="V1090" s="33">
        <f ca="1">AVERAGE(E1090:OFFSET(E1090,-V$5+1,0))</f>
        <v>6737.277857142858</v>
      </c>
      <c r="W1090" s="33">
        <f t="shared" ca="1" si="229"/>
        <v>6996.740905101934</v>
      </c>
      <c r="X1090" s="33">
        <f t="shared" ca="1" si="230"/>
        <v>6477.814809183782</v>
      </c>
      <c r="Y1090" s="32">
        <f t="shared" ca="1" si="237"/>
        <v>0</v>
      </c>
    </row>
    <row r="1091" spans="1:25">
      <c r="A1091" s="5">
        <v>39975</v>
      </c>
      <c r="B1091" s="4">
        <v>6458.62</v>
      </c>
      <c r="C1091" s="4">
        <v>6567.37</v>
      </c>
      <c r="D1091" s="4">
        <v>6353.78</v>
      </c>
      <c r="E1091" s="4">
        <v>6567.37</v>
      </c>
      <c r="F1091" s="4">
        <v>4319400</v>
      </c>
      <c r="G1091" s="8">
        <f t="shared" si="225"/>
        <v>-3.6500000000005457</v>
      </c>
      <c r="H1091" s="8">
        <f t="shared" si="224"/>
        <v>108.75</v>
      </c>
      <c r="I1091" s="20">
        <f t="shared" ca="1" si="231"/>
        <v>0</v>
      </c>
      <c r="J1091" s="8">
        <f t="shared" ca="1" si="232"/>
        <v>2</v>
      </c>
      <c r="K1091" s="8">
        <f t="shared" ca="1" si="233"/>
        <v>210.19999999999891</v>
      </c>
      <c r="L1091" s="8">
        <f t="shared" ca="1" si="234"/>
        <v>15626.560000000012</v>
      </c>
      <c r="M1091" s="9">
        <f ca="1">AVERAGE(E1091:OFFSET(E1091,-M$5+1,0))</f>
        <v>6731.1970000000001</v>
      </c>
      <c r="N1091" s="9">
        <f ca="1">AVERAGE(E1091:OFFSET(E1091,-N$5+1,0))</f>
        <v>6673.0530000000017</v>
      </c>
      <c r="O1091" s="9">
        <f t="shared" ca="1" si="235"/>
        <v>0</v>
      </c>
      <c r="P1091" s="14">
        <f t="shared" si="226"/>
        <v>1.6132798680077967</v>
      </c>
      <c r="Q1091" s="15">
        <f ca="1">STDEV(P1091:OFFSET(P1091,-$Q$5+1,0))</f>
        <v>1.8638151668828411</v>
      </c>
      <c r="R1091" s="15">
        <f ca="1">STDEV(P1091:OFFSET(P1091,-$R$5+1,0))</f>
        <v>2.0991374847343698</v>
      </c>
      <c r="S1091" s="18">
        <f t="shared" si="227"/>
        <v>213.59000000000015</v>
      </c>
      <c r="T1091" s="18">
        <f t="shared" si="228"/>
        <v>213.59000000000015</v>
      </c>
      <c r="U1091" s="18">
        <f t="shared" si="236"/>
        <v>178.39064993191067</v>
      </c>
      <c r="V1091" s="33">
        <f ca="1">AVERAGE(E1091:OFFSET(E1091,-V$5+1,0))</f>
        <v>6727.545714285714</v>
      </c>
      <c r="W1091" s="33">
        <f t="shared" ca="1" si="229"/>
        <v>6995.1316891835795</v>
      </c>
      <c r="X1091" s="33">
        <f t="shared" ca="1" si="230"/>
        <v>6459.9597393878485</v>
      </c>
      <c r="Y1091" s="32">
        <f t="shared" ca="1" si="237"/>
        <v>0</v>
      </c>
    </row>
    <row r="1092" spans="1:25">
      <c r="A1092" s="5">
        <v>39976</v>
      </c>
      <c r="B1092" s="4">
        <v>6552.58</v>
      </c>
      <c r="C1092" s="4">
        <v>6586.2</v>
      </c>
      <c r="D1092" s="4">
        <v>6443.86</v>
      </c>
      <c r="E1092" s="4">
        <v>6448.23</v>
      </c>
      <c r="F1092" s="4">
        <v>4737200</v>
      </c>
      <c r="G1092" s="8">
        <f t="shared" si="225"/>
        <v>-14.789999999999964</v>
      </c>
      <c r="H1092" s="8">
        <f t="shared" ref="H1092:H1155" si="238">E1092-B1092</f>
        <v>-104.35000000000036</v>
      </c>
      <c r="I1092" s="20">
        <f t="shared" ca="1" si="231"/>
        <v>0</v>
      </c>
      <c r="J1092" s="8">
        <f t="shared" ca="1" si="232"/>
        <v>2</v>
      </c>
      <c r="K1092" s="8">
        <f t="shared" ca="1" si="233"/>
        <v>-238.28000000000065</v>
      </c>
      <c r="L1092" s="8">
        <f t="shared" ca="1" si="234"/>
        <v>15388.280000000012</v>
      </c>
      <c r="M1092" s="9">
        <f ca="1">AVERAGE(E1092:OFFSET(E1092,-M$5+1,0))</f>
        <v>6686.9760000000006</v>
      </c>
      <c r="N1092" s="9">
        <f ca="1">AVERAGE(E1092:OFFSET(E1092,-N$5+1,0))</f>
        <v>6671.2075000000013</v>
      </c>
      <c r="O1092" s="9">
        <f t="shared" ca="1" si="235"/>
        <v>0</v>
      </c>
      <c r="P1092" s="14">
        <f t="shared" si="226"/>
        <v>-1.8307773395960836</v>
      </c>
      <c r="Q1092" s="15">
        <f ca="1">STDEV(P1092:OFFSET(P1092,-$Q$5+1,0))</f>
        <v>1.5343365772873281</v>
      </c>
      <c r="R1092" s="15">
        <f ca="1">STDEV(P1092:OFFSET(P1092,-$R$5+1,0))</f>
        <v>2.1248556786182604</v>
      </c>
      <c r="S1092" s="18">
        <f t="shared" si="227"/>
        <v>142.34000000000015</v>
      </c>
      <c r="T1092" s="18">
        <f t="shared" si="228"/>
        <v>142.34000000000015</v>
      </c>
      <c r="U1092" s="18">
        <f t="shared" si="236"/>
        <v>173.58389660765596</v>
      </c>
      <c r="V1092" s="33">
        <f ca="1">AVERAGE(E1092:OFFSET(E1092,-V$5+1,0))</f>
        <v>6708.2185714285715</v>
      </c>
      <c r="W1092" s="33">
        <f t="shared" ca="1" si="229"/>
        <v>6968.5944163400554</v>
      </c>
      <c r="X1092" s="33">
        <f t="shared" ca="1" si="230"/>
        <v>6447.8427265170876</v>
      </c>
      <c r="Y1092" s="32">
        <f t="shared" ca="1" si="237"/>
        <v>0</v>
      </c>
    </row>
    <row r="1093" spans="1:25">
      <c r="A1093" s="5">
        <v>39979</v>
      </c>
      <c r="B1093" s="4">
        <v>6362.22</v>
      </c>
      <c r="C1093" s="4">
        <v>6383.98</v>
      </c>
      <c r="D1093" s="4">
        <v>6188.7</v>
      </c>
      <c r="E1093" s="4">
        <v>6225.56</v>
      </c>
      <c r="F1093" s="4">
        <v>4354600</v>
      </c>
      <c r="G1093" s="8">
        <f t="shared" ref="G1093:G1156" si="239">B1093-E1092</f>
        <v>-86.009999999999309</v>
      </c>
      <c r="H1093" s="8">
        <f t="shared" si="238"/>
        <v>-136.65999999999985</v>
      </c>
      <c r="I1093" s="20">
        <f t="shared" ca="1" si="231"/>
        <v>-1</v>
      </c>
      <c r="J1093" s="8">
        <f t="shared" ca="1" si="232"/>
        <v>2</v>
      </c>
      <c r="K1093" s="8">
        <f t="shared" ca="1" si="233"/>
        <v>-445.33999999999833</v>
      </c>
      <c r="L1093" s="8">
        <f t="shared" ca="1" si="234"/>
        <v>14942.940000000013</v>
      </c>
      <c r="M1093" s="9">
        <f ca="1">AVERAGE(E1093:OFFSET(E1093,-M$5+1,0))</f>
        <v>6614.1220000000012</v>
      </c>
      <c r="N1093" s="9">
        <f ca="1">AVERAGE(E1093:OFFSET(E1093,-N$5+1,0))</f>
        <v>6664.277</v>
      </c>
      <c r="O1093" s="9">
        <f t="shared" ca="1" si="235"/>
        <v>-1</v>
      </c>
      <c r="P1093" s="14">
        <f t="shared" ref="P1093:P1156" si="240">100*LN(E1093/E1092)</f>
        <v>-3.5142276399369661</v>
      </c>
      <c r="Q1093" s="15">
        <f ca="1">STDEV(P1093:OFFSET(P1093,-$Q$5+1,0))</f>
        <v>1.6614553914343377</v>
      </c>
      <c r="R1093" s="15">
        <f ca="1">STDEV(P1093:OFFSET(P1093,-$R$5+1,0))</f>
        <v>2.2045252605336949</v>
      </c>
      <c r="S1093" s="18">
        <f t="shared" si="227"/>
        <v>195.27999999999975</v>
      </c>
      <c r="T1093" s="18">
        <f t="shared" si="228"/>
        <v>259.52999999999975</v>
      </c>
      <c r="U1093" s="18">
        <f t="shared" si="236"/>
        <v>185.04337705996846</v>
      </c>
      <c r="V1093" s="33">
        <f ca="1">AVERAGE(E1093:OFFSET(E1093,-V$5+1,0))</f>
        <v>6671.6664285714278</v>
      </c>
      <c r="W1093" s="33">
        <f t="shared" ca="1" si="229"/>
        <v>6949.2314941613804</v>
      </c>
      <c r="X1093" s="33">
        <f t="shared" ca="1" si="230"/>
        <v>6394.1013629814752</v>
      </c>
      <c r="Y1093" s="32">
        <f t="shared" ca="1" si="237"/>
        <v>-1</v>
      </c>
    </row>
    <row r="1094" spans="1:25">
      <c r="A1094" s="5">
        <v>39980</v>
      </c>
      <c r="B1094" s="4">
        <v>6220.54</v>
      </c>
      <c r="C1094" s="4">
        <v>6257.13</v>
      </c>
      <c r="D1094" s="4">
        <v>6143.24</v>
      </c>
      <c r="E1094" s="4">
        <v>6220.81</v>
      </c>
      <c r="F1094" s="4">
        <v>4067200</v>
      </c>
      <c r="G1094" s="8">
        <f t="shared" si="239"/>
        <v>-5.0200000000004366</v>
      </c>
      <c r="H1094" s="8">
        <f t="shared" si="238"/>
        <v>0.27000000000043656</v>
      </c>
      <c r="I1094" s="20">
        <f t="shared" ca="1" si="231"/>
        <v>0</v>
      </c>
      <c r="J1094" s="8">
        <f t="shared" ca="1" si="232"/>
        <v>1</v>
      </c>
      <c r="K1094" s="8">
        <f t="shared" ca="1" si="233"/>
        <v>-9.7700000000004366</v>
      </c>
      <c r="L1094" s="8">
        <f t="shared" ca="1" si="234"/>
        <v>14933.170000000013</v>
      </c>
      <c r="M1094" s="9">
        <f ca="1">AVERAGE(E1094:OFFSET(E1094,-M$5+1,0))</f>
        <v>6541.295000000001</v>
      </c>
      <c r="N1094" s="9">
        <f ca="1">AVERAGE(E1094:OFFSET(E1094,-N$5+1,0))</f>
        <v>6650.8630000000003</v>
      </c>
      <c r="O1094" s="9">
        <f t="shared" ca="1" si="235"/>
        <v>0</v>
      </c>
      <c r="P1094" s="14">
        <f t="shared" si="240"/>
        <v>-7.6327479106079996E-2</v>
      </c>
      <c r="Q1094" s="15">
        <f ca="1">STDEV(P1094:OFFSET(P1094,-$Q$5+1,0))</f>
        <v>1.6611712820093918</v>
      </c>
      <c r="R1094" s="15">
        <f ca="1">STDEV(P1094:OFFSET(P1094,-$R$5+1,0))</f>
        <v>2.1828241779891644</v>
      </c>
      <c r="S1094" s="18">
        <f t="shared" si="227"/>
        <v>113.89000000000033</v>
      </c>
      <c r="T1094" s="18">
        <f t="shared" si="228"/>
        <v>113.89000000000033</v>
      </c>
      <c r="U1094" s="18">
        <f t="shared" si="236"/>
        <v>175.55626011863939</v>
      </c>
      <c r="V1094" s="33">
        <f ca="1">AVERAGE(E1094:OFFSET(E1094,-V$5+1,0))</f>
        <v>6634.9771428571421</v>
      </c>
      <c r="W1094" s="33">
        <f t="shared" ca="1" si="229"/>
        <v>6898.3115330351011</v>
      </c>
      <c r="X1094" s="33">
        <f t="shared" ca="1" si="230"/>
        <v>6371.6427526791831</v>
      </c>
      <c r="Y1094" s="32">
        <f t="shared" ca="1" si="237"/>
        <v>0</v>
      </c>
    </row>
    <row r="1095" spans="1:25">
      <c r="A1095" s="5">
        <v>39981</v>
      </c>
      <c r="B1095" s="4">
        <v>6239.51</v>
      </c>
      <c r="C1095" s="4">
        <v>6306.46</v>
      </c>
      <c r="D1095" s="4">
        <v>6191.58</v>
      </c>
      <c r="E1095" s="4">
        <v>6195.91</v>
      </c>
      <c r="F1095" s="4">
        <v>3744200</v>
      </c>
      <c r="G1095" s="8">
        <f t="shared" si="239"/>
        <v>18.699999999999818</v>
      </c>
      <c r="H1095" s="8">
        <f t="shared" si="238"/>
        <v>-43.600000000000364</v>
      </c>
      <c r="I1095" s="20">
        <f t="shared" ca="1" si="231"/>
        <v>0</v>
      </c>
      <c r="J1095" s="8">
        <f t="shared" ca="1" si="232"/>
        <v>1</v>
      </c>
      <c r="K1095" s="8">
        <f t="shared" ca="1" si="233"/>
        <v>-24.900000000000546</v>
      </c>
      <c r="L1095" s="8">
        <f t="shared" ca="1" si="234"/>
        <v>14908.270000000011</v>
      </c>
      <c r="M1095" s="9">
        <f ca="1">AVERAGE(E1095:OFFSET(E1095,-M$5+1,0))</f>
        <v>6471.5720000000001</v>
      </c>
      <c r="N1095" s="9">
        <f ca="1">AVERAGE(E1095:OFFSET(E1095,-N$5+1,0))</f>
        <v>6631.7680000000009</v>
      </c>
      <c r="O1095" s="9">
        <f t="shared" ca="1" si="235"/>
        <v>0</v>
      </c>
      <c r="P1095" s="14">
        <f t="shared" si="240"/>
        <v>-0.40107264041210328</v>
      </c>
      <c r="Q1095" s="15">
        <f ca="1">STDEV(P1095:OFFSET(P1095,-$Q$5+1,0))</f>
        <v>1.6742491039304077</v>
      </c>
      <c r="R1095" s="15">
        <f ca="1">STDEV(P1095:OFFSET(P1095,-$R$5+1,0))</f>
        <v>2.0756512917820231</v>
      </c>
      <c r="S1095" s="18">
        <f t="shared" si="227"/>
        <v>114.88000000000011</v>
      </c>
      <c r="T1095" s="18">
        <f t="shared" si="228"/>
        <v>114.88000000000011</v>
      </c>
      <c r="U1095" s="18">
        <f t="shared" si="236"/>
        <v>167.46609210282082</v>
      </c>
      <c r="V1095" s="33">
        <f ca="1">AVERAGE(E1095:OFFSET(E1095,-V$5+1,0))</f>
        <v>6600.1771428571428</v>
      </c>
      <c r="W1095" s="33">
        <f t="shared" ca="1" si="229"/>
        <v>6851.376281011374</v>
      </c>
      <c r="X1095" s="33">
        <f t="shared" ca="1" si="230"/>
        <v>6348.9780047029117</v>
      </c>
      <c r="Y1095" s="32">
        <f t="shared" ca="1" si="237"/>
        <v>0</v>
      </c>
    </row>
    <row r="1096" spans="1:25">
      <c r="A1096" s="5">
        <v>39982</v>
      </c>
      <c r="B1096" s="4">
        <v>6246.85</v>
      </c>
      <c r="C1096" s="4">
        <v>6279.36</v>
      </c>
      <c r="D1096" s="4">
        <v>6100.08</v>
      </c>
      <c r="E1096" s="4">
        <v>6144.53</v>
      </c>
      <c r="F1096" s="4">
        <v>3694000</v>
      </c>
      <c r="G1096" s="8">
        <f t="shared" si="239"/>
        <v>50.940000000000509</v>
      </c>
      <c r="H1096" s="8">
        <f t="shared" si="238"/>
        <v>-102.32000000000062</v>
      </c>
      <c r="I1096" s="20">
        <f t="shared" ca="1" si="231"/>
        <v>0</v>
      </c>
      <c r="J1096" s="8">
        <f t="shared" ca="1" si="232"/>
        <v>1</v>
      </c>
      <c r="K1096" s="8">
        <f t="shared" ca="1" si="233"/>
        <v>-51.380000000000109</v>
      </c>
      <c r="L1096" s="8">
        <f t="shared" ca="1" si="234"/>
        <v>14856.89000000001</v>
      </c>
      <c r="M1096" s="9">
        <f ca="1">AVERAGE(E1096:OFFSET(E1096,-M$5+1,0))</f>
        <v>6407.4189999999999</v>
      </c>
      <c r="N1096" s="9">
        <f ca="1">AVERAGE(E1096:OFFSET(E1096,-N$5+1,0))</f>
        <v>6606.2150000000011</v>
      </c>
      <c r="O1096" s="9">
        <f t="shared" ca="1" si="235"/>
        <v>0</v>
      </c>
      <c r="P1096" s="14">
        <f t="shared" si="240"/>
        <v>-0.83271418030393218</v>
      </c>
      <c r="Q1096" s="15">
        <f ca="1">STDEV(P1096:OFFSET(P1096,-$Q$5+1,0))</f>
        <v>1.6659873247040431</v>
      </c>
      <c r="R1096" s="15">
        <f ca="1">STDEV(P1096:OFFSET(P1096,-$R$5+1,0))</f>
        <v>2.0813226721967331</v>
      </c>
      <c r="S1096" s="18">
        <f t="shared" si="227"/>
        <v>179.27999999999975</v>
      </c>
      <c r="T1096" s="18">
        <f t="shared" si="228"/>
        <v>179.27999999999975</v>
      </c>
      <c r="U1096" s="18">
        <f t="shared" si="236"/>
        <v>169.04127982244469</v>
      </c>
      <c r="V1096" s="33">
        <f ca="1">AVERAGE(E1096:OFFSET(E1096,-V$5+1,0))</f>
        <v>6546.8978571428579</v>
      </c>
      <c r="W1096" s="33">
        <f t="shared" ca="1" si="229"/>
        <v>6800.4597768765252</v>
      </c>
      <c r="X1096" s="33">
        <f t="shared" ca="1" si="230"/>
        <v>6293.3359374091906</v>
      </c>
      <c r="Y1096" s="32">
        <f t="shared" ca="1" si="237"/>
        <v>0</v>
      </c>
    </row>
    <row r="1097" spans="1:25">
      <c r="A1097" s="5">
        <v>39983</v>
      </c>
      <c r="B1097" s="4">
        <v>6187.97</v>
      </c>
      <c r="C1097" s="4">
        <v>6231.88</v>
      </c>
      <c r="D1097" s="4">
        <v>6151.51</v>
      </c>
      <c r="E1097" s="4">
        <v>6231.15</v>
      </c>
      <c r="F1097" s="4">
        <v>3203200</v>
      </c>
      <c r="G1097" s="8">
        <f t="shared" si="239"/>
        <v>43.440000000000509</v>
      </c>
      <c r="H1097" s="8">
        <f t="shared" si="238"/>
        <v>43.179999999999382</v>
      </c>
      <c r="I1097" s="20">
        <f t="shared" ca="1" si="231"/>
        <v>0</v>
      </c>
      <c r="J1097" s="8">
        <f t="shared" ca="1" si="232"/>
        <v>1</v>
      </c>
      <c r="K1097" s="8">
        <f t="shared" ca="1" si="233"/>
        <v>86.619999999999891</v>
      </c>
      <c r="L1097" s="8">
        <f t="shared" ca="1" si="234"/>
        <v>14943.510000000009</v>
      </c>
      <c r="M1097" s="9">
        <f ca="1">AVERAGE(E1097:OFFSET(E1097,-M$5+1,0))</f>
        <v>6353.8239999999996</v>
      </c>
      <c r="N1097" s="9">
        <f ca="1">AVERAGE(E1097:OFFSET(E1097,-N$5+1,0))</f>
        <v>6582.5914999999995</v>
      </c>
      <c r="O1097" s="9">
        <f t="shared" ca="1" si="235"/>
        <v>0</v>
      </c>
      <c r="P1097" s="14">
        <f t="shared" si="240"/>
        <v>1.3998651309041392</v>
      </c>
      <c r="Q1097" s="15">
        <f ca="1">STDEV(P1097:OFFSET(P1097,-$Q$5+1,0))</f>
        <v>1.8231507867225381</v>
      </c>
      <c r="R1097" s="15">
        <f ca="1">STDEV(P1097:OFFSET(P1097,-$R$5+1,0))</f>
        <v>2.075930350733191</v>
      </c>
      <c r="S1097" s="18">
        <f t="shared" si="227"/>
        <v>80.369999999999891</v>
      </c>
      <c r="T1097" s="18">
        <f t="shared" si="228"/>
        <v>87.350000000000364</v>
      </c>
      <c r="U1097" s="18">
        <f t="shared" si="236"/>
        <v>158.1491091794521</v>
      </c>
      <c r="V1097" s="33">
        <f ca="1">AVERAGE(E1097:OFFSET(E1097,-V$5+1,0))</f>
        <v>6495.2585714285724</v>
      </c>
      <c r="W1097" s="33">
        <f t="shared" ca="1" si="229"/>
        <v>6732.4822351977509</v>
      </c>
      <c r="X1097" s="33">
        <f t="shared" ca="1" si="230"/>
        <v>6258.0349076593939</v>
      </c>
      <c r="Y1097" s="32">
        <f t="shared" ca="1" si="237"/>
        <v>0</v>
      </c>
    </row>
    <row r="1098" spans="1:25">
      <c r="A1098" s="5">
        <v>39986</v>
      </c>
      <c r="B1098" s="4">
        <v>6256.38</v>
      </c>
      <c r="C1098" s="4">
        <v>6348.74</v>
      </c>
      <c r="D1098" s="4">
        <v>6193.09</v>
      </c>
      <c r="E1098" s="4">
        <v>6341.21</v>
      </c>
      <c r="F1098" s="4">
        <v>3511800</v>
      </c>
      <c r="G1098" s="8">
        <f t="shared" si="239"/>
        <v>25.230000000000473</v>
      </c>
      <c r="H1098" s="8">
        <f t="shared" si="238"/>
        <v>84.829999999999927</v>
      </c>
      <c r="I1098" s="20">
        <f t="shared" ca="1" si="231"/>
        <v>0</v>
      </c>
      <c r="J1098" s="8">
        <f t="shared" ca="1" si="232"/>
        <v>1</v>
      </c>
      <c r="K1098" s="8">
        <f t="shared" ca="1" si="233"/>
        <v>110.0600000000004</v>
      </c>
      <c r="L1098" s="8">
        <f t="shared" ca="1" si="234"/>
        <v>15053.570000000011</v>
      </c>
      <c r="M1098" s="9">
        <f ca="1">AVERAGE(E1098:OFFSET(E1098,-M$5+1,0))</f>
        <v>6325.1429999999991</v>
      </c>
      <c r="N1098" s="9">
        <f ca="1">AVERAGE(E1098:OFFSET(E1098,-N$5+1,0))</f>
        <v>6563.7114999999994</v>
      </c>
      <c r="O1098" s="9">
        <f t="shared" ca="1" si="235"/>
        <v>0</v>
      </c>
      <c r="P1098" s="14">
        <f t="shared" si="240"/>
        <v>1.7508695519469577</v>
      </c>
      <c r="Q1098" s="15">
        <f ca="1">STDEV(P1098:OFFSET(P1098,-$Q$5+1,0))</f>
        <v>1.929861445260352</v>
      </c>
      <c r="R1098" s="15">
        <f ca="1">STDEV(P1098:OFFSET(P1098,-$R$5+1,0))</f>
        <v>2.0913541563224318</v>
      </c>
      <c r="S1098" s="18">
        <f t="shared" si="227"/>
        <v>155.64999999999964</v>
      </c>
      <c r="T1098" s="18">
        <f t="shared" si="228"/>
        <v>155.64999999999964</v>
      </c>
      <c r="U1098" s="18">
        <f t="shared" si="236"/>
        <v>157.81589462219176</v>
      </c>
      <c r="V1098" s="33">
        <f ca="1">AVERAGE(E1098:OFFSET(E1098,-V$5+1,0))</f>
        <v>6451.8392857142871</v>
      </c>
      <c r="W1098" s="33">
        <f t="shared" ca="1" si="229"/>
        <v>6688.5631276475751</v>
      </c>
      <c r="X1098" s="33">
        <f t="shared" ca="1" si="230"/>
        <v>6215.1154437809992</v>
      </c>
      <c r="Y1098" s="32">
        <f t="shared" ca="1" si="237"/>
        <v>0</v>
      </c>
    </row>
    <row r="1099" spans="1:25">
      <c r="A1099" s="5">
        <v>39987</v>
      </c>
      <c r="B1099" s="4">
        <v>6206.31</v>
      </c>
      <c r="C1099" s="4">
        <v>6262.29</v>
      </c>
      <c r="D1099" s="4">
        <v>6197.47</v>
      </c>
      <c r="E1099" s="4">
        <v>6197.47</v>
      </c>
      <c r="F1099" s="4">
        <v>3407200</v>
      </c>
      <c r="G1099" s="8">
        <f t="shared" si="239"/>
        <v>-134.89999999999964</v>
      </c>
      <c r="H1099" s="8">
        <f t="shared" si="238"/>
        <v>-8.8400000000001455</v>
      </c>
      <c r="I1099" s="20">
        <f t="shared" ca="1" si="231"/>
        <v>0</v>
      </c>
      <c r="J1099" s="8">
        <f t="shared" ca="1" si="232"/>
        <v>1</v>
      </c>
      <c r="K1099" s="8">
        <f t="shared" ca="1" si="233"/>
        <v>-143.73999999999978</v>
      </c>
      <c r="L1099" s="8">
        <f t="shared" ca="1" si="234"/>
        <v>14909.830000000011</v>
      </c>
      <c r="M1099" s="9">
        <f ca="1">AVERAGE(E1099:OFFSET(E1099,-M$5+1,0))</f>
        <v>6303.451</v>
      </c>
      <c r="N1099" s="9">
        <f ca="1">AVERAGE(E1099:OFFSET(E1099,-N$5+1,0))</f>
        <v>6536.7204999999994</v>
      </c>
      <c r="O1099" s="9">
        <f t="shared" ca="1" si="235"/>
        <v>0</v>
      </c>
      <c r="P1099" s="14">
        <f t="shared" si="240"/>
        <v>-2.2928457720339375</v>
      </c>
      <c r="Q1099" s="15">
        <f ca="1">STDEV(P1099:OFFSET(P1099,-$Q$5+1,0))</f>
        <v>1.7893549988252573</v>
      </c>
      <c r="R1099" s="15">
        <f ca="1">STDEV(P1099:OFFSET(P1099,-$R$5+1,0))</f>
        <v>2.1271961134723902</v>
      </c>
      <c r="S1099" s="18">
        <f t="shared" si="227"/>
        <v>64.819999999999709</v>
      </c>
      <c r="T1099" s="18">
        <f t="shared" si="228"/>
        <v>143.73999999999978</v>
      </c>
      <c r="U1099" s="18">
        <f t="shared" si="236"/>
        <v>155.93910867256616</v>
      </c>
      <c r="V1099" s="33">
        <f ca="1">AVERAGE(E1099:OFFSET(E1099,-V$5+1,0))</f>
        <v>6402.1485714285718</v>
      </c>
      <c r="W1099" s="33">
        <f t="shared" ca="1" si="229"/>
        <v>6636.0572344374214</v>
      </c>
      <c r="X1099" s="33">
        <f t="shared" ca="1" si="230"/>
        <v>6168.2399084197223</v>
      </c>
      <c r="Y1099" s="32">
        <f t="shared" ca="1" si="237"/>
        <v>0</v>
      </c>
    </row>
    <row r="1100" spans="1:25">
      <c r="A1100" s="5">
        <v>39988</v>
      </c>
      <c r="B1100" s="4">
        <v>6230.76</v>
      </c>
      <c r="C1100" s="4">
        <v>6511.97</v>
      </c>
      <c r="D1100" s="4">
        <v>6191.63</v>
      </c>
      <c r="E1100" s="4">
        <v>6380.08</v>
      </c>
      <c r="F1100" s="4">
        <v>5013200</v>
      </c>
      <c r="G1100" s="8">
        <f t="shared" si="239"/>
        <v>33.289999999999964</v>
      </c>
      <c r="H1100" s="8">
        <f t="shared" si="238"/>
        <v>149.31999999999971</v>
      </c>
      <c r="I1100" s="20">
        <f t="shared" ca="1" si="231"/>
        <v>0</v>
      </c>
      <c r="J1100" s="8">
        <f t="shared" ca="1" si="232"/>
        <v>1</v>
      </c>
      <c r="K1100" s="8">
        <f t="shared" ca="1" si="233"/>
        <v>182.60999999999967</v>
      </c>
      <c r="L1100" s="8">
        <f t="shared" ca="1" si="234"/>
        <v>15092.44000000001</v>
      </c>
      <c r="M1100" s="9">
        <f ca="1">AVERAGE(E1100:OFFSET(E1100,-M$5+1,0))</f>
        <v>6295.2320000000009</v>
      </c>
      <c r="N1100" s="9">
        <f ca="1">AVERAGE(E1100:OFFSET(E1100,-N$5+1,0))</f>
        <v>6519.0015000000003</v>
      </c>
      <c r="O1100" s="9">
        <f t="shared" ca="1" si="235"/>
        <v>0</v>
      </c>
      <c r="P1100" s="14">
        <f t="shared" si="240"/>
        <v>2.9039492209101128</v>
      </c>
      <c r="Q1100" s="15">
        <f ca="1">STDEV(P1100:OFFSET(P1100,-$Q$5+1,0))</f>
        <v>2.0471036616823461</v>
      </c>
      <c r="R1100" s="15">
        <f ca="1">STDEV(P1100:OFFSET(P1100,-$R$5+1,0))</f>
        <v>2.1717894112978562</v>
      </c>
      <c r="S1100" s="18">
        <f t="shared" si="227"/>
        <v>320.34000000000015</v>
      </c>
      <c r="T1100" s="18">
        <f t="shared" si="228"/>
        <v>320.34000000000015</v>
      </c>
      <c r="U1100" s="18">
        <f t="shared" si="236"/>
        <v>177.85922751622402</v>
      </c>
      <c r="V1100" s="33">
        <f ca="1">AVERAGE(E1100:OFFSET(E1100,-V$5+1,0))</f>
        <v>6373.1500000000005</v>
      </c>
      <c r="W1100" s="33">
        <f t="shared" ca="1" si="229"/>
        <v>6639.9388412743365</v>
      </c>
      <c r="X1100" s="33">
        <f t="shared" ca="1" si="230"/>
        <v>6106.3611587256646</v>
      </c>
      <c r="Y1100" s="32">
        <f t="shared" ca="1" si="237"/>
        <v>0</v>
      </c>
    </row>
    <row r="1101" spans="1:25">
      <c r="A1101" s="5">
        <v>39989</v>
      </c>
      <c r="B1101" s="4">
        <v>6427.88</v>
      </c>
      <c r="C1101" s="4">
        <v>6497.38</v>
      </c>
      <c r="D1101" s="4">
        <v>6404.38</v>
      </c>
      <c r="E1101" s="4">
        <v>6457.61</v>
      </c>
      <c r="F1101" s="4">
        <v>4859200</v>
      </c>
      <c r="G1101" s="8">
        <f t="shared" si="239"/>
        <v>47.800000000000182</v>
      </c>
      <c r="H1101" s="8">
        <f t="shared" si="238"/>
        <v>29.729999999999563</v>
      </c>
      <c r="I1101" s="20">
        <f t="shared" ca="1" si="231"/>
        <v>0</v>
      </c>
      <c r="J1101" s="8">
        <f t="shared" ca="1" si="232"/>
        <v>1</v>
      </c>
      <c r="K1101" s="8">
        <f t="shared" ca="1" si="233"/>
        <v>77.529999999999745</v>
      </c>
      <c r="L1101" s="8">
        <f t="shared" ca="1" si="234"/>
        <v>15169.970000000008</v>
      </c>
      <c r="M1101" s="9">
        <f ca="1">AVERAGE(E1101:OFFSET(E1101,-M$5+1,0))</f>
        <v>6284.2560000000003</v>
      </c>
      <c r="N1101" s="9">
        <f ca="1">AVERAGE(E1101:OFFSET(E1101,-N$5+1,0))</f>
        <v>6507.7264999999998</v>
      </c>
      <c r="O1101" s="9">
        <f t="shared" ca="1" si="235"/>
        <v>0</v>
      </c>
      <c r="P1101" s="14">
        <f t="shared" si="240"/>
        <v>1.2078643835795997</v>
      </c>
      <c r="Q1101" s="15">
        <f ca="1">STDEV(P1101:OFFSET(P1101,-$Q$5+1,0))</f>
        <v>2.0125092798237314</v>
      </c>
      <c r="R1101" s="15">
        <f ca="1">STDEV(P1101:OFFSET(P1101,-$R$5+1,0))</f>
        <v>2.1124074167185185</v>
      </c>
      <c r="S1101" s="18">
        <f t="shared" si="227"/>
        <v>93</v>
      </c>
      <c r="T1101" s="18">
        <f t="shared" si="228"/>
        <v>117.30000000000018</v>
      </c>
      <c r="U1101" s="18">
        <f t="shared" si="236"/>
        <v>169.78466384739417</v>
      </c>
      <c r="V1101" s="33">
        <f ca="1">AVERAGE(E1101:OFFSET(E1101,-V$5+1,0))</f>
        <v>6351.0435714285713</v>
      </c>
      <c r="W1101" s="33">
        <f t="shared" ca="1" si="229"/>
        <v>6605.7205671996626</v>
      </c>
      <c r="X1101" s="33">
        <f t="shared" ca="1" si="230"/>
        <v>6096.3665756574801</v>
      </c>
      <c r="Y1101" s="32">
        <f t="shared" ca="1" si="237"/>
        <v>0</v>
      </c>
    </row>
    <row r="1102" spans="1:25">
      <c r="A1102" s="5">
        <v>39990</v>
      </c>
      <c r="B1102" s="4">
        <v>6515.64</v>
      </c>
      <c r="C1102" s="4">
        <v>6527.86</v>
      </c>
      <c r="D1102" s="4">
        <v>6460.91</v>
      </c>
      <c r="E1102" s="4">
        <v>6463.56</v>
      </c>
      <c r="F1102" s="4">
        <v>4081400</v>
      </c>
      <c r="G1102" s="8">
        <f t="shared" si="239"/>
        <v>58.030000000000655</v>
      </c>
      <c r="H1102" s="8">
        <f t="shared" si="238"/>
        <v>-52.079999999999927</v>
      </c>
      <c r="I1102" s="20">
        <f t="shared" ca="1" si="231"/>
        <v>0</v>
      </c>
      <c r="J1102" s="8">
        <f t="shared" ca="1" si="232"/>
        <v>1</v>
      </c>
      <c r="K1102" s="8">
        <f t="shared" ca="1" si="233"/>
        <v>5.9500000000007276</v>
      </c>
      <c r="L1102" s="8">
        <f t="shared" ca="1" si="234"/>
        <v>15175.920000000009</v>
      </c>
      <c r="M1102" s="9">
        <f ca="1">AVERAGE(E1102:OFFSET(E1102,-M$5+1,0))</f>
        <v>6285.7889999999998</v>
      </c>
      <c r="N1102" s="9">
        <f ca="1">AVERAGE(E1102:OFFSET(E1102,-N$5+1,0))</f>
        <v>6486.3825000000006</v>
      </c>
      <c r="O1102" s="9">
        <f t="shared" ca="1" si="235"/>
        <v>0</v>
      </c>
      <c r="P1102" s="14">
        <f t="shared" si="240"/>
        <v>9.209692962107105E-2</v>
      </c>
      <c r="Q1102" s="15">
        <f ca="1">STDEV(P1102:OFFSET(P1102,-$Q$5+1,0))</f>
        <v>1.9260466981137592</v>
      </c>
      <c r="R1102" s="15">
        <f ca="1">STDEV(P1102:OFFSET(P1102,-$R$5+1,0))</f>
        <v>2.0817685441355054</v>
      </c>
      <c r="S1102" s="18">
        <f t="shared" si="227"/>
        <v>66.949999999999818</v>
      </c>
      <c r="T1102" s="18">
        <f t="shared" si="228"/>
        <v>70.25</v>
      </c>
      <c r="U1102" s="18">
        <f t="shared" si="236"/>
        <v>156.51337533440829</v>
      </c>
      <c r="V1102" s="33">
        <f ca="1">AVERAGE(E1102:OFFSET(E1102,-V$5+1,0))</f>
        <v>6339.2964285714279</v>
      </c>
      <c r="W1102" s="33">
        <f t="shared" ca="1" si="229"/>
        <v>6574.0664915730404</v>
      </c>
      <c r="X1102" s="33">
        <f t="shared" ca="1" si="230"/>
        <v>6104.5263655698154</v>
      </c>
      <c r="Y1102" s="32">
        <f t="shared" ca="1" si="237"/>
        <v>0</v>
      </c>
    </row>
    <row r="1103" spans="1:25">
      <c r="A1103" s="5">
        <v>39993</v>
      </c>
      <c r="B1103" s="4">
        <v>6512.42</v>
      </c>
      <c r="C1103" s="4">
        <v>6522.13</v>
      </c>
      <c r="D1103" s="4">
        <v>6391.15</v>
      </c>
      <c r="E1103" s="4">
        <v>6391.15</v>
      </c>
      <c r="F1103" s="4">
        <v>3634600</v>
      </c>
      <c r="G1103" s="8">
        <f t="shared" si="239"/>
        <v>48.859999999999673</v>
      </c>
      <c r="H1103" s="8">
        <f t="shared" si="238"/>
        <v>-121.27000000000044</v>
      </c>
      <c r="I1103" s="20">
        <f t="shared" ca="1" si="231"/>
        <v>0</v>
      </c>
      <c r="J1103" s="8">
        <f t="shared" ca="1" si="232"/>
        <v>1</v>
      </c>
      <c r="K1103" s="8">
        <f t="shared" ca="1" si="233"/>
        <v>-72.410000000000764</v>
      </c>
      <c r="L1103" s="8">
        <f t="shared" ca="1" si="234"/>
        <v>15103.510000000009</v>
      </c>
      <c r="M1103" s="9">
        <f ca="1">AVERAGE(E1103:OFFSET(E1103,-M$5+1,0))</f>
        <v>6302.348</v>
      </c>
      <c r="N1103" s="9">
        <f ca="1">AVERAGE(E1103:OFFSET(E1103,-N$5+1,0))</f>
        <v>6458.2350000000006</v>
      </c>
      <c r="O1103" s="9">
        <f t="shared" ca="1" si="235"/>
        <v>0</v>
      </c>
      <c r="P1103" s="14">
        <f t="shared" si="240"/>
        <v>-1.1266028696928376</v>
      </c>
      <c r="Q1103" s="15">
        <f ca="1">STDEV(P1103:OFFSET(P1103,-$Q$5+1,0))</f>
        <v>1.5500134043128209</v>
      </c>
      <c r="R1103" s="15">
        <f ca="1">STDEV(P1103:OFFSET(P1103,-$R$5+1,0))</f>
        <v>2.0950032289810632</v>
      </c>
      <c r="S1103" s="18">
        <f t="shared" si="227"/>
        <v>130.98000000000047</v>
      </c>
      <c r="T1103" s="18">
        <f t="shared" si="228"/>
        <v>130.98000000000047</v>
      </c>
      <c r="U1103" s="18">
        <f t="shared" si="236"/>
        <v>153.10892528982058</v>
      </c>
      <c r="V1103" s="33">
        <f ca="1">AVERAGE(E1103:OFFSET(E1103,-V$5+1,0))</f>
        <v>6337.636428571428</v>
      </c>
      <c r="W1103" s="33">
        <f t="shared" ca="1" si="229"/>
        <v>6567.299816506159</v>
      </c>
      <c r="X1103" s="33">
        <f t="shared" ca="1" si="230"/>
        <v>6107.9730406366971</v>
      </c>
      <c r="Y1103" s="32">
        <f t="shared" ca="1" si="237"/>
        <v>0</v>
      </c>
    </row>
    <row r="1104" spans="1:25">
      <c r="A1104" s="5">
        <v>39994</v>
      </c>
      <c r="B1104" s="4">
        <v>6485.33</v>
      </c>
      <c r="C1104" s="4">
        <v>6503.98</v>
      </c>
      <c r="D1104" s="4">
        <v>6381.42</v>
      </c>
      <c r="E1104" s="4">
        <v>6432.16</v>
      </c>
      <c r="F1104" s="4">
        <v>3719800</v>
      </c>
      <c r="G1104" s="8">
        <f t="shared" si="239"/>
        <v>94.180000000000291</v>
      </c>
      <c r="H1104" s="8">
        <f t="shared" si="238"/>
        <v>-53.170000000000073</v>
      </c>
      <c r="I1104" s="20">
        <f t="shared" ca="1" si="231"/>
        <v>0</v>
      </c>
      <c r="J1104" s="8">
        <f t="shared" ca="1" si="232"/>
        <v>1</v>
      </c>
      <c r="K1104" s="8">
        <f t="shared" ca="1" si="233"/>
        <v>41.010000000000218</v>
      </c>
      <c r="L1104" s="8">
        <f t="shared" ca="1" si="234"/>
        <v>15144.52000000001</v>
      </c>
      <c r="M1104" s="9">
        <f ca="1">AVERAGE(E1104:OFFSET(E1104,-M$5+1,0))</f>
        <v>6323.4830000000002</v>
      </c>
      <c r="N1104" s="9">
        <f ca="1">AVERAGE(E1104:OFFSET(E1104,-N$5+1,0))</f>
        <v>6432.389000000001</v>
      </c>
      <c r="O1104" s="9">
        <f t="shared" ca="1" si="235"/>
        <v>0</v>
      </c>
      <c r="P1104" s="14">
        <f t="shared" si="240"/>
        <v>0.63961862910477651</v>
      </c>
      <c r="Q1104" s="15">
        <f ca="1">STDEV(P1104:OFFSET(P1104,-$Q$5+1,0))</f>
        <v>1.5491581483655601</v>
      </c>
      <c r="R1104" s="15">
        <f ca="1">STDEV(P1104:OFFSET(P1104,-$R$5+1,0))</f>
        <v>1.8394520719838447</v>
      </c>
      <c r="S1104" s="18">
        <f t="shared" si="227"/>
        <v>122.55999999999949</v>
      </c>
      <c r="T1104" s="18">
        <f t="shared" si="228"/>
        <v>122.55999999999949</v>
      </c>
      <c r="U1104" s="18">
        <f t="shared" si="236"/>
        <v>149.03573525117778</v>
      </c>
      <c r="V1104" s="33">
        <f ca="1">AVERAGE(E1104:OFFSET(E1104,-V$5+1,0))</f>
        <v>6335.4857142857145</v>
      </c>
      <c r="W1104" s="33">
        <f t="shared" ca="1" si="229"/>
        <v>6559.039317162481</v>
      </c>
      <c r="X1104" s="33">
        <f t="shared" ca="1" si="230"/>
        <v>6111.932111408948</v>
      </c>
      <c r="Y1104" s="32">
        <f t="shared" ca="1" si="237"/>
        <v>0</v>
      </c>
    </row>
    <row r="1105" spans="1:25">
      <c r="A1105" s="5">
        <v>39995</v>
      </c>
      <c r="B1105" s="4">
        <v>6445.85</v>
      </c>
      <c r="C1105" s="4">
        <v>6593.78</v>
      </c>
      <c r="D1105" s="4">
        <v>6433.69</v>
      </c>
      <c r="E1105" s="4">
        <v>6578.97</v>
      </c>
      <c r="F1105" s="4">
        <v>3790000</v>
      </c>
      <c r="G1105" s="8">
        <f t="shared" si="239"/>
        <v>13.690000000000509</v>
      </c>
      <c r="H1105" s="8">
        <f t="shared" si="238"/>
        <v>133.11999999999989</v>
      </c>
      <c r="I1105" s="20">
        <f t="shared" ca="1" si="231"/>
        <v>1</v>
      </c>
      <c r="J1105" s="8">
        <f t="shared" ca="1" si="232"/>
        <v>1</v>
      </c>
      <c r="K1105" s="8">
        <f t="shared" ca="1" si="233"/>
        <v>146.8100000000004</v>
      </c>
      <c r="L1105" s="8">
        <f t="shared" ca="1" si="234"/>
        <v>15291.330000000009</v>
      </c>
      <c r="M1105" s="9">
        <f ca="1">AVERAGE(E1105:OFFSET(E1105,-M$5+1,0))</f>
        <v>6361.7889999999998</v>
      </c>
      <c r="N1105" s="9">
        <f ca="1">AVERAGE(E1105:OFFSET(E1105,-N$5+1,0))</f>
        <v>6416.6805000000004</v>
      </c>
      <c r="O1105" s="9">
        <f t="shared" ca="1" si="235"/>
        <v>0</v>
      </c>
      <c r="P1105" s="14">
        <f t="shared" si="240"/>
        <v>2.2567790940781358</v>
      </c>
      <c r="Q1105" s="15">
        <f ca="1">STDEV(P1105:OFFSET(P1105,-$Q$5+1,0))</f>
        <v>1.6346526009888074</v>
      </c>
      <c r="R1105" s="15">
        <f ca="1">STDEV(P1105:OFFSET(P1105,-$R$5+1,0))</f>
        <v>1.6629998893316502</v>
      </c>
      <c r="S1105" s="18">
        <f t="shared" si="227"/>
        <v>160.09000000000015</v>
      </c>
      <c r="T1105" s="18">
        <f t="shared" si="228"/>
        <v>161.61999999999989</v>
      </c>
      <c r="U1105" s="18">
        <f t="shared" si="236"/>
        <v>150.71363721768739</v>
      </c>
      <c r="V1105" s="33">
        <f ca="1">AVERAGE(E1105:OFFSET(E1105,-V$5+1,0))</f>
        <v>6336.3142857142866</v>
      </c>
      <c r="W1105" s="33">
        <f t="shared" ca="1" si="229"/>
        <v>6562.3847415408181</v>
      </c>
      <c r="X1105" s="33">
        <f t="shared" ca="1" si="230"/>
        <v>6110.2438298877551</v>
      </c>
      <c r="Y1105" s="32">
        <f t="shared" ca="1" si="237"/>
        <v>1</v>
      </c>
    </row>
    <row r="1106" spans="1:25">
      <c r="A1106" s="5">
        <v>39996</v>
      </c>
      <c r="B1106" s="4">
        <v>6613.72</v>
      </c>
      <c r="C1106" s="4">
        <v>6686.7</v>
      </c>
      <c r="D1106" s="4">
        <v>6600.91</v>
      </c>
      <c r="E1106" s="4">
        <v>6667.53</v>
      </c>
      <c r="F1106" s="4">
        <v>5084600</v>
      </c>
      <c r="G1106" s="8">
        <f t="shared" si="239"/>
        <v>34.75</v>
      </c>
      <c r="H1106" s="8">
        <f t="shared" si="238"/>
        <v>53.809999999999491</v>
      </c>
      <c r="I1106" s="20">
        <f t="shared" ca="1" si="231"/>
        <v>0</v>
      </c>
      <c r="J1106" s="8">
        <f t="shared" ca="1" si="232"/>
        <v>2</v>
      </c>
      <c r="K1106" s="8">
        <f t="shared" ca="1" si="233"/>
        <v>142.36999999999898</v>
      </c>
      <c r="L1106" s="8">
        <f t="shared" ca="1" si="234"/>
        <v>15433.700000000008</v>
      </c>
      <c r="M1106" s="9">
        <f ca="1">AVERAGE(E1106:OFFSET(E1106,-M$5+1,0))</f>
        <v>6414.0889999999999</v>
      </c>
      <c r="N1106" s="9">
        <f ca="1">AVERAGE(E1106:OFFSET(E1106,-N$5+1,0))</f>
        <v>6410.7539999999999</v>
      </c>
      <c r="O1106" s="9">
        <f t="shared" ca="1" si="235"/>
        <v>1</v>
      </c>
      <c r="P1106" s="14">
        <f t="shared" si="240"/>
        <v>1.3371278371536255</v>
      </c>
      <c r="Q1106" s="15">
        <f ca="1">STDEV(P1106:OFFSET(P1106,-$Q$5+1,0))</f>
        <v>1.565927279935643</v>
      </c>
      <c r="R1106" s="15">
        <f ca="1">STDEV(P1106:OFFSET(P1106,-$R$5+1,0))</f>
        <v>1.6711908325913947</v>
      </c>
      <c r="S1106" s="18">
        <f t="shared" si="227"/>
        <v>85.789999999999964</v>
      </c>
      <c r="T1106" s="18">
        <f t="shared" si="228"/>
        <v>107.72999999999956</v>
      </c>
      <c r="U1106" s="18">
        <f t="shared" si="236"/>
        <v>144.98248558866237</v>
      </c>
      <c r="V1106" s="33">
        <f ca="1">AVERAGE(E1106:OFFSET(E1106,-V$5+1,0))</f>
        <v>6351.9785714285708</v>
      </c>
      <c r="W1106" s="33">
        <f t="shared" ca="1" si="229"/>
        <v>6569.4522998115644</v>
      </c>
      <c r="X1106" s="33">
        <f t="shared" ca="1" si="230"/>
        <v>6134.5048430455772</v>
      </c>
      <c r="Y1106" s="32">
        <f t="shared" ca="1" si="237"/>
        <v>0</v>
      </c>
    </row>
    <row r="1107" spans="1:25">
      <c r="A1107" s="5">
        <v>39997</v>
      </c>
      <c r="B1107" s="4">
        <v>6632.98</v>
      </c>
      <c r="C1107" s="4">
        <v>6685.28</v>
      </c>
      <c r="D1107" s="4">
        <v>6607.62</v>
      </c>
      <c r="E1107" s="4">
        <v>6665.4</v>
      </c>
      <c r="F1107" s="4">
        <v>4293000</v>
      </c>
      <c r="G1107" s="8">
        <f t="shared" si="239"/>
        <v>-34.550000000000182</v>
      </c>
      <c r="H1107" s="8">
        <f t="shared" si="238"/>
        <v>32.420000000000073</v>
      </c>
      <c r="I1107" s="20">
        <f t="shared" ca="1" si="231"/>
        <v>0</v>
      </c>
      <c r="J1107" s="8">
        <f t="shared" ca="1" si="232"/>
        <v>2</v>
      </c>
      <c r="K1107" s="8">
        <f t="shared" ca="1" si="233"/>
        <v>-4.2600000000002183</v>
      </c>
      <c r="L1107" s="8">
        <f t="shared" ca="1" si="234"/>
        <v>15429.440000000008</v>
      </c>
      <c r="M1107" s="9">
        <f ca="1">AVERAGE(E1107:OFFSET(E1107,-M$5+1,0))</f>
        <v>6457.514000000001</v>
      </c>
      <c r="N1107" s="9">
        <f ca="1">AVERAGE(E1107:OFFSET(E1107,-N$5+1,0))</f>
        <v>6405.6689999999999</v>
      </c>
      <c r="O1107" s="9">
        <f t="shared" ca="1" si="235"/>
        <v>0</v>
      </c>
      <c r="P1107" s="14">
        <f t="shared" si="240"/>
        <v>-3.1950966788550902E-2</v>
      </c>
      <c r="Q1107" s="15">
        <f ca="1">STDEV(P1107:OFFSET(P1107,-$Q$5+1,0))</f>
        <v>1.5721451915729689</v>
      </c>
      <c r="R1107" s="15">
        <f ca="1">STDEV(P1107:OFFSET(P1107,-$R$5+1,0))</f>
        <v>1.6094978683372319</v>
      </c>
      <c r="S1107" s="18">
        <f t="shared" si="227"/>
        <v>77.659999999999854</v>
      </c>
      <c r="T1107" s="18">
        <f t="shared" si="228"/>
        <v>77.659999999999854</v>
      </c>
      <c r="U1107" s="18">
        <f t="shared" si="236"/>
        <v>136.00615417684071</v>
      </c>
      <c r="V1107" s="33">
        <f ca="1">AVERAGE(E1107:OFFSET(E1107,-V$5+1,0))</f>
        <v>6383.3957142857134</v>
      </c>
      <c r="W1107" s="33">
        <f t="shared" ca="1" si="229"/>
        <v>6587.4049455509748</v>
      </c>
      <c r="X1107" s="33">
        <f t="shared" ca="1" si="230"/>
        <v>6179.386483020452</v>
      </c>
      <c r="Y1107" s="32">
        <f t="shared" ca="1" si="237"/>
        <v>0</v>
      </c>
    </row>
    <row r="1108" spans="1:25">
      <c r="A1108" s="5">
        <v>40000</v>
      </c>
      <c r="B1108" s="4">
        <v>6691.02</v>
      </c>
      <c r="C1108" s="4">
        <v>6693.44</v>
      </c>
      <c r="D1108" s="4">
        <v>6615.9</v>
      </c>
      <c r="E1108" s="4">
        <v>6649.91</v>
      </c>
      <c r="F1108" s="4">
        <v>3910000</v>
      </c>
      <c r="G1108" s="8">
        <f t="shared" si="239"/>
        <v>25.6200000000008</v>
      </c>
      <c r="H1108" s="8">
        <f t="shared" si="238"/>
        <v>-41.110000000000582</v>
      </c>
      <c r="I1108" s="20">
        <f t="shared" ca="1" si="231"/>
        <v>0</v>
      </c>
      <c r="J1108" s="8">
        <f t="shared" ca="1" si="232"/>
        <v>2</v>
      </c>
      <c r="K1108" s="8">
        <f t="shared" ca="1" si="233"/>
        <v>-30.979999999999563</v>
      </c>
      <c r="L1108" s="8">
        <f t="shared" ca="1" si="234"/>
        <v>15398.460000000008</v>
      </c>
      <c r="M1108" s="9">
        <f ca="1">AVERAGE(E1108:OFFSET(E1108,-M$5+1,0))</f>
        <v>6488.384</v>
      </c>
      <c r="N1108" s="9">
        <f ca="1">AVERAGE(E1108:OFFSET(E1108,-N$5+1,0))</f>
        <v>6406.7634999999991</v>
      </c>
      <c r="O1108" s="9">
        <f t="shared" ca="1" si="235"/>
        <v>0</v>
      </c>
      <c r="P1108" s="14">
        <f t="shared" si="240"/>
        <v>-0.23266460920014723</v>
      </c>
      <c r="Q1108" s="15">
        <f ca="1">STDEV(P1108:OFFSET(P1108,-$Q$5+1,0))</f>
        <v>1.5460519266607891</v>
      </c>
      <c r="R1108" s="15">
        <f ca="1">STDEV(P1108:OFFSET(P1108,-$R$5+1,0))</f>
        <v>1.6100315259125169</v>
      </c>
      <c r="S1108" s="18">
        <f t="shared" si="227"/>
        <v>77.539999999999964</v>
      </c>
      <c r="T1108" s="18">
        <f t="shared" si="228"/>
        <v>77.539999999999964</v>
      </c>
      <c r="U1108" s="18">
        <f t="shared" si="236"/>
        <v>128.21066695326195</v>
      </c>
      <c r="V1108" s="33">
        <f ca="1">AVERAGE(E1108:OFFSET(E1108,-V$5+1,0))</f>
        <v>6414.045714285714</v>
      </c>
      <c r="W1108" s="33">
        <f t="shared" ca="1" si="229"/>
        <v>6606.3617147156074</v>
      </c>
      <c r="X1108" s="33">
        <f t="shared" ca="1" si="230"/>
        <v>6221.7297138558206</v>
      </c>
      <c r="Y1108" s="32">
        <f t="shared" ca="1" si="237"/>
        <v>0</v>
      </c>
    </row>
    <row r="1109" spans="1:25">
      <c r="A1109" s="5">
        <v>40001</v>
      </c>
      <c r="B1109" s="4">
        <v>6675.81</v>
      </c>
      <c r="C1109" s="4">
        <v>6745.31</v>
      </c>
      <c r="D1109" s="4">
        <v>6656.89</v>
      </c>
      <c r="E1109" s="4">
        <v>6715.22</v>
      </c>
      <c r="F1109" s="4">
        <v>4519000</v>
      </c>
      <c r="G1109" s="8">
        <f t="shared" si="239"/>
        <v>25.900000000000546</v>
      </c>
      <c r="H1109" s="8">
        <f t="shared" si="238"/>
        <v>39.409999999999854</v>
      </c>
      <c r="I1109" s="20">
        <f t="shared" ca="1" si="231"/>
        <v>0</v>
      </c>
      <c r="J1109" s="8">
        <f t="shared" ca="1" si="232"/>
        <v>2</v>
      </c>
      <c r="K1109" s="8">
        <f t="shared" ca="1" si="233"/>
        <v>130.6200000000008</v>
      </c>
      <c r="L1109" s="8">
        <f t="shared" ca="1" si="234"/>
        <v>15529.080000000009</v>
      </c>
      <c r="M1109" s="9">
        <f ca="1">AVERAGE(E1109:OFFSET(E1109,-M$5+1,0))</f>
        <v>6540.1589999999997</v>
      </c>
      <c r="N1109" s="9">
        <f ca="1">AVERAGE(E1109:OFFSET(E1109,-N$5+1,0))</f>
        <v>6421.8049999999994</v>
      </c>
      <c r="O1109" s="9">
        <f t="shared" ca="1" si="235"/>
        <v>0</v>
      </c>
      <c r="P1109" s="14">
        <f t="shared" si="240"/>
        <v>0.97732711690072682</v>
      </c>
      <c r="Q1109" s="15">
        <f ca="1">STDEV(P1109:OFFSET(P1109,-$Q$5+1,0))</f>
        <v>1.2033399333920798</v>
      </c>
      <c r="R1109" s="15">
        <f ca="1">STDEV(P1109:OFFSET(P1109,-$R$5+1,0))</f>
        <v>1.6168936612395444</v>
      </c>
      <c r="S1109" s="18">
        <f t="shared" si="227"/>
        <v>88.420000000000073</v>
      </c>
      <c r="T1109" s="18">
        <f t="shared" si="228"/>
        <v>95.400000000000546</v>
      </c>
      <c r="U1109" s="18">
        <f t="shared" si="236"/>
        <v>123.83591135949376</v>
      </c>
      <c r="V1109" s="33">
        <f ca="1">AVERAGE(E1109:OFFSET(E1109,-V$5+1,0))</f>
        <v>6451.1392857142855</v>
      </c>
      <c r="W1109" s="33">
        <f t="shared" ca="1" si="229"/>
        <v>6636.893152753526</v>
      </c>
      <c r="X1109" s="33">
        <f t="shared" ca="1" si="230"/>
        <v>6265.385418675045</v>
      </c>
      <c r="Y1109" s="32">
        <f t="shared" ca="1" si="237"/>
        <v>0</v>
      </c>
    </row>
    <row r="1110" spans="1:25">
      <c r="A1110" s="5">
        <v>40002</v>
      </c>
      <c r="B1110" s="4">
        <v>6667.98</v>
      </c>
      <c r="C1110" s="4">
        <v>6692.76</v>
      </c>
      <c r="D1110" s="4">
        <v>6629.83</v>
      </c>
      <c r="E1110" s="4">
        <v>6668.14</v>
      </c>
      <c r="F1110" s="4">
        <v>4213200</v>
      </c>
      <c r="G1110" s="8">
        <f t="shared" si="239"/>
        <v>-47.240000000000691</v>
      </c>
      <c r="H1110" s="8">
        <f t="shared" si="238"/>
        <v>0.16000000000076398</v>
      </c>
      <c r="I1110" s="20">
        <f t="shared" ca="1" si="231"/>
        <v>0</v>
      </c>
      <c r="J1110" s="8">
        <f t="shared" ca="1" si="232"/>
        <v>2</v>
      </c>
      <c r="K1110" s="8">
        <f t="shared" ca="1" si="233"/>
        <v>-94.159999999999854</v>
      </c>
      <c r="L1110" s="8">
        <f t="shared" ca="1" si="234"/>
        <v>15434.920000000009</v>
      </c>
      <c r="M1110" s="9">
        <f ca="1">AVERAGE(E1110:OFFSET(E1110,-M$5+1,0))</f>
        <v>6568.9650000000011</v>
      </c>
      <c r="N1110" s="9">
        <f ca="1">AVERAGE(E1110:OFFSET(E1110,-N$5+1,0))</f>
        <v>6432.0985000000001</v>
      </c>
      <c r="O1110" s="9">
        <f t="shared" ca="1" si="235"/>
        <v>0</v>
      </c>
      <c r="P1110" s="14">
        <f t="shared" si="240"/>
        <v>-0.70356314416216248</v>
      </c>
      <c r="Q1110" s="15">
        <f ca="1">STDEV(P1110:OFFSET(P1110,-$Q$5+1,0))</f>
        <v>1.0318223265562207</v>
      </c>
      <c r="R1110" s="15">
        <f ca="1">STDEV(P1110:OFFSET(P1110,-$R$5+1,0))</f>
        <v>1.6142357739244872</v>
      </c>
      <c r="S1110" s="18">
        <f t="shared" si="227"/>
        <v>62.930000000000291</v>
      </c>
      <c r="T1110" s="18">
        <f t="shared" si="228"/>
        <v>85.390000000000327</v>
      </c>
      <c r="U1110" s="18">
        <f t="shared" si="236"/>
        <v>118.70978984489464</v>
      </c>
      <c r="V1110" s="33">
        <f ca="1">AVERAGE(E1110:OFFSET(E1110,-V$5+1,0))</f>
        <v>6488.54</v>
      </c>
      <c r="W1110" s="33">
        <f t="shared" ca="1" si="229"/>
        <v>6666.6046847673415</v>
      </c>
      <c r="X1110" s="33">
        <f t="shared" ca="1" si="230"/>
        <v>6310.4753152326584</v>
      </c>
      <c r="Y1110" s="32">
        <f t="shared" ca="1" si="237"/>
        <v>0</v>
      </c>
    </row>
    <row r="1111" spans="1:25">
      <c r="A1111" s="5">
        <v>40003</v>
      </c>
      <c r="B1111" s="4">
        <v>6696.72</v>
      </c>
      <c r="C1111" s="4">
        <v>6803.83</v>
      </c>
      <c r="D1111" s="4">
        <v>6696.72</v>
      </c>
      <c r="E1111" s="4">
        <v>6748.18</v>
      </c>
      <c r="F1111" s="4">
        <v>5196000</v>
      </c>
      <c r="G1111" s="8">
        <f t="shared" si="239"/>
        <v>28.579999999999927</v>
      </c>
      <c r="H1111" s="8">
        <f t="shared" si="238"/>
        <v>51.460000000000036</v>
      </c>
      <c r="I1111" s="20">
        <f t="shared" ca="1" si="231"/>
        <v>0</v>
      </c>
      <c r="J1111" s="8">
        <f t="shared" ca="1" si="232"/>
        <v>2</v>
      </c>
      <c r="K1111" s="8">
        <f t="shared" ca="1" si="233"/>
        <v>160.07999999999993</v>
      </c>
      <c r="L1111" s="8">
        <f t="shared" ca="1" si="234"/>
        <v>15595.000000000009</v>
      </c>
      <c r="M1111" s="9">
        <f ca="1">AVERAGE(E1111:OFFSET(E1111,-M$5+1,0))</f>
        <v>6598.0219999999999</v>
      </c>
      <c r="N1111" s="9">
        <f ca="1">AVERAGE(E1111:OFFSET(E1111,-N$5+1,0))</f>
        <v>6441.1390000000001</v>
      </c>
      <c r="O1111" s="9">
        <f t="shared" ca="1" si="235"/>
        <v>0</v>
      </c>
      <c r="P1111" s="14">
        <f t="shared" si="240"/>
        <v>1.1931878429226164</v>
      </c>
      <c r="Q1111" s="15">
        <f ca="1">STDEV(P1111:OFFSET(P1111,-$Q$5+1,0))</f>
        <v>1.0306210402431388</v>
      </c>
      <c r="R1111" s="15">
        <f ca="1">STDEV(P1111:OFFSET(P1111,-$R$5+1,0))</f>
        <v>1.5331611474540572</v>
      </c>
      <c r="S1111" s="18">
        <f t="shared" si="227"/>
        <v>107.10999999999967</v>
      </c>
      <c r="T1111" s="18">
        <f t="shared" si="228"/>
        <v>135.6899999999996</v>
      </c>
      <c r="U1111" s="18">
        <f t="shared" si="236"/>
        <v>120.9738178655753</v>
      </c>
      <c r="V1111" s="33">
        <f ca="1">AVERAGE(E1111:OFFSET(E1111,-V$5+1,0))</f>
        <v>6525.4707142857142</v>
      </c>
      <c r="W1111" s="33">
        <f t="shared" ca="1" si="229"/>
        <v>6706.9314410840771</v>
      </c>
      <c r="X1111" s="33">
        <f t="shared" ca="1" si="230"/>
        <v>6344.0099874873513</v>
      </c>
      <c r="Y1111" s="32">
        <f t="shared" ca="1" si="237"/>
        <v>0</v>
      </c>
    </row>
    <row r="1112" spans="1:25">
      <c r="A1112" s="5">
        <v>40004</v>
      </c>
      <c r="B1112" s="4">
        <v>6807.46</v>
      </c>
      <c r="C1112" s="4">
        <v>6807.46</v>
      </c>
      <c r="D1112" s="4">
        <v>6739.05</v>
      </c>
      <c r="E1112" s="4">
        <v>6769.86</v>
      </c>
      <c r="F1112" s="4">
        <v>3974800</v>
      </c>
      <c r="G1112" s="8">
        <f t="shared" si="239"/>
        <v>59.279999999999745</v>
      </c>
      <c r="H1112" s="8">
        <f t="shared" si="238"/>
        <v>-37.600000000000364</v>
      </c>
      <c r="I1112" s="20">
        <f t="shared" ca="1" si="231"/>
        <v>0</v>
      </c>
      <c r="J1112" s="8">
        <f t="shared" ca="1" si="232"/>
        <v>2</v>
      </c>
      <c r="K1112" s="8">
        <f t="shared" ca="1" si="233"/>
        <v>43.359999999998763</v>
      </c>
      <c r="L1112" s="8">
        <f t="shared" ca="1" si="234"/>
        <v>15638.360000000008</v>
      </c>
      <c r="M1112" s="9">
        <f ca="1">AVERAGE(E1112:OFFSET(E1112,-M$5+1,0))</f>
        <v>6628.6519999999991</v>
      </c>
      <c r="N1112" s="9">
        <f ca="1">AVERAGE(E1112:OFFSET(E1112,-N$5+1,0))</f>
        <v>6457.2204999999994</v>
      </c>
      <c r="O1112" s="9">
        <f t="shared" ca="1" si="235"/>
        <v>0</v>
      </c>
      <c r="P1112" s="14">
        <f t="shared" si="240"/>
        <v>0.32075683439133257</v>
      </c>
      <c r="Q1112" s="15">
        <f ca="1">STDEV(P1112:OFFSET(P1112,-$Q$5+1,0))</f>
        <v>1.0245600357728706</v>
      </c>
      <c r="R1112" s="15">
        <f ca="1">STDEV(P1112:OFFSET(P1112,-$R$5+1,0))</f>
        <v>1.5294103885027359</v>
      </c>
      <c r="S1112" s="18">
        <f t="shared" si="227"/>
        <v>68.409999999999854</v>
      </c>
      <c r="T1112" s="18">
        <f t="shared" si="228"/>
        <v>68.409999999999854</v>
      </c>
      <c r="U1112" s="18">
        <f t="shared" si="236"/>
        <v>113.96530881683191</v>
      </c>
      <c r="V1112" s="33">
        <f ca="1">AVERAGE(E1112:OFFSET(E1112,-V$5+1,0))</f>
        <v>6556.0885714285714</v>
      </c>
      <c r="W1112" s="33">
        <f t="shared" ca="1" si="229"/>
        <v>6727.0365346538192</v>
      </c>
      <c r="X1112" s="33">
        <f t="shared" ca="1" si="230"/>
        <v>6385.1406082033236</v>
      </c>
      <c r="Y1112" s="32">
        <f t="shared" ca="1" si="237"/>
        <v>0</v>
      </c>
    </row>
    <row r="1113" spans="1:25">
      <c r="A1113" s="5">
        <v>40007</v>
      </c>
      <c r="B1113" s="4">
        <v>6795.23</v>
      </c>
      <c r="C1113" s="4">
        <v>6797.72</v>
      </c>
      <c r="D1113" s="4">
        <v>6525.9</v>
      </c>
      <c r="E1113" s="4">
        <v>6530.82</v>
      </c>
      <c r="F1113" s="4">
        <v>4624600</v>
      </c>
      <c r="G1113" s="8">
        <f t="shared" si="239"/>
        <v>25.369999999999891</v>
      </c>
      <c r="H1113" s="8">
        <f t="shared" si="238"/>
        <v>-264.40999999999985</v>
      </c>
      <c r="I1113" s="20">
        <f t="shared" ca="1" si="231"/>
        <v>0</v>
      </c>
      <c r="J1113" s="8">
        <f t="shared" ca="1" si="232"/>
        <v>2</v>
      </c>
      <c r="K1113" s="8">
        <f t="shared" ca="1" si="233"/>
        <v>-478.07999999999993</v>
      </c>
      <c r="L1113" s="8">
        <f t="shared" ca="1" si="234"/>
        <v>15160.280000000008</v>
      </c>
      <c r="M1113" s="9">
        <f ca="1">AVERAGE(E1113:OFFSET(E1113,-M$5+1,0))</f>
        <v>6642.6190000000006</v>
      </c>
      <c r="N1113" s="9">
        <f ca="1">AVERAGE(E1113:OFFSET(E1113,-N$5+1,0))</f>
        <v>6472.4834999999994</v>
      </c>
      <c r="O1113" s="9">
        <f t="shared" ca="1" si="235"/>
        <v>0</v>
      </c>
      <c r="P1113" s="14">
        <f t="shared" si="240"/>
        <v>-3.5947897564979416</v>
      </c>
      <c r="Q1113" s="15">
        <f ca="1">STDEV(P1113:OFFSET(P1113,-$Q$5+1,0))</f>
        <v>1.5908468380065617</v>
      </c>
      <c r="R1113" s="15">
        <f ca="1">STDEV(P1113:OFFSET(P1113,-$R$5+1,0))</f>
        <v>1.6084411383804857</v>
      </c>
      <c r="S1113" s="18">
        <f t="shared" si="227"/>
        <v>271.82000000000062</v>
      </c>
      <c r="T1113" s="18">
        <f t="shared" si="228"/>
        <v>271.82000000000062</v>
      </c>
      <c r="U1113" s="18">
        <f t="shared" si="236"/>
        <v>135.01260097458774</v>
      </c>
      <c r="V1113" s="33">
        <f ca="1">AVERAGE(E1113:OFFSET(E1113,-V$5+1,0))</f>
        <v>6579.8992857142857</v>
      </c>
      <c r="W1113" s="33">
        <f t="shared" ca="1" si="229"/>
        <v>6782.4181871761675</v>
      </c>
      <c r="X1113" s="33">
        <f t="shared" ca="1" si="230"/>
        <v>6377.3803842524039</v>
      </c>
      <c r="Y1113" s="32">
        <f t="shared" ca="1" si="237"/>
        <v>0</v>
      </c>
    </row>
    <row r="1114" spans="1:25">
      <c r="A1114" s="5">
        <v>40008</v>
      </c>
      <c r="B1114" s="4">
        <v>6584.9</v>
      </c>
      <c r="C1114" s="4">
        <v>6657.17</v>
      </c>
      <c r="D1114" s="4">
        <v>6568.91</v>
      </c>
      <c r="E1114" s="4">
        <v>6639.41</v>
      </c>
      <c r="F1114" s="4">
        <v>3484400</v>
      </c>
      <c r="G1114" s="8">
        <f t="shared" si="239"/>
        <v>54.079999999999927</v>
      </c>
      <c r="H1114" s="8">
        <f t="shared" si="238"/>
        <v>54.510000000000218</v>
      </c>
      <c r="I1114" s="20">
        <f t="shared" ca="1" si="231"/>
        <v>0</v>
      </c>
      <c r="J1114" s="8">
        <f t="shared" ca="1" si="232"/>
        <v>2</v>
      </c>
      <c r="K1114" s="8">
        <f t="shared" ca="1" si="233"/>
        <v>217.18000000000029</v>
      </c>
      <c r="L1114" s="8">
        <f t="shared" ca="1" si="234"/>
        <v>15377.460000000008</v>
      </c>
      <c r="M1114" s="9">
        <f ca="1">AVERAGE(E1114:OFFSET(E1114,-M$5+1,0))</f>
        <v>6663.3440000000001</v>
      </c>
      <c r="N1114" s="9">
        <f ca="1">AVERAGE(E1114:OFFSET(E1114,-N$5+1,0))</f>
        <v>6493.4134999999997</v>
      </c>
      <c r="O1114" s="9">
        <f t="shared" ca="1" si="235"/>
        <v>0</v>
      </c>
      <c r="P1114" s="14">
        <f t="shared" si="240"/>
        <v>1.6490594441640054</v>
      </c>
      <c r="Q1114" s="15">
        <f ca="1">STDEV(P1114:OFFSET(P1114,-$Q$5+1,0))</f>
        <v>1.6515677158664692</v>
      </c>
      <c r="R1114" s="15">
        <f ca="1">STDEV(P1114:OFFSET(P1114,-$R$5+1,0))</f>
        <v>1.6002644897319924</v>
      </c>
      <c r="S1114" s="18">
        <f t="shared" si="227"/>
        <v>88.260000000000218</v>
      </c>
      <c r="T1114" s="18">
        <f t="shared" si="228"/>
        <v>126.35000000000036</v>
      </c>
      <c r="U1114" s="18">
        <f t="shared" si="236"/>
        <v>133.85758751130942</v>
      </c>
      <c r="V1114" s="33">
        <f ca="1">AVERAGE(E1114:OFFSET(E1114,-V$5+1,0))</f>
        <v>6598.4228571428584</v>
      </c>
      <c r="W1114" s="33">
        <f t="shared" ca="1" si="229"/>
        <v>6799.2092384098223</v>
      </c>
      <c r="X1114" s="33">
        <f t="shared" ca="1" si="230"/>
        <v>6397.6364758758946</v>
      </c>
      <c r="Y1114" s="32">
        <f t="shared" ca="1" si="237"/>
        <v>0</v>
      </c>
    </row>
    <row r="1115" spans="1:25">
      <c r="A1115" s="5">
        <v>40009</v>
      </c>
      <c r="B1115" s="4">
        <v>6672.28</v>
      </c>
      <c r="C1115" s="4">
        <v>6774.28</v>
      </c>
      <c r="D1115" s="4">
        <v>6651.86</v>
      </c>
      <c r="E1115" s="4">
        <v>6738.6</v>
      </c>
      <c r="F1115" s="4">
        <v>4834400</v>
      </c>
      <c r="G1115" s="8">
        <f t="shared" si="239"/>
        <v>32.869999999999891</v>
      </c>
      <c r="H1115" s="8">
        <f t="shared" si="238"/>
        <v>66.320000000000618</v>
      </c>
      <c r="I1115" s="20">
        <f t="shared" ca="1" si="231"/>
        <v>0</v>
      </c>
      <c r="J1115" s="8">
        <f t="shared" ca="1" si="232"/>
        <v>2</v>
      </c>
      <c r="K1115" s="8">
        <f t="shared" ca="1" si="233"/>
        <v>198.38000000000102</v>
      </c>
      <c r="L1115" s="8">
        <f t="shared" ca="1" si="234"/>
        <v>15575.840000000009</v>
      </c>
      <c r="M1115" s="9">
        <f ca="1">AVERAGE(E1115:OFFSET(E1115,-M$5+1,0))</f>
        <v>6679.3070000000007</v>
      </c>
      <c r="N1115" s="9">
        <f ca="1">AVERAGE(E1115:OFFSET(E1115,-N$5+1,0))</f>
        <v>6520.5479999999998</v>
      </c>
      <c r="O1115" s="9">
        <f t="shared" ca="1" si="235"/>
        <v>0</v>
      </c>
      <c r="P1115" s="14">
        <f t="shared" si="240"/>
        <v>1.4829084096129543</v>
      </c>
      <c r="Q1115" s="15">
        <f ca="1">STDEV(P1115:OFFSET(P1115,-$Q$5+1,0))</f>
        <v>1.5665245218714046</v>
      </c>
      <c r="R1115" s="15">
        <f ca="1">STDEV(P1115:OFFSET(P1115,-$R$5+1,0))</f>
        <v>1.6029882874294266</v>
      </c>
      <c r="S1115" s="18">
        <f t="shared" si="227"/>
        <v>122.42000000000007</v>
      </c>
      <c r="T1115" s="18">
        <f t="shared" si="228"/>
        <v>134.86999999999989</v>
      </c>
      <c r="U1115" s="18">
        <f t="shared" si="236"/>
        <v>133.99257584313483</v>
      </c>
      <c r="V1115" s="33">
        <f ca="1">AVERAGE(E1115:OFFSET(E1115,-V$5+1,0))</f>
        <v>6618.4935714285721</v>
      </c>
      <c r="W1115" s="33">
        <f t="shared" ca="1" si="229"/>
        <v>6819.4824351932739</v>
      </c>
      <c r="X1115" s="33">
        <f t="shared" ca="1" si="230"/>
        <v>6417.5047076638702</v>
      </c>
      <c r="Y1115" s="32">
        <f t="shared" ca="1" si="237"/>
        <v>0</v>
      </c>
    </row>
    <row r="1116" spans="1:25">
      <c r="A1116" s="5">
        <v>40010</v>
      </c>
      <c r="B1116" s="4">
        <v>6863.86</v>
      </c>
      <c r="C1116" s="4">
        <v>6878.68</v>
      </c>
      <c r="D1116" s="4">
        <v>6770.51</v>
      </c>
      <c r="E1116" s="4">
        <v>6780.3</v>
      </c>
      <c r="F1116" s="4">
        <v>5189000</v>
      </c>
      <c r="G1116" s="8">
        <f t="shared" si="239"/>
        <v>125.25999999999931</v>
      </c>
      <c r="H1116" s="8">
        <f t="shared" si="238"/>
        <v>-83.559999999999491</v>
      </c>
      <c r="I1116" s="20">
        <f t="shared" ca="1" si="231"/>
        <v>0</v>
      </c>
      <c r="J1116" s="8">
        <f t="shared" ca="1" si="232"/>
        <v>2</v>
      </c>
      <c r="K1116" s="8">
        <f t="shared" ca="1" si="233"/>
        <v>83.399999999999636</v>
      </c>
      <c r="L1116" s="8">
        <f t="shared" ca="1" si="234"/>
        <v>15659.240000000009</v>
      </c>
      <c r="M1116" s="9">
        <f ca="1">AVERAGE(E1116:OFFSET(E1116,-M$5+1,0))</f>
        <v>6690.5839999999998</v>
      </c>
      <c r="N1116" s="9">
        <f ca="1">AVERAGE(E1116:OFFSET(E1116,-N$5+1,0))</f>
        <v>6552.3364999999994</v>
      </c>
      <c r="O1116" s="9">
        <f t="shared" ca="1" si="235"/>
        <v>0</v>
      </c>
      <c r="P1116" s="14">
        <f t="shared" si="240"/>
        <v>0.6169160546101975</v>
      </c>
      <c r="Q1116" s="15">
        <f ca="1">STDEV(P1116:OFFSET(P1116,-$Q$5+1,0))</f>
        <v>1.5265110097382402</v>
      </c>
      <c r="R1116" s="15">
        <f ca="1">STDEV(P1116:OFFSET(P1116,-$R$5+1,0))</f>
        <v>1.5954395508360935</v>
      </c>
      <c r="S1116" s="18">
        <f t="shared" si="227"/>
        <v>108.17000000000007</v>
      </c>
      <c r="T1116" s="18">
        <f t="shared" si="228"/>
        <v>140.07999999999993</v>
      </c>
      <c r="U1116" s="18">
        <f t="shared" si="236"/>
        <v>134.80423239738352</v>
      </c>
      <c r="V1116" s="33">
        <f ca="1">AVERAGE(E1116:OFFSET(E1116,-V$5+1,0))</f>
        <v>6641.1178571428582</v>
      </c>
      <c r="W1116" s="33">
        <f t="shared" ca="1" si="229"/>
        <v>6843.3242057389334</v>
      </c>
      <c r="X1116" s="33">
        <f t="shared" ca="1" si="230"/>
        <v>6438.9115085467829</v>
      </c>
      <c r="Y1116" s="32">
        <f t="shared" ca="1" si="237"/>
        <v>0</v>
      </c>
    </row>
    <row r="1117" spans="1:25">
      <c r="A1117" s="5">
        <v>40011</v>
      </c>
      <c r="B1117" s="4">
        <v>6851.96</v>
      </c>
      <c r="C1117" s="4">
        <v>6870.58</v>
      </c>
      <c r="D1117" s="4">
        <v>6791.75</v>
      </c>
      <c r="E1117" s="4">
        <v>6850.99</v>
      </c>
      <c r="F1117" s="4">
        <v>4515600</v>
      </c>
      <c r="G1117" s="8">
        <f t="shared" si="239"/>
        <v>71.659999999999854</v>
      </c>
      <c r="H1117" s="8">
        <f t="shared" si="238"/>
        <v>-0.97000000000025466</v>
      </c>
      <c r="I1117" s="20">
        <f t="shared" ca="1" si="231"/>
        <v>0</v>
      </c>
      <c r="J1117" s="8">
        <f t="shared" ca="1" si="232"/>
        <v>2</v>
      </c>
      <c r="K1117" s="8">
        <f t="shared" ca="1" si="233"/>
        <v>141.3799999999992</v>
      </c>
      <c r="L1117" s="8">
        <f t="shared" ca="1" si="234"/>
        <v>15800.620000000008</v>
      </c>
      <c r="M1117" s="9">
        <f ca="1">AVERAGE(E1117:OFFSET(E1117,-M$5+1,0))</f>
        <v>6709.1429999999991</v>
      </c>
      <c r="N1117" s="9">
        <f ca="1">AVERAGE(E1117:OFFSET(E1117,-N$5+1,0))</f>
        <v>6583.3285000000005</v>
      </c>
      <c r="O1117" s="9">
        <f t="shared" ca="1" si="235"/>
        <v>0</v>
      </c>
      <c r="P1117" s="14">
        <f t="shared" si="240"/>
        <v>1.0371818617757997</v>
      </c>
      <c r="Q1117" s="15">
        <f ca="1">STDEV(P1117:OFFSET(P1117,-$Q$5+1,0))</f>
        <v>1.5482576741719889</v>
      </c>
      <c r="R1117" s="15">
        <f ca="1">STDEV(P1117:OFFSET(P1117,-$R$5+1,0))</f>
        <v>1.5996659161222433</v>
      </c>
      <c r="S1117" s="18">
        <f t="shared" si="227"/>
        <v>78.829999999999927</v>
      </c>
      <c r="T1117" s="18">
        <f t="shared" si="228"/>
        <v>90.279999999999745</v>
      </c>
      <c r="U1117" s="18">
        <f t="shared" si="236"/>
        <v>128.86766807773236</v>
      </c>
      <c r="V1117" s="33">
        <f ca="1">AVERAGE(E1117:OFFSET(E1117,-V$5+1,0))</f>
        <v>6673.9635714285732</v>
      </c>
      <c r="W1117" s="33">
        <f t="shared" ca="1" si="229"/>
        <v>6867.2650735451716</v>
      </c>
      <c r="X1117" s="33">
        <f t="shared" ca="1" si="230"/>
        <v>6480.6620693119748</v>
      </c>
      <c r="Y1117" s="32">
        <f t="shared" ca="1" si="237"/>
        <v>0</v>
      </c>
    </row>
    <row r="1118" spans="1:25">
      <c r="A1118" s="5">
        <v>40014</v>
      </c>
      <c r="B1118" s="4">
        <v>6921.64</v>
      </c>
      <c r="C1118" s="4">
        <v>6961.45</v>
      </c>
      <c r="D1118" s="4">
        <v>6861.02</v>
      </c>
      <c r="E1118" s="4">
        <v>6938.86</v>
      </c>
      <c r="F1118" s="4">
        <v>5191200</v>
      </c>
      <c r="G1118" s="8">
        <f t="shared" si="239"/>
        <v>70.650000000000546</v>
      </c>
      <c r="H1118" s="8">
        <f t="shared" si="238"/>
        <v>17.219999999999345</v>
      </c>
      <c r="I1118" s="20">
        <f t="shared" ca="1" si="231"/>
        <v>1</v>
      </c>
      <c r="J1118" s="8">
        <f t="shared" ca="1" si="232"/>
        <v>2</v>
      </c>
      <c r="K1118" s="8">
        <f t="shared" ca="1" si="233"/>
        <v>175.73999999999978</v>
      </c>
      <c r="L1118" s="8">
        <f t="shared" ca="1" si="234"/>
        <v>15976.360000000008</v>
      </c>
      <c r="M1118" s="9">
        <f ca="1">AVERAGE(E1118:OFFSET(E1118,-M$5+1,0))</f>
        <v>6738.0380000000005</v>
      </c>
      <c r="N1118" s="9">
        <f ca="1">AVERAGE(E1118:OFFSET(E1118,-N$5+1,0))</f>
        <v>6613.2110000000002</v>
      </c>
      <c r="O1118" s="9">
        <f t="shared" ca="1" si="235"/>
        <v>0</v>
      </c>
      <c r="P1118" s="14">
        <f t="shared" si="240"/>
        <v>1.2744328517267565</v>
      </c>
      <c r="Q1118" s="15">
        <f ca="1">STDEV(P1118:OFFSET(P1118,-$Q$5+1,0))</f>
        <v>1.5666324121075705</v>
      </c>
      <c r="R1118" s="15">
        <f ca="1">STDEV(P1118:OFFSET(P1118,-$R$5+1,0))</f>
        <v>1.611098062773171</v>
      </c>
      <c r="S1118" s="18">
        <f t="shared" si="227"/>
        <v>100.42999999999938</v>
      </c>
      <c r="T1118" s="18">
        <f t="shared" si="228"/>
        <v>110.46000000000004</v>
      </c>
      <c r="U1118" s="18">
        <f t="shared" si="236"/>
        <v>126.41331233403473</v>
      </c>
      <c r="V1118" s="33">
        <f ca="1">AVERAGE(E1118:OFFSET(E1118,-V$5+1,0))</f>
        <v>6710.1564285714294</v>
      </c>
      <c r="W1118" s="33">
        <f t="shared" ca="1" si="229"/>
        <v>6899.7763970724818</v>
      </c>
      <c r="X1118" s="33">
        <f t="shared" ca="1" si="230"/>
        <v>6520.536460070377</v>
      </c>
      <c r="Y1118" s="32">
        <f t="shared" ca="1" si="237"/>
        <v>1</v>
      </c>
    </row>
    <row r="1119" spans="1:25">
      <c r="A1119" s="5">
        <v>40015</v>
      </c>
      <c r="B1119" s="4">
        <v>6995.5</v>
      </c>
      <c r="C1119" s="4">
        <v>7002.32</v>
      </c>
      <c r="D1119" s="4">
        <v>6904.88</v>
      </c>
      <c r="E1119" s="4">
        <v>6953.34</v>
      </c>
      <c r="F1119" s="4">
        <v>5426600</v>
      </c>
      <c r="G1119" s="8">
        <f t="shared" si="239"/>
        <v>56.640000000000327</v>
      </c>
      <c r="H1119" s="8">
        <f t="shared" si="238"/>
        <v>-42.159999999999854</v>
      </c>
      <c r="I1119" s="20">
        <f t="shared" ca="1" si="231"/>
        <v>0</v>
      </c>
      <c r="J1119" s="8">
        <f t="shared" ca="1" si="232"/>
        <v>3</v>
      </c>
      <c r="K1119" s="8">
        <f t="shared" ca="1" si="233"/>
        <v>-13.199999999998909</v>
      </c>
      <c r="L1119" s="8">
        <f t="shared" ca="1" si="234"/>
        <v>15963.160000000009</v>
      </c>
      <c r="M1119" s="9">
        <f ca="1">AVERAGE(E1119:OFFSET(E1119,-M$5+1,0))</f>
        <v>6761.85</v>
      </c>
      <c r="N1119" s="9">
        <f ca="1">AVERAGE(E1119:OFFSET(E1119,-N$5+1,0))</f>
        <v>6651.0045000000009</v>
      </c>
      <c r="O1119" s="9">
        <f t="shared" ca="1" si="235"/>
        <v>0</v>
      </c>
      <c r="P1119" s="14">
        <f t="shared" si="240"/>
        <v>0.20846237807920226</v>
      </c>
      <c r="Q1119" s="15">
        <f ca="1">STDEV(P1119:OFFSET(P1119,-$Q$5+1,0))</f>
        <v>1.5553587493422965</v>
      </c>
      <c r="R1119" s="15">
        <f ca="1">STDEV(P1119:OFFSET(P1119,-$R$5+1,0))</f>
        <v>1.6109275306289712</v>
      </c>
      <c r="S1119" s="18">
        <f t="shared" si="227"/>
        <v>97.4399999999996</v>
      </c>
      <c r="T1119" s="18">
        <f t="shared" si="228"/>
        <v>97.4399999999996</v>
      </c>
      <c r="U1119" s="18">
        <f t="shared" si="236"/>
        <v>122.55020402283004</v>
      </c>
      <c r="V1119" s="33">
        <f ca="1">AVERAGE(E1119:OFFSET(E1119,-V$5+1,0))</f>
        <v>6736.897142857144</v>
      </c>
      <c r="W1119" s="33">
        <f t="shared" ca="1" si="229"/>
        <v>6920.7224488913889</v>
      </c>
      <c r="X1119" s="33">
        <f t="shared" ca="1" si="230"/>
        <v>6553.0718368228991</v>
      </c>
      <c r="Y1119" s="32">
        <f t="shared" ca="1" si="237"/>
        <v>0</v>
      </c>
    </row>
    <row r="1120" spans="1:25">
      <c r="A1120" s="5">
        <v>40016</v>
      </c>
      <c r="B1120" s="4">
        <v>6979.41</v>
      </c>
      <c r="C1120" s="4">
        <v>7030.13</v>
      </c>
      <c r="D1120" s="4">
        <v>6955.37</v>
      </c>
      <c r="E1120" s="4">
        <v>6985.32</v>
      </c>
      <c r="F1120" s="4">
        <v>5753600</v>
      </c>
      <c r="G1120" s="8">
        <f t="shared" si="239"/>
        <v>26.069999999999709</v>
      </c>
      <c r="H1120" s="8">
        <f t="shared" si="238"/>
        <v>5.9099999999998545</v>
      </c>
      <c r="I1120" s="20">
        <f t="shared" ca="1" si="231"/>
        <v>0</v>
      </c>
      <c r="J1120" s="8">
        <f t="shared" ca="1" si="232"/>
        <v>3</v>
      </c>
      <c r="K1120" s="8">
        <f t="shared" ca="1" si="233"/>
        <v>95.93999999999869</v>
      </c>
      <c r="L1120" s="8">
        <f t="shared" ca="1" si="234"/>
        <v>16059.100000000008</v>
      </c>
      <c r="M1120" s="9">
        <f ca="1">AVERAGE(E1120:OFFSET(E1120,-M$5+1,0))</f>
        <v>6793.5679999999993</v>
      </c>
      <c r="N1120" s="9">
        <f ca="1">AVERAGE(E1120:OFFSET(E1120,-N$5+1,0))</f>
        <v>6681.2665000000006</v>
      </c>
      <c r="O1120" s="9">
        <f t="shared" ca="1" si="235"/>
        <v>0</v>
      </c>
      <c r="P1120" s="14">
        <f t="shared" si="240"/>
        <v>0.45886844379999131</v>
      </c>
      <c r="Q1120" s="15">
        <f ca="1">STDEV(P1120:OFFSET(P1120,-$Q$5+1,0))</f>
        <v>1.5107978444123871</v>
      </c>
      <c r="R1120" s="15">
        <f ca="1">STDEV(P1120:OFFSET(P1120,-$R$5+1,0))</f>
        <v>1.6119098859089336</v>
      </c>
      <c r="S1120" s="18">
        <f t="shared" si="227"/>
        <v>74.760000000000218</v>
      </c>
      <c r="T1120" s="18">
        <f t="shared" si="228"/>
        <v>76.789999999999964</v>
      </c>
      <c r="U1120" s="18">
        <f t="shared" si="236"/>
        <v>116.4488434864527</v>
      </c>
      <c r="V1120" s="33">
        <f ca="1">AVERAGE(E1120:OFFSET(E1120,-V$5+1,0))</f>
        <v>6759.596428571429</v>
      </c>
      <c r="W1120" s="33">
        <f t="shared" ca="1" si="229"/>
        <v>6934.2696938011077</v>
      </c>
      <c r="X1120" s="33">
        <f t="shared" ca="1" si="230"/>
        <v>6584.9231633417503</v>
      </c>
      <c r="Y1120" s="32">
        <f t="shared" ca="1" si="237"/>
        <v>0</v>
      </c>
    </row>
    <row r="1121" spans="1:25">
      <c r="A1121" s="5">
        <v>40017</v>
      </c>
      <c r="B1121" s="4">
        <v>6987.79</v>
      </c>
      <c r="C1121" s="4">
        <v>7023.67</v>
      </c>
      <c r="D1121" s="4">
        <v>6926.27</v>
      </c>
      <c r="E1121" s="4">
        <v>6980.88</v>
      </c>
      <c r="F1121" s="4">
        <v>5020600</v>
      </c>
      <c r="G1121" s="8">
        <f t="shared" si="239"/>
        <v>2.4700000000002547</v>
      </c>
      <c r="H1121" s="8">
        <f t="shared" si="238"/>
        <v>-6.9099999999998545</v>
      </c>
      <c r="I1121" s="20">
        <f t="shared" ca="1" si="231"/>
        <v>0</v>
      </c>
      <c r="J1121" s="8">
        <f t="shared" ca="1" si="232"/>
        <v>3</v>
      </c>
      <c r="K1121" s="8">
        <f t="shared" ca="1" si="233"/>
        <v>-13.319999999998799</v>
      </c>
      <c r="L1121" s="8">
        <f t="shared" ca="1" si="234"/>
        <v>16045.78000000001</v>
      </c>
      <c r="M1121" s="9">
        <f ca="1">AVERAGE(E1121:OFFSET(E1121,-M$5+1,0))</f>
        <v>6816.8380000000006</v>
      </c>
      <c r="N1121" s="9">
        <f ca="1">AVERAGE(E1121:OFFSET(E1121,-N$5+1,0))</f>
        <v>6707.43</v>
      </c>
      <c r="O1121" s="9">
        <f t="shared" ca="1" si="235"/>
        <v>0</v>
      </c>
      <c r="P1121" s="14">
        <f t="shared" si="240"/>
        <v>-6.3582078870109346E-2</v>
      </c>
      <c r="Q1121" s="15">
        <f ca="1">STDEV(P1121:OFFSET(P1121,-$Q$5+1,0))</f>
        <v>1.495661413111758</v>
      </c>
      <c r="R1121" s="15">
        <f ca="1">STDEV(P1121:OFFSET(P1121,-$R$5+1,0))</f>
        <v>1.6061532915525822</v>
      </c>
      <c r="S1121" s="18">
        <f t="shared" si="227"/>
        <v>97.399999999999636</v>
      </c>
      <c r="T1121" s="18">
        <f t="shared" si="228"/>
        <v>97.399999999999636</v>
      </c>
      <c r="U1121" s="18">
        <f t="shared" si="236"/>
        <v>113.90899768825896</v>
      </c>
      <c r="V1121" s="33">
        <f ca="1">AVERAGE(E1121:OFFSET(E1121,-V$5+1,0))</f>
        <v>6782.1307142857131</v>
      </c>
      <c r="W1121" s="33">
        <f t="shared" ca="1" si="229"/>
        <v>6952.9942108181012</v>
      </c>
      <c r="X1121" s="33">
        <f t="shared" ca="1" si="230"/>
        <v>6611.267217753325</v>
      </c>
      <c r="Y1121" s="32">
        <f t="shared" ca="1" si="237"/>
        <v>0</v>
      </c>
    </row>
    <row r="1122" spans="1:25">
      <c r="A1122" s="5">
        <v>40018</v>
      </c>
      <c r="B1122" s="4">
        <v>7046.46</v>
      </c>
      <c r="C1122" s="4">
        <v>7046.46</v>
      </c>
      <c r="D1122" s="4">
        <v>6950.92</v>
      </c>
      <c r="E1122" s="4">
        <v>6973.28</v>
      </c>
      <c r="F1122" s="4">
        <v>5299200</v>
      </c>
      <c r="G1122" s="8">
        <f t="shared" si="239"/>
        <v>65.579999999999927</v>
      </c>
      <c r="H1122" s="8">
        <f t="shared" si="238"/>
        <v>-73.180000000000291</v>
      </c>
      <c r="I1122" s="20">
        <f t="shared" ca="1" si="231"/>
        <v>0</v>
      </c>
      <c r="J1122" s="8">
        <f t="shared" ca="1" si="232"/>
        <v>3</v>
      </c>
      <c r="K1122" s="8">
        <f t="shared" ca="1" si="233"/>
        <v>-22.800000000001091</v>
      </c>
      <c r="L1122" s="8">
        <f t="shared" ca="1" si="234"/>
        <v>16022.980000000009</v>
      </c>
      <c r="M1122" s="9">
        <f ca="1">AVERAGE(E1122:OFFSET(E1122,-M$5+1,0))</f>
        <v>6837.18</v>
      </c>
      <c r="N1122" s="9">
        <f ca="1">AVERAGE(E1122:OFFSET(E1122,-N$5+1,0))</f>
        <v>6732.9160000000002</v>
      </c>
      <c r="O1122" s="9">
        <f t="shared" ca="1" si="235"/>
        <v>0</v>
      </c>
      <c r="P1122" s="14">
        <f t="shared" si="240"/>
        <v>-0.10892810103182475</v>
      </c>
      <c r="Q1122" s="15">
        <f ca="1">STDEV(P1122:OFFSET(P1122,-$Q$5+1,0))</f>
        <v>1.5024014054853871</v>
      </c>
      <c r="R1122" s="15">
        <f ca="1">STDEV(P1122:OFFSET(P1122,-$R$5+1,0))</f>
        <v>1.5336121620194798</v>
      </c>
      <c r="S1122" s="18">
        <f t="shared" si="227"/>
        <v>95.539999999999964</v>
      </c>
      <c r="T1122" s="18">
        <f t="shared" si="228"/>
        <v>95.539999999999964</v>
      </c>
      <c r="U1122" s="18">
        <f t="shared" si="236"/>
        <v>111.4597979964911</v>
      </c>
      <c r="V1122" s="33">
        <f ca="1">AVERAGE(E1122:OFFSET(E1122,-V$5+1,0))</f>
        <v>6805.2285714285726</v>
      </c>
      <c r="W1122" s="33">
        <f t="shared" ca="1" si="229"/>
        <v>6972.4182684233092</v>
      </c>
      <c r="X1122" s="33">
        <f t="shared" ca="1" si="230"/>
        <v>6638.0388744338361</v>
      </c>
      <c r="Y1122" s="32">
        <f t="shared" ca="1" si="237"/>
        <v>0</v>
      </c>
    </row>
    <row r="1123" spans="1:25">
      <c r="A1123" s="5">
        <v>40021</v>
      </c>
      <c r="B1123" s="4">
        <v>7008.18</v>
      </c>
      <c r="C1123" s="4">
        <v>7059.46</v>
      </c>
      <c r="D1123" s="4">
        <v>6954.3</v>
      </c>
      <c r="E1123" s="4">
        <v>7028.43</v>
      </c>
      <c r="F1123" s="4">
        <v>4144400</v>
      </c>
      <c r="G1123" s="8">
        <f t="shared" si="239"/>
        <v>34.900000000000546</v>
      </c>
      <c r="H1123" s="8">
        <f t="shared" si="238"/>
        <v>20.25</v>
      </c>
      <c r="I1123" s="20">
        <f t="shared" ca="1" si="231"/>
        <v>0</v>
      </c>
      <c r="J1123" s="8">
        <f t="shared" ca="1" si="232"/>
        <v>3</v>
      </c>
      <c r="K1123" s="8">
        <f t="shared" ca="1" si="233"/>
        <v>165.45000000000164</v>
      </c>
      <c r="L1123" s="8">
        <f t="shared" ca="1" si="234"/>
        <v>16188.430000000011</v>
      </c>
      <c r="M1123" s="9">
        <f ca="1">AVERAGE(E1123:OFFSET(E1123,-M$5+1,0))</f>
        <v>6886.9410000000007</v>
      </c>
      <c r="N1123" s="9">
        <f ca="1">AVERAGE(E1123:OFFSET(E1123,-N$5+1,0))</f>
        <v>6764.7800000000007</v>
      </c>
      <c r="O1123" s="9">
        <f t="shared" ca="1" si="235"/>
        <v>0</v>
      </c>
      <c r="P1123" s="14">
        <f t="shared" si="240"/>
        <v>0.78776499734720729</v>
      </c>
      <c r="Q1123" s="15">
        <f ca="1">STDEV(P1123:OFFSET(P1123,-$Q$5+1,0))</f>
        <v>0.6233721018366557</v>
      </c>
      <c r="R1123" s="15">
        <f ca="1">STDEV(P1123:OFFSET(P1123,-$R$5+1,0))</f>
        <v>1.5317909158367566</v>
      </c>
      <c r="S1123" s="18">
        <f t="shared" si="227"/>
        <v>105.15999999999985</v>
      </c>
      <c r="T1123" s="18">
        <f t="shared" si="228"/>
        <v>105.15999999999985</v>
      </c>
      <c r="U1123" s="18">
        <f t="shared" si="236"/>
        <v>110.61982493029228</v>
      </c>
      <c r="V1123" s="33">
        <f ca="1">AVERAGE(E1123:OFFSET(E1123,-V$5+1,0))</f>
        <v>6827.6007142857143</v>
      </c>
      <c r="W1123" s="33">
        <f t="shared" ca="1" si="229"/>
        <v>6993.530451681153</v>
      </c>
      <c r="X1123" s="33">
        <f t="shared" ca="1" si="230"/>
        <v>6661.6709768902756</v>
      </c>
      <c r="Y1123" s="32">
        <f t="shared" ca="1" si="237"/>
        <v>0</v>
      </c>
    </row>
    <row r="1124" spans="1:25">
      <c r="A1124" s="5">
        <v>40022</v>
      </c>
      <c r="B1124" s="4">
        <v>7038.73</v>
      </c>
      <c r="C1124" s="4">
        <v>7142.63</v>
      </c>
      <c r="D1124" s="4">
        <v>7038.73</v>
      </c>
      <c r="E1124" s="4">
        <v>7142.63</v>
      </c>
      <c r="F1124" s="4">
        <v>5615400</v>
      </c>
      <c r="G1124" s="8">
        <f t="shared" si="239"/>
        <v>10.299999999999272</v>
      </c>
      <c r="H1124" s="8">
        <f t="shared" si="238"/>
        <v>103.90000000000055</v>
      </c>
      <c r="I1124" s="20">
        <f t="shared" ca="1" si="231"/>
        <v>0</v>
      </c>
      <c r="J1124" s="8">
        <f t="shared" ca="1" si="232"/>
        <v>3</v>
      </c>
      <c r="K1124" s="8">
        <f t="shared" ca="1" si="233"/>
        <v>342.59999999999945</v>
      </c>
      <c r="L1124" s="8">
        <f t="shared" ca="1" si="234"/>
        <v>16531.03000000001</v>
      </c>
      <c r="M1124" s="9">
        <f ca="1">AVERAGE(E1124:OFFSET(E1124,-M$5+1,0))</f>
        <v>6937.262999999999</v>
      </c>
      <c r="N1124" s="9">
        <f ca="1">AVERAGE(E1124:OFFSET(E1124,-N$5+1,0))</f>
        <v>6800.3035</v>
      </c>
      <c r="O1124" s="9">
        <f t="shared" ca="1" si="235"/>
        <v>0</v>
      </c>
      <c r="P1124" s="14">
        <f t="shared" si="240"/>
        <v>1.6117703577921489</v>
      </c>
      <c r="Q1124" s="15">
        <f ca="1">STDEV(P1124:OFFSET(P1124,-$Q$5+1,0))</f>
        <v>0.61737490546303142</v>
      </c>
      <c r="R1124" s="15">
        <f ca="1">STDEV(P1124:OFFSET(P1124,-$R$5+1,0))</f>
        <v>1.5520138011457079</v>
      </c>
      <c r="S1124" s="18">
        <f t="shared" si="227"/>
        <v>103.90000000000055</v>
      </c>
      <c r="T1124" s="18">
        <f t="shared" si="228"/>
        <v>114.19999999999982</v>
      </c>
      <c r="U1124" s="18">
        <f t="shared" si="236"/>
        <v>111.09718160625329</v>
      </c>
      <c r="V1124" s="33">
        <f ca="1">AVERAGE(E1124:OFFSET(E1124,-V$5+1,0))</f>
        <v>6861.4928571428563</v>
      </c>
      <c r="W1124" s="33">
        <f t="shared" ca="1" si="229"/>
        <v>7028.1386295522361</v>
      </c>
      <c r="X1124" s="33">
        <f t="shared" ca="1" si="230"/>
        <v>6694.8470847334765</v>
      </c>
      <c r="Y1124" s="32">
        <f t="shared" ca="1" si="237"/>
        <v>0</v>
      </c>
    </row>
    <row r="1125" spans="1:25">
      <c r="A1125" s="5">
        <v>40023</v>
      </c>
      <c r="B1125" s="4">
        <v>7185.52</v>
      </c>
      <c r="C1125" s="4">
        <v>7185.52</v>
      </c>
      <c r="D1125" s="4">
        <v>7070.72</v>
      </c>
      <c r="E1125" s="4">
        <v>7083.63</v>
      </c>
      <c r="F1125" s="4">
        <v>5961400</v>
      </c>
      <c r="G1125" s="8">
        <f t="shared" si="239"/>
        <v>42.890000000000327</v>
      </c>
      <c r="H1125" s="8">
        <f t="shared" si="238"/>
        <v>-101.89000000000033</v>
      </c>
      <c r="I1125" s="20">
        <f t="shared" ca="1" si="231"/>
        <v>0</v>
      </c>
      <c r="J1125" s="8">
        <f t="shared" ca="1" si="232"/>
        <v>3</v>
      </c>
      <c r="K1125" s="8">
        <f t="shared" ca="1" si="233"/>
        <v>-177</v>
      </c>
      <c r="L1125" s="8">
        <f t="shared" ca="1" si="234"/>
        <v>16354.03000000001</v>
      </c>
      <c r="M1125" s="9">
        <f ca="1">AVERAGE(E1125:OFFSET(E1125,-M$5+1,0))</f>
        <v>6971.7659999999987</v>
      </c>
      <c r="N1125" s="9">
        <f ca="1">AVERAGE(E1125:OFFSET(E1125,-N$5+1,0))</f>
        <v>6825.5365000000002</v>
      </c>
      <c r="O1125" s="9">
        <f t="shared" ca="1" si="235"/>
        <v>0</v>
      </c>
      <c r="P1125" s="14">
        <f t="shared" si="240"/>
        <v>-0.82945676889860198</v>
      </c>
      <c r="Q1125" s="15">
        <f ca="1">STDEV(P1125:OFFSET(P1125,-$Q$5+1,0))</f>
        <v>0.72750541396073498</v>
      </c>
      <c r="R1125" s="15">
        <f ca="1">STDEV(P1125:OFFSET(P1125,-$R$5+1,0))</f>
        <v>1.5523245424459722</v>
      </c>
      <c r="S1125" s="18">
        <f t="shared" si="227"/>
        <v>114.80000000000018</v>
      </c>
      <c r="T1125" s="18">
        <f t="shared" si="228"/>
        <v>114.80000000000018</v>
      </c>
      <c r="U1125" s="18">
        <f t="shared" si="236"/>
        <v>111.59089072541954</v>
      </c>
      <c r="V1125" s="33">
        <f ca="1">AVERAGE(E1125:OFFSET(E1125,-V$5+1,0))</f>
        <v>6885.4535714285721</v>
      </c>
      <c r="W1125" s="33">
        <f t="shared" ca="1" si="229"/>
        <v>7052.8399075167017</v>
      </c>
      <c r="X1125" s="33">
        <f t="shared" ca="1" si="230"/>
        <v>6718.0672353404425</v>
      </c>
      <c r="Y1125" s="32">
        <f t="shared" ca="1" si="237"/>
        <v>0</v>
      </c>
    </row>
    <row r="1126" spans="1:25">
      <c r="A1126" s="5">
        <v>40024</v>
      </c>
      <c r="B1126" s="4">
        <v>7063.47</v>
      </c>
      <c r="C1126" s="4">
        <v>7068.43</v>
      </c>
      <c r="D1126" s="4">
        <v>6944.5</v>
      </c>
      <c r="E1126" s="4">
        <v>7027.11</v>
      </c>
      <c r="F1126" s="4">
        <v>5035400</v>
      </c>
      <c r="G1126" s="8">
        <f t="shared" si="239"/>
        <v>-20.159999999999854</v>
      </c>
      <c r="H1126" s="8">
        <f t="shared" si="238"/>
        <v>-36.360000000000582</v>
      </c>
      <c r="I1126" s="20">
        <f t="shared" ca="1" si="231"/>
        <v>0</v>
      </c>
      <c r="J1126" s="8">
        <f t="shared" ca="1" si="232"/>
        <v>3</v>
      </c>
      <c r="K1126" s="8">
        <f t="shared" ca="1" si="233"/>
        <v>-169.56000000000131</v>
      </c>
      <c r="L1126" s="8">
        <f t="shared" ca="1" si="234"/>
        <v>16184.470000000008</v>
      </c>
      <c r="M1126" s="9">
        <f ca="1">AVERAGE(E1126:OFFSET(E1126,-M$5+1,0))</f>
        <v>6996.4469999999983</v>
      </c>
      <c r="N1126" s="9">
        <f ca="1">AVERAGE(E1126:OFFSET(E1126,-N$5+1,0))</f>
        <v>6843.5154999999995</v>
      </c>
      <c r="O1126" s="9">
        <f t="shared" ca="1" si="235"/>
        <v>0</v>
      </c>
      <c r="P1126" s="14">
        <f t="shared" si="240"/>
        <v>-0.80109621843154311</v>
      </c>
      <c r="Q1126" s="15">
        <f ca="1">STDEV(P1126:OFFSET(P1126,-$Q$5+1,0))</f>
        <v>0.83264104591312937</v>
      </c>
      <c r="R1126" s="15">
        <f ca="1">STDEV(P1126:OFFSET(P1126,-$R$5+1,0))</f>
        <v>1.5363169321554913</v>
      </c>
      <c r="S1126" s="18">
        <f t="shared" si="227"/>
        <v>123.93000000000029</v>
      </c>
      <c r="T1126" s="18">
        <f t="shared" si="228"/>
        <v>139.13000000000011</v>
      </c>
      <c r="U1126" s="18">
        <f t="shared" si="236"/>
        <v>115.26277196203029</v>
      </c>
      <c r="V1126" s="33">
        <f ca="1">AVERAGE(E1126:OFFSET(E1126,-V$5+1,0))</f>
        <v>6903.828571428573</v>
      </c>
      <c r="W1126" s="33">
        <f t="shared" ca="1" si="229"/>
        <v>7076.7227293716187</v>
      </c>
      <c r="X1126" s="33">
        <f t="shared" ca="1" si="230"/>
        <v>6730.9344134855273</v>
      </c>
      <c r="Y1126" s="32">
        <f t="shared" ca="1" si="237"/>
        <v>0</v>
      </c>
    </row>
    <row r="1127" spans="1:25">
      <c r="A1127" s="5">
        <v>40025</v>
      </c>
      <c r="B1127" s="4">
        <v>7111.15</v>
      </c>
      <c r="C1127" s="4">
        <v>7132.11</v>
      </c>
      <c r="D1127" s="4">
        <v>7044.7</v>
      </c>
      <c r="E1127" s="4">
        <v>7077.71</v>
      </c>
      <c r="F1127" s="4">
        <v>5679600</v>
      </c>
      <c r="G1127" s="8">
        <f t="shared" si="239"/>
        <v>84.039999999999964</v>
      </c>
      <c r="H1127" s="8">
        <f t="shared" si="238"/>
        <v>-33.4399999999996</v>
      </c>
      <c r="I1127" s="20">
        <f t="shared" ca="1" si="231"/>
        <v>0</v>
      </c>
      <c r="J1127" s="8">
        <f t="shared" ca="1" si="232"/>
        <v>3</v>
      </c>
      <c r="K1127" s="8">
        <f t="shared" ca="1" si="233"/>
        <v>151.80000000000109</v>
      </c>
      <c r="L1127" s="8">
        <f t="shared" ca="1" si="234"/>
        <v>16336.27000000001</v>
      </c>
      <c r="M1127" s="9">
        <f ca="1">AVERAGE(E1127:OFFSET(E1127,-M$5+1,0))</f>
        <v>7019.1190000000006</v>
      </c>
      <c r="N1127" s="9">
        <f ca="1">AVERAGE(E1127:OFFSET(E1127,-N$5+1,0))</f>
        <v>6864.1309999999994</v>
      </c>
      <c r="O1127" s="9">
        <f t="shared" ca="1" si="235"/>
        <v>0</v>
      </c>
      <c r="P1127" s="14">
        <f t="shared" si="240"/>
        <v>0.71748830639985717</v>
      </c>
      <c r="Q1127" s="15">
        <f ca="1">STDEV(P1127:OFFSET(P1127,-$Q$5+1,0))</f>
        <v>0.80946144382307283</v>
      </c>
      <c r="R1127" s="15">
        <f ca="1">STDEV(P1127:OFFSET(P1127,-$R$5+1,0))</f>
        <v>1.5382983760470275</v>
      </c>
      <c r="S1127" s="18">
        <f t="shared" si="227"/>
        <v>87.409999999999854</v>
      </c>
      <c r="T1127" s="18">
        <f t="shared" si="228"/>
        <v>105</v>
      </c>
      <c r="U1127" s="18">
        <f t="shared" si="236"/>
        <v>113.89440236709292</v>
      </c>
      <c r="V1127" s="33">
        <f ca="1">AVERAGE(E1127:OFFSET(E1127,-V$5+1,0))</f>
        <v>6942.8921428571439</v>
      </c>
      <c r="W1127" s="33">
        <f t="shared" ca="1" si="229"/>
        <v>7113.7337464077837</v>
      </c>
      <c r="X1127" s="33">
        <f t="shared" ca="1" si="230"/>
        <v>6772.0505393065041</v>
      </c>
      <c r="Y1127" s="32">
        <f t="shared" ca="1" si="237"/>
        <v>0</v>
      </c>
    </row>
    <row r="1128" spans="1:25">
      <c r="A1128" s="5">
        <v>40028</v>
      </c>
      <c r="B1128" s="4">
        <v>7036.47</v>
      </c>
      <c r="C1128" s="4">
        <v>7084.59</v>
      </c>
      <c r="D1128" s="4">
        <v>6986.29</v>
      </c>
      <c r="E1128" s="4">
        <v>7056.71</v>
      </c>
      <c r="F1128" s="4">
        <v>5150200</v>
      </c>
      <c r="G1128" s="8">
        <f t="shared" si="239"/>
        <v>-41.239999999999782</v>
      </c>
      <c r="H1128" s="8">
        <f t="shared" si="238"/>
        <v>20.239999999999782</v>
      </c>
      <c r="I1128" s="20">
        <f t="shared" ca="1" si="231"/>
        <v>0</v>
      </c>
      <c r="J1128" s="8">
        <f t="shared" ca="1" si="232"/>
        <v>3</v>
      </c>
      <c r="K1128" s="8">
        <f t="shared" ca="1" si="233"/>
        <v>-63</v>
      </c>
      <c r="L1128" s="8">
        <f t="shared" ca="1" si="234"/>
        <v>16273.27000000001</v>
      </c>
      <c r="M1128" s="9">
        <f ca="1">AVERAGE(E1128:OFFSET(E1128,-M$5+1,0))</f>
        <v>7030.9039999999995</v>
      </c>
      <c r="N1128" s="9">
        <f ca="1">AVERAGE(E1128:OFFSET(E1128,-N$5+1,0))</f>
        <v>6884.4710000000005</v>
      </c>
      <c r="O1128" s="9">
        <f t="shared" ca="1" si="235"/>
        <v>0</v>
      </c>
      <c r="P1128" s="14">
        <f t="shared" si="240"/>
        <v>-0.2971471832855751</v>
      </c>
      <c r="Q1128" s="15">
        <f ca="1">STDEV(P1128:OFFSET(P1128,-$Q$5+1,0))</f>
        <v>0.75553569340011217</v>
      </c>
      <c r="R1128" s="15">
        <f ca="1">STDEV(P1128:OFFSET(P1128,-$R$5+1,0))</f>
        <v>1.4985930221950259</v>
      </c>
      <c r="S1128" s="18">
        <f t="shared" si="227"/>
        <v>98.300000000000182</v>
      </c>
      <c r="T1128" s="18">
        <f t="shared" si="228"/>
        <v>98.300000000000182</v>
      </c>
      <c r="U1128" s="18">
        <f t="shared" si="236"/>
        <v>111.81514871814721</v>
      </c>
      <c r="V1128" s="33">
        <f ca="1">AVERAGE(E1128:OFFSET(E1128,-V$5+1,0))</f>
        <v>6972.6992857142859</v>
      </c>
      <c r="W1128" s="33">
        <f t="shared" ca="1" si="229"/>
        <v>7140.4220087915064</v>
      </c>
      <c r="X1128" s="33">
        <f t="shared" ca="1" si="230"/>
        <v>6804.9765626370654</v>
      </c>
      <c r="Y1128" s="32">
        <f t="shared" ca="1" si="237"/>
        <v>0</v>
      </c>
    </row>
    <row r="1129" spans="1:25">
      <c r="A1129" s="5">
        <v>40029</v>
      </c>
      <c r="B1129" s="4">
        <v>7129.43</v>
      </c>
      <c r="C1129" s="4">
        <v>7138.94</v>
      </c>
      <c r="D1129" s="4">
        <v>6921.04</v>
      </c>
      <c r="E1129" s="4">
        <v>6955.87</v>
      </c>
      <c r="F1129" s="4">
        <v>6550000</v>
      </c>
      <c r="G1129" s="8">
        <f t="shared" si="239"/>
        <v>72.720000000000255</v>
      </c>
      <c r="H1129" s="8">
        <f t="shared" si="238"/>
        <v>-173.5600000000004</v>
      </c>
      <c r="I1129" s="20">
        <f t="shared" ca="1" si="231"/>
        <v>0</v>
      </c>
      <c r="J1129" s="8">
        <f t="shared" ca="1" si="232"/>
        <v>3</v>
      </c>
      <c r="K1129" s="8">
        <f t="shared" ca="1" si="233"/>
        <v>-302.52000000000044</v>
      </c>
      <c r="L1129" s="8">
        <f t="shared" ca="1" si="234"/>
        <v>15970.750000000009</v>
      </c>
      <c r="M1129" s="9">
        <f ca="1">AVERAGE(E1129:OFFSET(E1129,-M$5+1,0))</f>
        <v>7031.1569999999992</v>
      </c>
      <c r="N1129" s="9">
        <f ca="1">AVERAGE(E1129:OFFSET(E1129,-N$5+1,0))</f>
        <v>6896.5035000000016</v>
      </c>
      <c r="O1129" s="9">
        <f t="shared" ca="1" si="235"/>
        <v>0</v>
      </c>
      <c r="P1129" s="14">
        <f t="shared" si="240"/>
        <v>-1.4393029809314248</v>
      </c>
      <c r="Q1129" s="15">
        <f ca="1">STDEV(P1129:OFFSET(P1129,-$Q$5+1,0))</f>
        <v>0.90977078727296112</v>
      </c>
      <c r="R1129" s="15">
        <f ca="1">STDEV(P1129:OFFSET(P1129,-$R$5+1,0))</f>
        <v>1.4165998184666164</v>
      </c>
      <c r="S1129" s="18">
        <f t="shared" si="227"/>
        <v>217.89999999999964</v>
      </c>
      <c r="T1129" s="18">
        <f t="shared" si="228"/>
        <v>217.89999999999964</v>
      </c>
      <c r="U1129" s="18">
        <f t="shared" si="236"/>
        <v>125.95979555572754</v>
      </c>
      <c r="V1129" s="33">
        <f ca="1">AVERAGE(E1129:OFFSET(E1129,-V$5+1,0))</f>
        <v>6988.2185714285715</v>
      </c>
      <c r="W1129" s="33">
        <f t="shared" ca="1" si="229"/>
        <v>7177.1582647621626</v>
      </c>
      <c r="X1129" s="33">
        <f t="shared" ca="1" si="230"/>
        <v>6799.2788780949804</v>
      </c>
      <c r="Y1129" s="32">
        <f t="shared" ca="1" si="237"/>
        <v>0</v>
      </c>
    </row>
    <row r="1130" spans="1:25">
      <c r="A1130" s="5">
        <v>40030</v>
      </c>
      <c r="B1130" s="4">
        <v>6979.73</v>
      </c>
      <c r="C1130" s="4">
        <v>7013.6</v>
      </c>
      <c r="D1130" s="4">
        <v>6827.16</v>
      </c>
      <c r="E1130" s="4">
        <v>6848.24</v>
      </c>
      <c r="F1130" s="4">
        <v>4982800</v>
      </c>
      <c r="G1130" s="8">
        <f t="shared" si="239"/>
        <v>23.859999999999673</v>
      </c>
      <c r="H1130" s="8">
        <f t="shared" si="238"/>
        <v>-131.48999999999978</v>
      </c>
      <c r="I1130" s="20">
        <f t="shared" ca="1" si="231"/>
        <v>0</v>
      </c>
      <c r="J1130" s="8">
        <f t="shared" ca="1" si="232"/>
        <v>3</v>
      </c>
      <c r="K1130" s="8">
        <f t="shared" ca="1" si="233"/>
        <v>-322.89000000000033</v>
      </c>
      <c r="L1130" s="8">
        <f t="shared" ca="1" si="234"/>
        <v>15647.860000000008</v>
      </c>
      <c r="M1130" s="9">
        <f ca="1">AVERAGE(E1130:OFFSET(E1130,-M$5+1,0))</f>
        <v>7017.4490000000005</v>
      </c>
      <c r="N1130" s="9">
        <f ca="1">AVERAGE(E1130:OFFSET(E1130,-N$5+1,0))</f>
        <v>6905.5085000000008</v>
      </c>
      <c r="O1130" s="9">
        <f t="shared" ca="1" si="235"/>
        <v>0</v>
      </c>
      <c r="P1130" s="14">
        <f t="shared" si="240"/>
        <v>-1.5594222461438576</v>
      </c>
      <c r="Q1130" s="15">
        <f ca="1">STDEV(P1130:OFFSET(P1130,-$Q$5+1,0))</f>
        <v>1.0153115733414437</v>
      </c>
      <c r="R1130" s="15">
        <f ca="1">STDEV(P1130:OFFSET(P1130,-$R$5+1,0))</f>
        <v>1.4406446582917449</v>
      </c>
      <c r="S1130" s="18">
        <f t="shared" si="227"/>
        <v>186.44000000000051</v>
      </c>
      <c r="T1130" s="18">
        <f t="shared" si="228"/>
        <v>186.44000000000051</v>
      </c>
      <c r="U1130" s="18">
        <f t="shared" si="236"/>
        <v>134.02382281496392</v>
      </c>
      <c r="V1130" s="33">
        <f ca="1">AVERAGE(E1130:OFFSET(E1130,-V$5+1,0))</f>
        <v>6993.0714285714284</v>
      </c>
      <c r="W1130" s="33">
        <f t="shared" ca="1" si="229"/>
        <v>7194.1071627938745</v>
      </c>
      <c r="X1130" s="33">
        <f t="shared" ca="1" si="230"/>
        <v>6792.0356943489824</v>
      </c>
      <c r="Y1130" s="32">
        <f t="shared" ca="1" si="237"/>
        <v>0</v>
      </c>
    </row>
    <row r="1131" spans="1:25">
      <c r="A1131" s="5">
        <v>40031</v>
      </c>
      <c r="B1131" s="4">
        <v>6886.7</v>
      </c>
      <c r="C1131" s="4">
        <v>6888.09</v>
      </c>
      <c r="D1131" s="4">
        <v>6775.87</v>
      </c>
      <c r="E1131" s="4">
        <v>6868.65</v>
      </c>
      <c r="F1131" s="4">
        <v>5078400</v>
      </c>
      <c r="G1131" s="8">
        <f t="shared" si="239"/>
        <v>38.460000000000036</v>
      </c>
      <c r="H1131" s="8">
        <f t="shared" si="238"/>
        <v>-18.050000000000182</v>
      </c>
      <c r="I1131" s="20">
        <f t="shared" ca="1" si="231"/>
        <v>0</v>
      </c>
      <c r="J1131" s="8">
        <f t="shared" ca="1" si="232"/>
        <v>3</v>
      </c>
      <c r="K1131" s="8">
        <f t="shared" ca="1" si="233"/>
        <v>61.229999999999563</v>
      </c>
      <c r="L1131" s="8">
        <f t="shared" ca="1" si="234"/>
        <v>15709.090000000007</v>
      </c>
      <c r="M1131" s="9">
        <f ca="1">AVERAGE(E1131:OFFSET(E1131,-M$5+1,0))</f>
        <v>7006.2259999999997</v>
      </c>
      <c r="N1131" s="9">
        <f ca="1">AVERAGE(E1131:OFFSET(E1131,-N$5+1,0))</f>
        <v>6911.5320000000011</v>
      </c>
      <c r="O1131" s="9">
        <f t="shared" ca="1" si="235"/>
        <v>0</v>
      </c>
      <c r="P1131" s="14">
        <f t="shared" si="240"/>
        <v>0.29758954198070237</v>
      </c>
      <c r="Q1131" s="15">
        <f ca="1">STDEV(P1131:OFFSET(P1131,-$Q$5+1,0))</f>
        <v>1.0269887345072199</v>
      </c>
      <c r="R1131" s="15">
        <f ca="1">STDEV(P1131:OFFSET(P1131,-$R$5+1,0))</f>
        <v>1.421150297872475</v>
      </c>
      <c r="S1131" s="18">
        <f t="shared" si="227"/>
        <v>112.22000000000025</v>
      </c>
      <c r="T1131" s="18">
        <f t="shared" si="228"/>
        <v>112.22000000000025</v>
      </c>
      <c r="U1131" s="18">
        <f t="shared" si="236"/>
        <v>131.11664643963545</v>
      </c>
      <c r="V1131" s="33">
        <f ca="1">AVERAGE(E1131:OFFSET(E1131,-V$5+1,0))</f>
        <v>6994.3328571428574</v>
      </c>
      <c r="W1131" s="33">
        <f t="shared" ca="1" si="229"/>
        <v>7191.0078268023108</v>
      </c>
      <c r="X1131" s="33">
        <f t="shared" ca="1" si="230"/>
        <v>6797.657887483404</v>
      </c>
      <c r="Y1131" s="32">
        <f t="shared" ca="1" si="237"/>
        <v>0</v>
      </c>
    </row>
    <row r="1132" spans="1:25">
      <c r="A1132" s="5">
        <v>40035</v>
      </c>
      <c r="B1132" s="4">
        <v>6858.87</v>
      </c>
      <c r="C1132" s="4">
        <v>6909.16</v>
      </c>
      <c r="D1132" s="4">
        <v>6836.96</v>
      </c>
      <c r="E1132" s="4">
        <v>6882.87</v>
      </c>
      <c r="F1132" s="4">
        <v>3538400</v>
      </c>
      <c r="G1132" s="8">
        <f t="shared" si="239"/>
        <v>-9.7799999999997453</v>
      </c>
      <c r="H1132" s="8">
        <f t="shared" si="238"/>
        <v>24</v>
      </c>
      <c r="I1132" s="20">
        <f t="shared" ca="1" si="231"/>
        <v>0</v>
      </c>
      <c r="J1132" s="8">
        <f t="shared" ca="1" si="232"/>
        <v>3</v>
      </c>
      <c r="K1132" s="8">
        <f t="shared" ca="1" si="233"/>
        <v>42.660000000000764</v>
      </c>
      <c r="L1132" s="8">
        <f t="shared" ca="1" si="234"/>
        <v>15751.750000000007</v>
      </c>
      <c r="M1132" s="9">
        <f ca="1">AVERAGE(E1132:OFFSET(E1132,-M$5+1,0))</f>
        <v>6997.1850000000004</v>
      </c>
      <c r="N1132" s="9">
        <f ca="1">AVERAGE(E1132:OFFSET(E1132,-N$5+1,0))</f>
        <v>6917.1825000000008</v>
      </c>
      <c r="O1132" s="9">
        <f t="shared" ca="1" si="235"/>
        <v>0</v>
      </c>
      <c r="P1132" s="14">
        <f t="shared" si="240"/>
        <v>0.20681357505883202</v>
      </c>
      <c r="Q1132" s="15">
        <f ca="1">STDEV(P1132:OFFSET(P1132,-$Q$5+1,0))</f>
        <v>1.0336363556631747</v>
      </c>
      <c r="R1132" s="15">
        <f ca="1">STDEV(P1132:OFFSET(P1132,-$R$5+1,0))</f>
        <v>1.3858008746418979</v>
      </c>
      <c r="S1132" s="18">
        <f t="shared" si="227"/>
        <v>72.199999999999818</v>
      </c>
      <c r="T1132" s="18">
        <f t="shared" si="228"/>
        <v>72.199999999999818</v>
      </c>
      <c r="U1132" s="18">
        <f t="shared" si="236"/>
        <v>123.26109358101736</v>
      </c>
      <c r="V1132" s="33">
        <f ca="1">AVERAGE(E1132:OFFSET(E1132,-V$5+1,0))</f>
        <v>6990.3335714285704</v>
      </c>
      <c r="W1132" s="33">
        <f t="shared" ca="1" si="229"/>
        <v>7175.2252118000961</v>
      </c>
      <c r="X1132" s="33">
        <f t="shared" ca="1" si="230"/>
        <v>6805.4419310570447</v>
      </c>
      <c r="Y1132" s="32">
        <f t="shared" ca="1" si="237"/>
        <v>0</v>
      </c>
    </row>
    <row r="1133" spans="1:25">
      <c r="A1133" s="5">
        <v>40036</v>
      </c>
      <c r="B1133" s="4">
        <v>6904.45</v>
      </c>
      <c r="C1133" s="4">
        <v>6921.85</v>
      </c>
      <c r="D1133" s="4">
        <v>6812.06</v>
      </c>
      <c r="E1133" s="4">
        <v>6909.02</v>
      </c>
      <c r="F1133" s="4">
        <v>3696000</v>
      </c>
      <c r="G1133" s="8">
        <f t="shared" si="239"/>
        <v>21.579999999999927</v>
      </c>
      <c r="H1133" s="8">
        <f t="shared" si="238"/>
        <v>4.5700000000006185</v>
      </c>
      <c r="I1133" s="20">
        <f t="shared" ca="1" si="231"/>
        <v>0</v>
      </c>
      <c r="J1133" s="8">
        <f t="shared" ca="1" si="232"/>
        <v>3</v>
      </c>
      <c r="K1133" s="8">
        <f t="shared" ca="1" si="233"/>
        <v>78.450000000001637</v>
      </c>
      <c r="L1133" s="8">
        <f t="shared" ca="1" si="234"/>
        <v>15830.200000000008</v>
      </c>
      <c r="M1133" s="9">
        <f ca="1">AVERAGE(E1133:OFFSET(E1133,-M$5+1,0))</f>
        <v>6985.2440000000006</v>
      </c>
      <c r="N1133" s="9">
        <f ca="1">AVERAGE(E1133:OFFSET(E1133,-N$5+1,0))</f>
        <v>6936.0925000000007</v>
      </c>
      <c r="O1133" s="9">
        <f t="shared" ca="1" si="235"/>
        <v>0</v>
      </c>
      <c r="P1133" s="14">
        <f t="shared" si="240"/>
        <v>0.37920881527132622</v>
      </c>
      <c r="Q1133" s="15">
        <f ca="1">STDEV(P1133:OFFSET(P1133,-$Q$5+1,0))</f>
        <v>1.0008628394314398</v>
      </c>
      <c r="R1133" s="15">
        <f ca="1">STDEV(P1133:OFFSET(P1133,-$R$5+1,0))</f>
        <v>1.2510765172375689</v>
      </c>
      <c r="S1133" s="18">
        <f t="shared" si="227"/>
        <v>109.78999999999996</v>
      </c>
      <c r="T1133" s="18">
        <f t="shared" si="228"/>
        <v>109.78999999999996</v>
      </c>
      <c r="U1133" s="18">
        <f t="shared" si="236"/>
        <v>121.46494777021505</v>
      </c>
      <c r="V1133" s="33">
        <f ca="1">AVERAGE(E1133:OFFSET(E1133,-V$5+1,0))</f>
        <v>6987.1678571428565</v>
      </c>
      <c r="W1133" s="33">
        <f t="shared" ca="1" si="229"/>
        <v>7169.3652787981791</v>
      </c>
      <c r="X1133" s="33">
        <f t="shared" ca="1" si="230"/>
        <v>6804.9704354875339</v>
      </c>
      <c r="Y1133" s="32">
        <f t="shared" ca="1" si="237"/>
        <v>0</v>
      </c>
    </row>
    <row r="1134" spans="1:25">
      <c r="A1134" s="5">
        <v>40037</v>
      </c>
      <c r="B1134" s="4">
        <v>6878.34</v>
      </c>
      <c r="C1134" s="4">
        <v>6933.51</v>
      </c>
      <c r="D1134" s="4">
        <v>6864.91</v>
      </c>
      <c r="E1134" s="4">
        <v>6898.9</v>
      </c>
      <c r="F1134" s="4">
        <v>3640000</v>
      </c>
      <c r="G1134" s="8">
        <f t="shared" si="239"/>
        <v>-30.680000000000291</v>
      </c>
      <c r="H1134" s="8">
        <f t="shared" si="238"/>
        <v>20.559999999999491</v>
      </c>
      <c r="I1134" s="20">
        <f t="shared" ca="1" si="231"/>
        <v>0</v>
      </c>
      <c r="J1134" s="8">
        <f t="shared" ca="1" si="232"/>
        <v>3</v>
      </c>
      <c r="K1134" s="8">
        <f t="shared" ca="1" si="233"/>
        <v>-30.360000000002401</v>
      </c>
      <c r="L1134" s="8">
        <f t="shared" ca="1" si="234"/>
        <v>15799.840000000006</v>
      </c>
      <c r="M1134" s="9">
        <f ca="1">AVERAGE(E1134:OFFSET(E1134,-M$5+1,0))</f>
        <v>6960.8709999999992</v>
      </c>
      <c r="N1134" s="9">
        <f ca="1">AVERAGE(E1134:OFFSET(E1134,-N$5+1,0))</f>
        <v>6949.067</v>
      </c>
      <c r="O1134" s="9">
        <f t="shared" ca="1" si="235"/>
        <v>0</v>
      </c>
      <c r="P1134" s="14">
        <f t="shared" si="240"/>
        <v>-0.14658256728057917</v>
      </c>
      <c r="Q1134" s="15">
        <f ca="1">STDEV(P1134:OFFSET(P1134,-$Q$5+1,0))</f>
        <v>0.78368313130772382</v>
      </c>
      <c r="R1134" s="15">
        <f ca="1">STDEV(P1134:OFFSET(P1134,-$R$5+1,0))</f>
        <v>1.2516105849250885</v>
      </c>
      <c r="S1134" s="18">
        <f t="shared" si="227"/>
        <v>68.600000000000364</v>
      </c>
      <c r="T1134" s="18">
        <f t="shared" si="228"/>
        <v>68.600000000000364</v>
      </c>
      <c r="U1134" s="18">
        <f t="shared" si="236"/>
        <v>114.41628806751976</v>
      </c>
      <c r="V1134" s="33">
        <f ca="1">AVERAGE(E1134:OFFSET(E1134,-V$5+1,0))</f>
        <v>6980.9949999999999</v>
      </c>
      <c r="W1134" s="33">
        <f t="shared" ca="1" si="229"/>
        <v>7152.6194321012799</v>
      </c>
      <c r="X1134" s="33">
        <f t="shared" ca="1" si="230"/>
        <v>6809.3705678987199</v>
      </c>
      <c r="Y1134" s="32">
        <f t="shared" ca="1" si="237"/>
        <v>0</v>
      </c>
    </row>
    <row r="1135" spans="1:25">
      <c r="A1135" s="5">
        <v>40038</v>
      </c>
      <c r="B1135" s="4">
        <v>6949.5</v>
      </c>
      <c r="C1135" s="4">
        <v>7037.47</v>
      </c>
      <c r="D1135" s="4">
        <v>6931.55</v>
      </c>
      <c r="E1135" s="4">
        <v>7034.96</v>
      </c>
      <c r="F1135" s="4">
        <v>4410000</v>
      </c>
      <c r="G1135" s="8">
        <f t="shared" si="239"/>
        <v>50.600000000000364</v>
      </c>
      <c r="H1135" s="8">
        <f t="shared" si="238"/>
        <v>85.460000000000036</v>
      </c>
      <c r="I1135" s="20">
        <f t="shared" ca="1" si="231"/>
        <v>0</v>
      </c>
      <c r="J1135" s="8">
        <f t="shared" ca="1" si="232"/>
        <v>3</v>
      </c>
      <c r="K1135" s="8">
        <f t="shared" ca="1" si="233"/>
        <v>408.1800000000012</v>
      </c>
      <c r="L1135" s="8">
        <f t="shared" ca="1" si="234"/>
        <v>16208.020000000008</v>
      </c>
      <c r="M1135" s="9">
        <f ca="1">AVERAGE(E1135:OFFSET(E1135,-M$5+1,0))</f>
        <v>6956.0040000000008</v>
      </c>
      <c r="N1135" s="9">
        <f ca="1">AVERAGE(E1135:OFFSET(E1135,-N$5+1,0))</f>
        <v>6963.8849999999993</v>
      </c>
      <c r="O1135" s="9">
        <f t="shared" ca="1" si="235"/>
        <v>-1</v>
      </c>
      <c r="P1135" s="14">
        <f t="shared" si="240"/>
        <v>1.9530026089162185</v>
      </c>
      <c r="Q1135" s="15">
        <f ca="1">STDEV(P1135:OFFSET(P1135,-$Q$5+1,0))</f>
        <v>1.0441122936137266</v>
      </c>
      <c r="R1135" s="15">
        <f ca="1">STDEV(P1135:OFFSET(P1135,-$R$5+1,0))</f>
        <v>1.2749224853524712</v>
      </c>
      <c r="S1135" s="18">
        <f t="shared" si="227"/>
        <v>105.92000000000007</v>
      </c>
      <c r="T1135" s="18">
        <f t="shared" si="228"/>
        <v>138.57000000000062</v>
      </c>
      <c r="U1135" s="18">
        <f t="shared" si="236"/>
        <v>117.63678299185055</v>
      </c>
      <c r="V1135" s="33">
        <f ca="1">AVERAGE(E1135:OFFSET(E1135,-V$5+1,0))</f>
        <v>6984.857857142857</v>
      </c>
      <c r="W1135" s="33">
        <f t="shared" ca="1" si="229"/>
        <v>7161.3130316306324</v>
      </c>
      <c r="X1135" s="33">
        <f t="shared" ca="1" si="230"/>
        <v>6808.4026826550817</v>
      </c>
      <c r="Y1135" s="32">
        <f t="shared" ca="1" si="237"/>
        <v>0</v>
      </c>
    </row>
    <row r="1136" spans="1:25">
      <c r="A1136" s="5">
        <v>40039</v>
      </c>
      <c r="B1136" s="4">
        <v>7091.82</v>
      </c>
      <c r="C1136" s="4">
        <v>7132.33</v>
      </c>
      <c r="D1136" s="4">
        <v>7062.49</v>
      </c>
      <c r="E1136" s="4">
        <v>7069.51</v>
      </c>
      <c r="F1136" s="4">
        <v>4547600</v>
      </c>
      <c r="G1136" s="8">
        <f t="shared" si="239"/>
        <v>56.859999999999673</v>
      </c>
      <c r="H1136" s="8">
        <f t="shared" si="238"/>
        <v>-22.309999999999491</v>
      </c>
      <c r="I1136" s="20">
        <f t="shared" ca="1" si="231"/>
        <v>0</v>
      </c>
      <c r="J1136" s="8">
        <f t="shared" ca="1" si="232"/>
        <v>3</v>
      </c>
      <c r="K1136" s="8">
        <f t="shared" ca="1" si="233"/>
        <v>103.65000000000055</v>
      </c>
      <c r="L1136" s="8">
        <f t="shared" ca="1" si="234"/>
        <v>16311.670000000009</v>
      </c>
      <c r="M1136" s="9">
        <f ca="1">AVERAGE(E1136:OFFSET(E1136,-M$5+1,0))</f>
        <v>6960.2440000000006</v>
      </c>
      <c r="N1136" s="9">
        <f ca="1">AVERAGE(E1136:OFFSET(E1136,-N$5+1,0))</f>
        <v>6978.3455000000004</v>
      </c>
      <c r="O1136" s="9">
        <f t="shared" ca="1" si="235"/>
        <v>0</v>
      </c>
      <c r="P1136" s="14">
        <f t="shared" si="240"/>
        <v>0.48991658821964457</v>
      </c>
      <c r="Q1136" s="15">
        <f ca="1">STDEV(P1136:OFFSET(P1136,-$Q$5+1,0))</f>
        <v>1.0231293700149797</v>
      </c>
      <c r="R1136" s="15">
        <f ca="1">STDEV(P1136:OFFSET(P1136,-$R$5+1,0))</f>
        <v>1.2614059125537007</v>
      </c>
      <c r="S1136" s="18">
        <f t="shared" si="227"/>
        <v>69.840000000000146</v>
      </c>
      <c r="T1136" s="18">
        <f t="shared" si="228"/>
        <v>97.369999999999891</v>
      </c>
      <c r="U1136" s="18">
        <f t="shared" si="236"/>
        <v>114.93454525960379</v>
      </c>
      <c r="V1136" s="33">
        <f ca="1">AVERAGE(E1136:OFFSET(E1136,-V$5+1,0))</f>
        <v>6991.7314285714292</v>
      </c>
      <c r="W1136" s="33">
        <f t="shared" ca="1" si="229"/>
        <v>7164.1332464608349</v>
      </c>
      <c r="X1136" s="33">
        <f t="shared" ca="1" si="230"/>
        <v>6819.3296106820235</v>
      </c>
      <c r="Y1136" s="32">
        <f t="shared" ca="1" si="237"/>
        <v>0</v>
      </c>
    </row>
    <row r="1137" spans="1:25">
      <c r="A1137" s="5">
        <v>40042</v>
      </c>
      <c r="B1137" s="4">
        <v>7034.27</v>
      </c>
      <c r="C1137" s="4">
        <v>7051.78</v>
      </c>
      <c r="D1137" s="4">
        <v>6931.8</v>
      </c>
      <c r="E1137" s="4">
        <v>6931.8</v>
      </c>
      <c r="F1137" s="4">
        <v>3537400</v>
      </c>
      <c r="G1137" s="8">
        <f t="shared" si="239"/>
        <v>-35.239999999999782</v>
      </c>
      <c r="H1137" s="8">
        <f t="shared" si="238"/>
        <v>-102.47000000000025</v>
      </c>
      <c r="I1137" s="20">
        <f t="shared" ca="1" si="231"/>
        <v>0</v>
      </c>
      <c r="J1137" s="8">
        <f t="shared" ca="1" si="232"/>
        <v>3</v>
      </c>
      <c r="K1137" s="8">
        <f t="shared" ca="1" si="233"/>
        <v>-413.13000000000011</v>
      </c>
      <c r="L1137" s="8">
        <f t="shared" ca="1" si="234"/>
        <v>15898.540000000008</v>
      </c>
      <c r="M1137" s="9">
        <f ca="1">AVERAGE(E1137:OFFSET(E1137,-M$5+1,0))</f>
        <v>6945.6530000000002</v>
      </c>
      <c r="N1137" s="9">
        <f ca="1">AVERAGE(E1137:OFFSET(E1137,-N$5+1,0))</f>
        <v>6982.3860000000004</v>
      </c>
      <c r="O1137" s="9">
        <f t="shared" ca="1" si="235"/>
        <v>0</v>
      </c>
      <c r="P1137" s="14">
        <f t="shared" si="240"/>
        <v>-1.9671650841061161</v>
      </c>
      <c r="Q1137" s="15">
        <f ca="1">STDEV(P1137:OFFSET(P1137,-$Q$5+1,0))</f>
        <v>1.172762853651395</v>
      </c>
      <c r="R1137" s="15">
        <f ca="1">STDEV(P1137:OFFSET(P1137,-$R$5+1,0))</f>
        <v>1.3013022956395615</v>
      </c>
      <c r="S1137" s="18">
        <f t="shared" si="227"/>
        <v>119.97999999999956</v>
      </c>
      <c r="T1137" s="18">
        <f t="shared" si="228"/>
        <v>137.71000000000004</v>
      </c>
      <c r="U1137" s="18">
        <f t="shared" si="236"/>
        <v>117.97127255832329</v>
      </c>
      <c r="V1137" s="33">
        <f ca="1">AVERAGE(E1137:OFFSET(E1137,-V$5+1,0))</f>
        <v>6984.829285714286</v>
      </c>
      <c r="W1137" s="33">
        <f t="shared" ca="1" si="229"/>
        <v>7161.7861945517707</v>
      </c>
      <c r="X1137" s="33">
        <f t="shared" ca="1" si="230"/>
        <v>6807.8723768768014</v>
      </c>
      <c r="Y1137" s="32">
        <f t="shared" ca="1" si="237"/>
        <v>0</v>
      </c>
    </row>
    <row r="1138" spans="1:25">
      <c r="A1138" s="5">
        <v>40043</v>
      </c>
      <c r="B1138" s="4">
        <v>6843.27</v>
      </c>
      <c r="C1138" s="4">
        <v>6904.64</v>
      </c>
      <c r="D1138" s="4">
        <v>6746.3</v>
      </c>
      <c r="E1138" s="4">
        <v>6789.77</v>
      </c>
      <c r="F1138" s="4">
        <v>4096400</v>
      </c>
      <c r="G1138" s="8">
        <f t="shared" si="239"/>
        <v>-88.529999999999745</v>
      </c>
      <c r="H1138" s="8">
        <f t="shared" si="238"/>
        <v>-53.5</v>
      </c>
      <c r="I1138" s="20">
        <f t="shared" ca="1" si="231"/>
        <v>0</v>
      </c>
      <c r="J1138" s="8">
        <f t="shared" ca="1" si="232"/>
        <v>3</v>
      </c>
      <c r="K1138" s="8">
        <f t="shared" ca="1" si="233"/>
        <v>-426.08999999999924</v>
      </c>
      <c r="L1138" s="8">
        <f t="shared" ca="1" si="234"/>
        <v>15472.450000000008</v>
      </c>
      <c r="M1138" s="9">
        <f ca="1">AVERAGE(E1138:OFFSET(E1138,-M$5+1,0))</f>
        <v>6918.9590000000007</v>
      </c>
      <c r="N1138" s="9">
        <f ca="1">AVERAGE(E1138:OFFSET(E1138,-N$5+1,0))</f>
        <v>6974.9314999999988</v>
      </c>
      <c r="O1138" s="9">
        <f t="shared" ca="1" si="235"/>
        <v>0</v>
      </c>
      <c r="P1138" s="14">
        <f t="shared" si="240"/>
        <v>-2.0702452081152369</v>
      </c>
      <c r="Q1138" s="15">
        <f ca="1">STDEV(P1138:OFFSET(P1138,-$Q$5+1,0))</f>
        <v>1.3133029326635324</v>
      </c>
      <c r="R1138" s="15">
        <f ca="1">STDEV(P1138:OFFSET(P1138,-$R$5+1,0))</f>
        <v>1.3294815883284232</v>
      </c>
      <c r="S1138" s="18">
        <f t="shared" si="227"/>
        <v>158.34000000000015</v>
      </c>
      <c r="T1138" s="18">
        <f t="shared" si="228"/>
        <v>185.5</v>
      </c>
      <c r="U1138" s="18">
        <f t="shared" si="236"/>
        <v>126.9751028838802</v>
      </c>
      <c r="V1138" s="33">
        <f ca="1">AVERAGE(E1138:OFFSET(E1138,-V$5+1,0))</f>
        <v>6959.625</v>
      </c>
      <c r="W1138" s="33">
        <f t="shared" ca="1" si="229"/>
        <v>7150.08765432582</v>
      </c>
      <c r="X1138" s="33">
        <f t="shared" ca="1" si="230"/>
        <v>6769.16234567418</v>
      </c>
      <c r="Y1138" s="32">
        <f t="shared" ca="1" si="237"/>
        <v>0</v>
      </c>
    </row>
    <row r="1139" spans="1:25">
      <c r="A1139" s="5">
        <v>40044</v>
      </c>
      <c r="B1139" s="4">
        <v>6843.69</v>
      </c>
      <c r="C1139" s="4">
        <v>6854.59</v>
      </c>
      <c r="D1139" s="4">
        <v>6786.79</v>
      </c>
      <c r="E1139" s="4">
        <v>6788.58</v>
      </c>
      <c r="F1139" s="4">
        <v>2661000</v>
      </c>
      <c r="G1139" s="8">
        <f t="shared" si="239"/>
        <v>53.919999999999163</v>
      </c>
      <c r="H1139" s="8">
        <f t="shared" si="238"/>
        <v>-55.109999999999673</v>
      </c>
      <c r="I1139" s="20">
        <f t="shared" ca="1" si="231"/>
        <v>0</v>
      </c>
      <c r="J1139" s="8">
        <f t="shared" ca="1" si="232"/>
        <v>3</v>
      </c>
      <c r="K1139" s="8">
        <f t="shared" ca="1" si="233"/>
        <v>-3.570000000001528</v>
      </c>
      <c r="L1139" s="8">
        <f t="shared" ca="1" si="234"/>
        <v>15468.880000000006</v>
      </c>
      <c r="M1139" s="9">
        <f ca="1">AVERAGE(E1139:OFFSET(E1139,-M$5+1,0))</f>
        <v>6902.2300000000005</v>
      </c>
      <c r="N1139" s="9">
        <f ca="1">AVERAGE(E1139:OFFSET(E1139,-N$5+1,0))</f>
        <v>6966.6934999999985</v>
      </c>
      <c r="O1139" s="9">
        <f t="shared" ca="1" si="235"/>
        <v>0</v>
      </c>
      <c r="P1139" s="14">
        <f t="shared" si="240"/>
        <v>-1.7527902919679171E-2</v>
      </c>
      <c r="Q1139" s="15">
        <f ca="1">STDEV(P1139:OFFSET(P1139,-$Q$5+1,0))</f>
        <v>1.2625361230502707</v>
      </c>
      <c r="R1139" s="15">
        <f ca="1">STDEV(P1139:OFFSET(P1139,-$R$5+1,0))</f>
        <v>1.2686506875369363</v>
      </c>
      <c r="S1139" s="18">
        <f t="shared" si="227"/>
        <v>67.800000000000182</v>
      </c>
      <c r="T1139" s="18">
        <f t="shared" si="228"/>
        <v>67.800000000000182</v>
      </c>
      <c r="U1139" s="18">
        <f t="shared" si="236"/>
        <v>119.08508916602953</v>
      </c>
      <c r="V1139" s="33">
        <f ca="1">AVERAGE(E1139:OFFSET(E1139,-V$5+1,0))</f>
        <v>6938.5500000000011</v>
      </c>
      <c r="W1139" s="33">
        <f t="shared" ca="1" si="229"/>
        <v>7117.1776337490455</v>
      </c>
      <c r="X1139" s="33">
        <f t="shared" ca="1" si="230"/>
        <v>6759.9223662509567</v>
      </c>
      <c r="Y1139" s="32">
        <f t="shared" ca="1" si="237"/>
        <v>0</v>
      </c>
    </row>
    <row r="1140" spans="1:25">
      <c r="A1140" s="5">
        <v>40045</v>
      </c>
      <c r="B1140" s="4">
        <v>6784.91</v>
      </c>
      <c r="C1140" s="4">
        <v>6784.91</v>
      </c>
      <c r="D1140" s="4">
        <v>6647.32</v>
      </c>
      <c r="E1140" s="4">
        <v>6733.23</v>
      </c>
      <c r="F1140" s="4">
        <v>3529000</v>
      </c>
      <c r="G1140" s="8">
        <f t="shared" si="239"/>
        <v>-3.6700000000000728</v>
      </c>
      <c r="H1140" s="8">
        <f t="shared" si="238"/>
        <v>-51.680000000000291</v>
      </c>
      <c r="I1140" s="20">
        <f t="shared" ca="1" si="231"/>
        <v>-1</v>
      </c>
      <c r="J1140" s="8">
        <f t="shared" ca="1" si="232"/>
        <v>3</v>
      </c>
      <c r="K1140" s="8">
        <f t="shared" ca="1" si="233"/>
        <v>-166.05000000000109</v>
      </c>
      <c r="L1140" s="8">
        <f t="shared" ca="1" si="234"/>
        <v>15302.830000000005</v>
      </c>
      <c r="M1140" s="9">
        <f ca="1">AVERAGE(E1140:OFFSET(E1140,-M$5+1,0))</f>
        <v>6890.7290000000012</v>
      </c>
      <c r="N1140" s="9">
        <f ca="1">AVERAGE(E1140:OFFSET(E1140,-N$5+1,0))</f>
        <v>6954.0889999999999</v>
      </c>
      <c r="O1140" s="9">
        <f t="shared" ca="1" si="235"/>
        <v>0</v>
      </c>
      <c r="P1140" s="14">
        <f t="shared" si="240"/>
        <v>-0.81868195379050879</v>
      </c>
      <c r="Q1140" s="15">
        <f ca="1">STDEV(P1140:OFFSET(P1140,-$Q$5+1,0))</f>
        <v>1.1967643104588754</v>
      </c>
      <c r="R1140" s="15">
        <f ca="1">STDEV(P1140:OFFSET(P1140,-$R$5+1,0))</f>
        <v>1.2020927062103719</v>
      </c>
      <c r="S1140" s="18">
        <f t="shared" si="227"/>
        <v>137.59000000000015</v>
      </c>
      <c r="T1140" s="18">
        <f t="shared" si="228"/>
        <v>141.26000000000022</v>
      </c>
      <c r="U1140" s="18">
        <f t="shared" si="236"/>
        <v>122.04174394389229</v>
      </c>
      <c r="V1140" s="33">
        <f ca="1">AVERAGE(E1140:OFFSET(E1140,-V$5+1,0))</f>
        <v>6917.5585714285717</v>
      </c>
      <c r="W1140" s="33">
        <f t="shared" ca="1" si="229"/>
        <v>7100.6211873444099</v>
      </c>
      <c r="X1140" s="33">
        <f t="shared" ca="1" si="230"/>
        <v>6734.4959555127334</v>
      </c>
      <c r="Y1140" s="32">
        <f t="shared" ca="1" si="237"/>
        <v>-1</v>
      </c>
    </row>
    <row r="1141" spans="1:25">
      <c r="A1141" s="5">
        <v>40046</v>
      </c>
      <c r="B1141" s="4">
        <v>6785.7</v>
      </c>
      <c r="C1141" s="4">
        <v>6824.65</v>
      </c>
      <c r="D1141" s="4">
        <v>6629.1</v>
      </c>
      <c r="E1141" s="4">
        <v>6654.8</v>
      </c>
      <c r="F1141" s="4">
        <v>3871400</v>
      </c>
      <c r="G1141" s="8">
        <f t="shared" si="239"/>
        <v>52.470000000000255</v>
      </c>
      <c r="H1141" s="8">
        <f t="shared" si="238"/>
        <v>-130.89999999999964</v>
      </c>
      <c r="I1141" s="20">
        <f t="shared" ca="1" si="231"/>
        <v>0</v>
      </c>
      <c r="J1141" s="8">
        <f t="shared" ca="1" si="232"/>
        <v>2</v>
      </c>
      <c r="K1141" s="8">
        <f t="shared" ca="1" si="233"/>
        <v>-104.38999999999851</v>
      </c>
      <c r="L1141" s="8">
        <f t="shared" ca="1" si="234"/>
        <v>15198.440000000006</v>
      </c>
      <c r="M1141" s="9">
        <f ca="1">AVERAGE(E1141:OFFSET(E1141,-M$5+1,0))</f>
        <v>6869.3440000000001</v>
      </c>
      <c r="N1141" s="9">
        <f ca="1">AVERAGE(E1141:OFFSET(E1141,-N$5+1,0))</f>
        <v>6937.7849999999989</v>
      </c>
      <c r="O1141" s="9">
        <f t="shared" ca="1" si="235"/>
        <v>0</v>
      </c>
      <c r="P1141" s="14">
        <f t="shared" si="240"/>
        <v>-1.171657028318581</v>
      </c>
      <c r="Q1141" s="15">
        <f ca="1">STDEV(P1141:OFFSET(P1141,-$Q$5+1,0))</f>
        <v>1.2229686653184768</v>
      </c>
      <c r="R1141" s="15">
        <f ca="1">STDEV(P1141:OFFSET(P1141,-$R$5+1,0))</f>
        <v>1.2064922083964982</v>
      </c>
      <c r="S1141" s="18">
        <f t="shared" ref="S1141:S1204" si="241">C1141-D1141</f>
        <v>195.54999999999927</v>
      </c>
      <c r="T1141" s="18">
        <f t="shared" ref="T1141:T1204" si="242">MAX(C1141,E1140)-MIN(D1141,E1140)</f>
        <v>195.54999999999927</v>
      </c>
      <c r="U1141" s="18">
        <f t="shared" si="236"/>
        <v>131.84284475137321</v>
      </c>
      <c r="V1141" s="33">
        <f ca="1">AVERAGE(E1141:OFFSET(E1141,-V$5+1,0))</f>
        <v>6887.3507142857143</v>
      </c>
      <c r="W1141" s="33">
        <f t="shared" ref="W1141:W1204" ca="1" si="243">V1141+W$5*U1141</f>
        <v>7085.1149814127739</v>
      </c>
      <c r="X1141" s="33">
        <f t="shared" ref="X1141:X1204" ca="1" si="244">V1141-W$5*U1141</f>
        <v>6689.5864471586547</v>
      </c>
      <c r="Y1141" s="32">
        <f t="shared" ca="1" si="237"/>
        <v>0</v>
      </c>
    </row>
    <row r="1142" spans="1:25">
      <c r="A1142" s="5">
        <v>40049</v>
      </c>
      <c r="B1142" s="4">
        <v>6766.76</v>
      </c>
      <c r="C1142" s="4">
        <v>6859.79</v>
      </c>
      <c r="D1142" s="4">
        <v>6762.68</v>
      </c>
      <c r="E1142" s="4">
        <v>6838.25</v>
      </c>
      <c r="F1142" s="4">
        <v>3082400</v>
      </c>
      <c r="G1142" s="8">
        <f t="shared" si="239"/>
        <v>111.96000000000004</v>
      </c>
      <c r="H1142" s="8">
        <f t="shared" si="238"/>
        <v>71.489999999999782</v>
      </c>
      <c r="I1142" s="20">
        <f t="shared" ref="I1142:I1205" ca="1" si="245">Y1142</f>
        <v>0</v>
      </c>
      <c r="J1142" s="8">
        <f t="shared" ref="J1142:J1205" ca="1" si="246">IF((J1141+I1141)&gt;=J$5,J$5,IF((J1141+I1141)&lt;=J$7,J$7,J1141+I1141))</f>
        <v>2</v>
      </c>
      <c r="K1142" s="8">
        <f t="shared" ref="K1142:K1205" ca="1" si="247">J1141*G1142+J1142*H1142</f>
        <v>366.89999999999964</v>
      </c>
      <c r="L1142" s="8">
        <f t="shared" ref="L1142:L1205" ca="1" si="248">L1141+K1142</f>
        <v>15565.340000000006</v>
      </c>
      <c r="M1142" s="9">
        <f ca="1">AVERAGE(E1142:OFFSET(E1142,-M$5+1,0))</f>
        <v>6864.8820000000005</v>
      </c>
      <c r="N1142" s="9">
        <f ca="1">AVERAGE(E1142:OFFSET(E1142,-N$5+1,0))</f>
        <v>6931.0335000000005</v>
      </c>
      <c r="O1142" s="9">
        <f t="shared" ref="O1142:O1205" ca="1" si="249">IF(AND(M1141&lt;=N1141,M1142&gt;N1142),1,IF(AND(M1141&gt;=N1141,M1142&lt;N1142),-1,0))</f>
        <v>0</v>
      </c>
      <c r="P1142" s="14">
        <f t="shared" si="240"/>
        <v>2.7193452143120833</v>
      </c>
      <c r="Q1142" s="15">
        <f ca="1">STDEV(P1142:OFFSET(P1142,-$Q$5+1,0))</f>
        <v>1.5553149953021299</v>
      </c>
      <c r="R1142" s="15">
        <f ca="1">STDEV(P1142:OFFSET(P1142,-$R$5+1,0))</f>
        <v>1.2768951090074288</v>
      </c>
      <c r="S1142" s="18">
        <f t="shared" si="241"/>
        <v>97.109999999999673</v>
      </c>
      <c r="T1142" s="18">
        <f t="shared" si="242"/>
        <v>204.98999999999978</v>
      </c>
      <c r="U1142" s="18">
        <f t="shared" ref="U1142:U1205" si="250">$U$5*T1142+(1-$U$5)*U1141</f>
        <v>141.59579878452342</v>
      </c>
      <c r="V1142" s="33">
        <f ca="1">AVERAGE(E1142:OFFSET(E1142,-V$5+1,0))</f>
        <v>6871.7464285714295</v>
      </c>
      <c r="W1142" s="33">
        <f t="shared" ca="1" si="243"/>
        <v>7084.1401267482142</v>
      </c>
      <c r="X1142" s="33">
        <f t="shared" ca="1" si="244"/>
        <v>6659.3527303946448</v>
      </c>
      <c r="Y1142" s="32">
        <f t="shared" ref="Y1142:Y1205" ca="1" si="251">IF(AND(E1141&gt;X1141,E1142&lt;X1142),-1,IF(AND(E1141&lt;W1141,E1142&gt;W1142),1,0))</f>
        <v>0</v>
      </c>
    </row>
    <row r="1143" spans="1:25">
      <c r="A1143" s="5">
        <v>40050</v>
      </c>
      <c r="B1143" s="4">
        <v>6840.27</v>
      </c>
      <c r="C1143" s="4">
        <v>6865.92</v>
      </c>
      <c r="D1143" s="4">
        <v>6800.35</v>
      </c>
      <c r="E1143" s="4">
        <v>6809.41</v>
      </c>
      <c r="F1143" s="4">
        <v>2951200</v>
      </c>
      <c r="G1143" s="8">
        <f t="shared" si="239"/>
        <v>2.0200000000004366</v>
      </c>
      <c r="H1143" s="8">
        <f t="shared" si="238"/>
        <v>-30.860000000000582</v>
      </c>
      <c r="I1143" s="20">
        <f t="shared" ca="1" si="245"/>
        <v>0</v>
      </c>
      <c r="J1143" s="8">
        <f t="shared" ca="1" si="246"/>
        <v>2</v>
      </c>
      <c r="K1143" s="8">
        <f t="shared" ca="1" si="247"/>
        <v>-57.680000000000291</v>
      </c>
      <c r="L1143" s="8">
        <f t="shared" ca="1" si="248"/>
        <v>15507.660000000005</v>
      </c>
      <c r="M1143" s="9">
        <f ca="1">AVERAGE(E1143:OFFSET(E1143,-M$5+1,0))</f>
        <v>6854.9210000000003</v>
      </c>
      <c r="N1143" s="9">
        <f ca="1">AVERAGE(E1143:OFFSET(E1143,-N$5+1,0))</f>
        <v>6920.0824999999995</v>
      </c>
      <c r="O1143" s="9">
        <f t="shared" ca="1" si="249"/>
        <v>0</v>
      </c>
      <c r="P1143" s="14">
        <f t="shared" si="240"/>
        <v>-0.42263718364691572</v>
      </c>
      <c r="Q1143" s="15">
        <f ca="1">STDEV(P1143:OFFSET(P1143,-$Q$5+1,0))</f>
        <v>1.550529221800554</v>
      </c>
      <c r="R1143" s="15">
        <f ca="1">STDEV(P1143:OFFSET(P1143,-$R$5+1,0))</f>
        <v>1.2637615267086806</v>
      </c>
      <c r="S1143" s="18">
        <f t="shared" si="241"/>
        <v>65.569999999999709</v>
      </c>
      <c r="T1143" s="18">
        <f t="shared" si="242"/>
        <v>65.569999999999709</v>
      </c>
      <c r="U1143" s="18">
        <f t="shared" si="250"/>
        <v>131.4590256132536</v>
      </c>
      <c r="V1143" s="33">
        <f ca="1">AVERAGE(E1143:OFFSET(E1143,-V$5+1,0))</f>
        <v>6861.2850000000008</v>
      </c>
      <c r="W1143" s="33">
        <f t="shared" ca="1" si="243"/>
        <v>7058.4735384198812</v>
      </c>
      <c r="X1143" s="33">
        <f t="shared" ca="1" si="244"/>
        <v>6664.0964615801204</v>
      </c>
      <c r="Y1143" s="32">
        <f t="shared" ca="1" si="251"/>
        <v>0</v>
      </c>
    </row>
    <row r="1144" spans="1:25">
      <c r="A1144" s="5">
        <v>40051</v>
      </c>
      <c r="B1144" s="4">
        <v>6816.42</v>
      </c>
      <c r="C1144" s="4">
        <v>6827.89</v>
      </c>
      <c r="D1144" s="4">
        <v>6663.84</v>
      </c>
      <c r="E1144" s="4">
        <v>6719.21</v>
      </c>
      <c r="F1144" s="4">
        <v>3765600</v>
      </c>
      <c r="G1144" s="8">
        <f t="shared" si="239"/>
        <v>7.0100000000002183</v>
      </c>
      <c r="H1144" s="8">
        <f t="shared" si="238"/>
        <v>-97.210000000000036</v>
      </c>
      <c r="I1144" s="20">
        <f t="shared" ca="1" si="245"/>
        <v>0</v>
      </c>
      <c r="J1144" s="8">
        <f t="shared" ca="1" si="246"/>
        <v>2</v>
      </c>
      <c r="K1144" s="8">
        <f t="shared" ca="1" si="247"/>
        <v>-180.39999999999964</v>
      </c>
      <c r="L1144" s="8">
        <f t="shared" ca="1" si="248"/>
        <v>15327.260000000006</v>
      </c>
      <c r="M1144" s="9">
        <f ca="1">AVERAGE(E1144:OFFSET(E1144,-M$5+1,0))</f>
        <v>6836.952000000002</v>
      </c>
      <c r="N1144" s="9">
        <f ca="1">AVERAGE(E1144:OFFSET(E1144,-N$5+1,0))</f>
        <v>6898.9114999999993</v>
      </c>
      <c r="O1144" s="9">
        <f t="shared" ca="1" si="249"/>
        <v>0</v>
      </c>
      <c r="P1144" s="14">
        <f t="shared" si="240"/>
        <v>-1.3334891009516248</v>
      </c>
      <c r="Q1144" s="15">
        <f ca="1">STDEV(P1144:OFFSET(P1144,-$Q$5+1,0))</f>
        <v>1.5954228620154034</v>
      </c>
      <c r="R1144" s="15">
        <f ca="1">STDEV(P1144:OFFSET(P1144,-$R$5+1,0))</f>
        <v>1.2828631430290469</v>
      </c>
      <c r="S1144" s="18">
        <f t="shared" si="241"/>
        <v>164.05000000000018</v>
      </c>
      <c r="T1144" s="18">
        <f t="shared" si="242"/>
        <v>164.05000000000018</v>
      </c>
      <c r="U1144" s="18">
        <f t="shared" si="250"/>
        <v>135.8044888648198</v>
      </c>
      <c r="V1144" s="33">
        <f ca="1">AVERAGE(E1144:OFFSET(E1144,-V$5+1,0))</f>
        <v>6852.0685714285728</v>
      </c>
      <c r="W1144" s="33">
        <f t="shared" ca="1" si="243"/>
        <v>7055.7753047258029</v>
      </c>
      <c r="X1144" s="33">
        <f t="shared" ca="1" si="244"/>
        <v>6648.3618381313427</v>
      </c>
      <c r="Y1144" s="32">
        <f t="shared" ca="1" si="251"/>
        <v>0</v>
      </c>
    </row>
    <row r="1145" spans="1:25">
      <c r="A1145" s="5">
        <v>40052</v>
      </c>
      <c r="B1145" s="4">
        <v>6678.24</v>
      </c>
      <c r="C1145" s="4">
        <v>6753.73</v>
      </c>
      <c r="D1145" s="4">
        <v>6658.73</v>
      </c>
      <c r="E1145" s="4">
        <v>6690.75</v>
      </c>
      <c r="F1145" s="4">
        <v>3009200</v>
      </c>
      <c r="G1145" s="8">
        <f t="shared" si="239"/>
        <v>-40.970000000000255</v>
      </c>
      <c r="H1145" s="8">
        <f t="shared" si="238"/>
        <v>12.510000000000218</v>
      </c>
      <c r="I1145" s="20">
        <f t="shared" ca="1" si="245"/>
        <v>0</v>
      </c>
      <c r="J1145" s="8">
        <f t="shared" ca="1" si="246"/>
        <v>2</v>
      </c>
      <c r="K1145" s="8">
        <f t="shared" ca="1" si="247"/>
        <v>-56.920000000000073</v>
      </c>
      <c r="L1145" s="8">
        <f t="shared" ca="1" si="248"/>
        <v>15270.340000000006</v>
      </c>
      <c r="M1145" s="9">
        <f ca="1">AVERAGE(E1145:OFFSET(E1145,-M$5+1,0))</f>
        <v>6802.5309999999999</v>
      </c>
      <c r="N1145" s="9">
        <f ca="1">AVERAGE(E1145:OFFSET(E1145,-N$5+1,0))</f>
        <v>6879.2675000000017</v>
      </c>
      <c r="O1145" s="9">
        <f t="shared" ca="1" si="249"/>
        <v>0</v>
      </c>
      <c r="P1145" s="14">
        <f t="shared" si="240"/>
        <v>-0.42446126207207663</v>
      </c>
      <c r="Q1145" s="15">
        <f ca="1">STDEV(P1145:OFFSET(P1145,-$Q$5+1,0))</f>
        <v>1.3926070737204128</v>
      </c>
      <c r="R1145" s="15">
        <f ca="1">STDEV(P1145:OFFSET(P1145,-$R$5+1,0))</f>
        <v>1.2369988738089555</v>
      </c>
      <c r="S1145" s="18">
        <f t="shared" si="241"/>
        <v>95</v>
      </c>
      <c r="T1145" s="18">
        <f t="shared" si="242"/>
        <v>95</v>
      </c>
      <c r="U1145" s="18">
        <f t="shared" si="250"/>
        <v>130.36389034951048</v>
      </c>
      <c r="V1145" s="33">
        <f ca="1">AVERAGE(E1145:OFFSET(E1145,-V$5+1,0))</f>
        <v>6839.3614285714293</v>
      </c>
      <c r="W1145" s="33">
        <f t="shared" ca="1" si="243"/>
        <v>7034.9072640956947</v>
      </c>
      <c r="X1145" s="33">
        <f t="shared" ca="1" si="244"/>
        <v>6643.8155930471639</v>
      </c>
      <c r="Y1145" s="32">
        <f t="shared" ca="1" si="251"/>
        <v>0</v>
      </c>
    </row>
    <row r="1146" spans="1:25">
      <c r="A1146" s="5">
        <v>40053</v>
      </c>
      <c r="B1146" s="4">
        <v>6727.42</v>
      </c>
      <c r="C1146" s="4">
        <v>6824.65</v>
      </c>
      <c r="D1146" s="4">
        <v>6711.16</v>
      </c>
      <c r="E1146" s="4">
        <v>6809.86</v>
      </c>
      <c r="F1146" s="4">
        <v>3223200</v>
      </c>
      <c r="G1146" s="8">
        <f t="shared" si="239"/>
        <v>36.670000000000073</v>
      </c>
      <c r="H1146" s="8">
        <f t="shared" si="238"/>
        <v>82.4399999999996</v>
      </c>
      <c r="I1146" s="20">
        <f t="shared" ca="1" si="245"/>
        <v>0</v>
      </c>
      <c r="J1146" s="8">
        <f t="shared" ca="1" si="246"/>
        <v>2</v>
      </c>
      <c r="K1146" s="8">
        <f t="shared" ca="1" si="247"/>
        <v>238.21999999999935</v>
      </c>
      <c r="L1146" s="8">
        <f t="shared" ca="1" si="248"/>
        <v>15508.560000000005</v>
      </c>
      <c r="M1146" s="9">
        <f ca="1">AVERAGE(E1146:OFFSET(E1146,-M$5+1,0))</f>
        <v>6776.5659999999989</v>
      </c>
      <c r="N1146" s="9">
        <f ca="1">AVERAGE(E1146:OFFSET(E1146,-N$5+1,0))</f>
        <v>6868.4050000000007</v>
      </c>
      <c r="O1146" s="9">
        <f t="shared" ca="1" si="249"/>
        <v>0</v>
      </c>
      <c r="P1146" s="14">
        <f t="shared" si="240"/>
        <v>1.7645586467299985</v>
      </c>
      <c r="Q1146" s="15">
        <f ca="1">STDEV(P1146:OFFSET(P1146,-$Q$5+1,0))</f>
        <v>1.5435976191093081</v>
      </c>
      <c r="R1146" s="15">
        <f ca="1">STDEV(P1146:OFFSET(P1146,-$R$5+1,0))</f>
        <v>1.2502478213851398</v>
      </c>
      <c r="S1146" s="18">
        <f t="shared" si="241"/>
        <v>113.48999999999978</v>
      </c>
      <c r="T1146" s="18">
        <f t="shared" si="242"/>
        <v>133.89999999999964</v>
      </c>
      <c r="U1146" s="18">
        <f t="shared" si="250"/>
        <v>130.83537163624237</v>
      </c>
      <c r="V1146" s="33">
        <f ca="1">AVERAGE(E1146:OFFSET(E1146,-V$5+1,0))</f>
        <v>6834.1464285714301</v>
      </c>
      <c r="W1146" s="33">
        <f t="shared" ca="1" si="243"/>
        <v>7030.3994860257935</v>
      </c>
      <c r="X1146" s="33">
        <f t="shared" ca="1" si="244"/>
        <v>6637.8933711170666</v>
      </c>
      <c r="Y1146" s="32">
        <f t="shared" ca="1" si="251"/>
        <v>0</v>
      </c>
    </row>
    <row r="1147" spans="1:25">
      <c r="A1147" s="5">
        <v>40056</v>
      </c>
      <c r="B1147" s="4">
        <v>6844.91</v>
      </c>
      <c r="C1147" s="4">
        <v>6848.96</v>
      </c>
      <c r="D1147" s="4">
        <v>6760.05</v>
      </c>
      <c r="E1147" s="4">
        <v>6825.95</v>
      </c>
      <c r="F1147" s="4">
        <v>3066000</v>
      </c>
      <c r="G1147" s="8">
        <f t="shared" si="239"/>
        <v>35.050000000000182</v>
      </c>
      <c r="H1147" s="8">
        <f t="shared" si="238"/>
        <v>-18.960000000000036</v>
      </c>
      <c r="I1147" s="20">
        <f t="shared" ca="1" si="245"/>
        <v>0</v>
      </c>
      <c r="J1147" s="8">
        <f t="shared" ca="1" si="246"/>
        <v>2</v>
      </c>
      <c r="K1147" s="8">
        <f t="shared" ca="1" si="247"/>
        <v>32.180000000000291</v>
      </c>
      <c r="L1147" s="8">
        <f t="shared" ca="1" si="248"/>
        <v>15540.740000000005</v>
      </c>
      <c r="M1147" s="9">
        <f ca="1">AVERAGE(E1147:OFFSET(E1147,-M$5+1,0))</f>
        <v>6765.9810000000016</v>
      </c>
      <c r="N1147" s="9">
        <f ca="1">AVERAGE(E1147:OFFSET(E1147,-N$5+1,0))</f>
        <v>6855.8170000000009</v>
      </c>
      <c r="O1147" s="9">
        <f t="shared" ca="1" si="249"/>
        <v>0</v>
      </c>
      <c r="P1147" s="14">
        <f t="shared" si="240"/>
        <v>0.2359963576446846</v>
      </c>
      <c r="Q1147" s="15">
        <f ca="1">STDEV(P1147:OFFSET(P1147,-$Q$5+1,0))</f>
        <v>1.4450542106040281</v>
      </c>
      <c r="R1147" s="15">
        <f ca="1">STDEV(P1147:OFFSET(P1147,-$R$5+1,0))</f>
        <v>1.2504998536090217</v>
      </c>
      <c r="S1147" s="18">
        <f t="shared" si="241"/>
        <v>88.909999999999854</v>
      </c>
      <c r="T1147" s="18">
        <f t="shared" si="242"/>
        <v>88.909999999999854</v>
      </c>
      <c r="U1147" s="18">
        <f t="shared" si="250"/>
        <v>125.24532208474336</v>
      </c>
      <c r="V1147" s="33">
        <f ca="1">AVERAGE(E1147:OFFSET(E1147,-V$5+1,0))</f>
        <v>6828.2128571428575</v>
      </c>
      <c r="W1147" s="33">
        <f t="shared" ca="1" si="243"/>
        <v>7016.0808402699722</v>
      </c>
      <c r="X1147" s="33">
        <f t="shared" ca="1" si="244"/>
        <v>6640.3448740157428</v>
      </c>
      <c r="Y1147" s="32">
        <f t="shared" ca="1" si="251"/>
        <v>0</v>
      </c>
    </row>
    <row r="1148" spans="1:25">
      <c r="A1148" s="5">
        <v>40057</v>
      </c>
      <c r="B1148" s="4">
        <v>6834.63</v>
      </c>
      <c r="C1148" s="4">
        <v>7019.75</v>
      </c>
      <c r="D1148" s="4">
        <v>6807.62</v>
      </c>
      <c r="E1148" s="4">
        <v>7019.75</v>
      </c>
      <c r="F1148" s="4">
        <v>4414000</v>
      </c>
      <c r="G1148" s="8">
        <f t="shared" si="239"/>
        <v>8.680000000000291</v>
      </c>
      <c r="H1148" s="8">
        <f t="shared" si="238"/>
        <v>185.11999999999989</v>
      </c>
      <c r="I1148" s="20">
        <f t="shared" ca="1" si="245"/>
        <v>0</v>
      </c>
      <c r="J1148" s="8">
        <f t="shared" ca="1" si="246"/>
        <v>2</v>
      </c>
      <c r="K1148" s="8">
        <f t="shared" ca="1" si="247"/>
        <v>387.60000000000036</v>
      </c>
      <c r="L1148" s="8">
        <f t="shared" ca="1" si="248"/>
        <v>15928.340000000006</v>
      </c>
      <c r="M1148" s="9">
        <f ca="1">AVERAGE(E1148:OFFSET(E1148,-M$5+1,0))</f>
        <v>6788.9790000000012</v>
      </c>
      <c r="N1148" s="9">
        <f ca="1">AVERAGE(E1148:OFFSET(E1148,-N$5+1,0))</f>
        <v>6853.9690000000001</v>
      </c>
      <c r="O1148" s="9">
        <f t="shared" ca="1" si="249"/>
        <v>0</v>
      </c>
      <c r="P1148" s="14">
        <f t="shared" si="240"/>
        <v>2.7996079344353642</v>
      </c>
      <c r="Q1148" s="15">
        <f ca="1">STDEV(P1148:OFFSET(P1148,-$Q$5+1,0))</f>
        <v>1.5446223157722669</v>
      </c>
      <c r="R1148" s="15">
        <f ca="1">STDEV(P1148:OFFSET(P1148,-$R$5+1,0))</f>
        <v>1.3221891933099679</v>
      </c>
      <c r="S1148" s="18">
        <f t="shared" si="241"/>
        <v>212.13000000000011</v>
      </c>
      <c r="T1148" s="18">
        <f t="shared" si="242"/>
        <v>212.13000000000011</v>
      </c>
      <c r="U1148" s="18">
        <f t="shared" si="250"/>
        <v>136.8299458067776</v>
      </c>
      <c r="V1148" s="33">
        <f ca="1">AVERAGE(E1148:OFFSET(E1148,-V$5+1,0))</f>
        <v>6836.8450000000012</v>
      </c>
      <c r="W1148" s="33">
        <f t="shared" ca="1" si="243"/>
        <v>7042.0899187101677</v>
      </c>
      <c r="X1148" s="33">
        <f t="shared" ca="1" si="244"/>
        <v>6631.6000812898346</v>
      </c>
      <c r="Y1148" s="32">
        <f t="shared" ca="1" si="251"/>
        <v>0</v>
      </c>
    </row>
    <row r="1149" spans="1:25">
      <c r="A1149" s="5">
        <v>40058</v>
      </c>
      <c r="B1149" s="4">
        <v>6966.18</v>
      </c>
      <c r="C1149" s="4">
        <v>7057.01</v>
      </c>
      <c r="D1149" s="4">
        <v>6961.01</v>
      </c>
      <c r="E1149" s="4">
        <v>7039.77</v>
      </c>
      <c r="F1149" s="4">
        <v>4190000</v>
      </c>
      <c r="G1149" s="8">
        <f t="shared" si="239"/>
        <v>-53.569999999999709</v>
      </c>
      <c r="H1149" s="8">
        <f t="shared" si="238"/>
        <v>73.590000000000146</v>
      </c>
      <c r="I1149" s="20">
        <f t="shared" ca="1" si="245"/>
        <v>1</v>
      </c>
      <c r="J1149" s="8">
        <f t="shared" ca="1" si="246"/>
        <v>2</v>
      </c>
      <c r="K1149" s="8">
        <f t="shared" ca="1" si="247"/>
        <v>40.040000000000873</v>
      </c>
      <c r="L1149" s="8">
        <f t="shared" ca="1" si="248"/>
        <v>15968.380000000006</v>
      </c>
      <c r="M1149" s="9">
        <f ca="1">AVERAGE(E1149:OFFSET(E1149,-M$5+1,0))</f>
        <v>6814.098</v>
      </c>
      <c r="N1149" s="9">
        <f ca="1">AVERAGE(E1149:OFFSET(E1149,-N$5+1,0))</f>
        <v>6858.1639999999998</v>
      </c>
      <c r="O1149" s="9">
        <f t="shared" ca="1" si="249"/>
        <v>0</v>
      </c>
      <c r="P1149" s="14">
        <f t="shared" si="240"/>
        <v>0.28478943137488588</v>
      </c>
      <c r="Q1149" s="15">
        <f ca="1">STDEV(P1149:OFFSET(P1149,-$Q$5+1,0))</f>
        <v>1.5399485577600458</v>
      </c>
      <c r="R1149" s="15">
        <f ca="1">STDEV(P1149:OFFSET(P1149,-$R$5+1,0))</f>
        <v>1.3153974567647675</v>
      </c>
      <c r="S1149" s="18">
        <f t="shared" si="241"/>
        <v>96</v>
      </c>
      <c r="T1149" s="18">
        <f t="shared" si="242"/>
        <v>96</v>
      </c>
      <c r="U1149" s="18">
        <f t="shared" si="250"/>
        <v>131.38595303254058</v>
      </c>
      <c r="V1149" s="33">
        <f ca="1">AVERAGE(E1149:OFFSET(E1149,-V$5+1,0))</f>
        <v>6837.1885714285718</v>
      </c>
      <c r="W1149" s="33">
        <f t="shared" ca="1" si="243"/>
        <v>7034.267500977383</v>
      </c>
      <c r="X1149" s="33">
        <f t="shared" ca="1" si="244"/>
        <v>6640.1096418797606</v>
      </c>
      <c r="Y1149" s="32">
        <f t="shared" ca="1" si="251"/>
        <v>1</v>
      </c>
    </row>
    <row r="1150" spans="1:25">
      <c r="A1150" s="5">
        <v>40059</v>
      </c>
      <c r="B1150" s="4">
        <v>7060.66</v>
      </c>
      <c r="C1150" s="4">
        <v>7131.31</v>
      </c>
      <c r="D1150" s="4">
        <v>7011.36</v>
      </c>
      <c r="E1150" s="4">
        <v>7104.65</v>
      </c>
      <c r="F1150" s="4">
        <v>4667200</v>
      </c>
      <c r="G1150" s="8">
        <f t="shared" si="239"/>
        <v>20.889999999999418</v>
      </c>
      <c r="H1150" s="8">
        <f t="shared" si="238"/>
        <v>43.989999999999782</v>
      </c>
      <c r="I1150" s="20">
        <f t="shared" ca="1" si="245"/>
        <v>0</v>
      </c>
      <c r="J1150" s="8">
        <f t="shared" ca="1" si="246"/>
        <v>3</v>
      </c>
      <c r="K1150" s="8">
        <f t="shared" ca="1" si="247"/>
        <v>173.74999999999818</v>
      </c>
      <c r="L1150" s="8">
        <f t="shared" ca="1" si="248"/>
        <v>16142.130000000005</v>
      </c>
      <c r="M1150" s="9">
        <f ca="1">AVERAGE(E1150:OFFSET(E1150,-M$5+1,0))</f>
        <v>6851.24</v>
      </c>
      <c r="N1150" s="9">
        <f ca="1">AVERAGE(E1150:OFFSET(E1150,-N$5+1,0))</f>
        <v>6870.9845000000014</v>
      </c>
      <c r="O1150" s="9">
        <f t="shared" ca="1" si="249"/>
        <v>0</v>
      </c>
      <c r="P1150" s="14">
        <f t="shared" si="240"/>
        <v>0.91740000702383051</v>
      </c>
      <c r="Q1150" s="15">
        <f ca="1">STDEV(P1150:OFFSET(P1150,-$Q$5+1,0))</f>
        <v>1.4888993932703978</v>
      </c>
      <c r="R1150" s="15">
        <f ca="1">STDEV(P1150:OFFSET(P1150,-$R$5+1,0))</f>
        <v>1.3144067930846737</v>
      </c>
      <c r="S1150" s="18">
        <f t="shared" si="241"/>
        <v>119.95000000000073</v>
      </c>
      <c r="T1150" s="18">
        <f t="shared" si="242"/>
        <v>119.95000000000073</v>
      </c>
      <c r="U1150" s="18">
        <f t="shared" si="250"/>
        <v>129.8611592948686</v>
      </c>
      <c r="V1150" s="33">
        <f ca="1">AVERAGE(E1150:OFFSET(E1150,-V$5+1,0))</f>
        <v>6839.6985714285702</v>
      </c>
      <c r="W1150" s="33">
        <f t="shared" ca="1" si="243"/>
        <v>7034.490310370873</v>
      </c>
      <c r="X1150" s="33">
        <f t="shared" ca="1" si="244"/>
        <v>6644.9068324862674</v>
      </c>
      <c r="Y1150" s="32">
        <f t="shared" ca="1" si="251"/>
        <v>0</v>
      </c>
    </row>
    <row r="1151" spans="1:25">
      <c r="A1151" s="5">
        <v>40060</v>
      </c>
      <c r="B1151" s="4">
        <v>7167.24</v>
      </c>
      <c r="C1151" s="4">
        <v>7178.54</v>
      </c>
      <c r="D1151" s="4">
        <v>7121.21</v>
      </c>
      <c r="E1151" s="4">
        <v>7153.13</v>
      </c>
      <c r="F1151" s="4">
        <v>4596200</v>
      </c>
      <c r="G1151" s="8">
        <f t="shared" si="239"/>
        <v>62.590000000000146</v>
      </c>
      <c r="H1151" s="8">
        <f t="shared" si="238"/>
        <v>-14.109999999999673</v>
      </c>
      <c r="I1151" s="20">
        <f t="shared" ca="1" si="245"/>
        <v>0</v>
      </c>
      <c r="J1151" s="8">
        <f t="shared" ca="1" si="246"/>
        <v>3</v>
      </c>
      <c r="K1151" s="8">
        <f t="shared" ca="1" si="247"/>
        <v>145.44000000000142</v>
      </c>
      <c r="L1151" s="8">
        <f t="shared" ca="1" si="248"/>
        <v>16287.570000000007</v>
      </c>
      <c r="M1151" s="9">
        <f ca="1">AVERAGE(E1151:OFFSET(E1151,-M$5+1,0))</f>
        <v>6901.0729999999994</v>
      </c>
      <c r="N1151" s="9">
        <f ca="1">AVERAGE(E1151:OFFSET(E1151,-N$5+1,0))</f>
        <v>6885.2085000000006</v>
      </c>
      <c r="O1151" s="9">
        <f t="shared" ca="1" si="249"/>
        <v>1</v>
      </c>
      <c r="P1151" s="14">
        <f t="shared" si="240"/>
        <v>0.68005239017915708</v>
      </c>
      <c r="Q1151" s="15">
        <f ca="1">STDEV(P1151:OFFSET(P1151,-$Q$5+1,0))</f>
        <v>1.3625820085115696</v>
      </c>
      <c r="R1151" s="15">
        <f ca="1">STDEV(P1151:OFFSET(P1151,-$R$5+1,0))</f>
        <v>1.3065301537329836</v>
      </c>
      <c r="S1151" s="18">
        <f t="shared" si="241"/>
        <v>57.329999999999927</v>
      </c>
      <c r="T1151" s="18">
        <f t="shared" si="242"/>
        <v>73.890000000000327</v>
      </c>
      <c r="U1151" s="18">
        <f t="shared" si="250"/>
        <v>122.39833805555284</v>
      </c>
      <c r="V1151" s="33">
        <f ca="1">AVERAGE(E1151:OFFSET(E1151,-V$5+1,0))</f>
        <v>6855.5078571428585</v>
      </c>
      <c r="W1151" s="33">
        <f t="shared" ca="1" si="243"/>
        <v>7039.1053642261877</v>
      </c>
      <c r="X1151" s="33">
        <f t="shared" ca="1" si="244"/>
        <v>6671.9103500595293</v>
      </c>
      <c r="Y1151" s="32">
        <f t="shared" ca="1" si="251"/>
        <v>0</v>
      </c>
    </row>
    <row r="1152" spans="1:25">
      <c r="A1152" s="5">
        <v>40063</v>
      </c>
      <c r="B1152" s="4">
        <v>7192.16</v>
      </c>
      <c r="C1152" s="4">
        <v>7240.34</v>
      </c>
      <c r="D1152" s="4">
        <v>7169.4</v>
      </c>
      <c r="E1152" s="4">
        <v>7224.59</v>
      </c>
      <c r="F1152" s="4">
        <v>4238800</v>
      </c>
      <c r="G1152" s="8">
        <f t="shared" si="239"/>
        <v>39.029999999999745</v>
      </c>
      <c r="H1152" s="8">
        <f t="shared" si="238"/>
        <v>32.430000000000291</v>
      </c>
      <c r="I1152" s="20">
        <f t="shared" ca="1" si="245"/>
        <v>0</v>
      </c>
      <c r="J1152" s="8">
        <f t="shared" ca="1" si="246"/>
        <v>3</v>
      </c>
      <c r="K1152" s="8">
        <f t="shared" ca="1" si="247"/>
        <v>214.38000000000011</v>
      </c>
      <c r="L1152" s="8">
        <f t="shared" ca="1" si="248"/>
        <v>16501.950000000008</v>
      </c>
      <c r="M1152" s="9">
        <f ca="1">AVERAGE(E1152:OFFSET(E1152,-M$5+1,0))</f>
        <v>6939.7069999999994</v>
      </c>
      <c r="N1152" s="9">
        <f ca="1">AVERAGE(E1152:OFFSET(E1152,-N$5+1,0))</f>
        <v>6902.2945000000009</v>
      </c>
      <c r="O1152" s="9">
        <f t="shared" ca="1" si="249"/>
        <v>0</v>
      </c>
      <c r="P1152" s="14">
        <f t="shared" si="240"/>
        <v>0.99404618297121183</v>
      </c>
      <c r="Q1152" s="15">
        <f ca="1">STDEV(P1152:OFFSET(P1152,-$Q$5+1,0))</f>
        <v>1.1783710142329773</v>
      </c>
      <c r="R1152" s="15">
        <f ca="1">STDEV(P1152:OFFSET(P1152,-$R$5+1,0))</f>
        <v>1.3131635663561558</v>
      </c>
      <c r="S1152" s="18">
        <f t="shared" si="241"/>
        <v>70.940000000000509</v>
      </c>
      <c r="T1152" s="18">
        <f t="shared" si="242"/>
        <v>87.210000000000036</v>
      </c>
      <c r="U1152" s="18">
        <f t="shared" si="250"/>
        <v>117.7065596481458</v>
      </c>
      <c r="V1152" s="33">
        <f ca="1">AVERAGE(E1152:OFFSET(E1152,-V$5+1,0))</f>
        <v>6886.5664285714292</v>
      </c>
      <c r="W1152" s="33">
        <f t="shared" ca="1" si="243"/>
        <v>7063.1262680436475</v>
      </c>
      <c r="X1152" s="33">
        <f t="shared" ca="1" si="244"/>
        <v>6710.0065890992109</v>
      </c>
      <c r="Y1152" s="32">
        <f t="shared" ca="1" si="251"/>
        <v>0</v>
      </c>
    </row>
    <row r="1153" spans="1:25">
      <c r="A1153" s="5">
        <v>40064</v>
      </c>
      <c r="B1153" s="4">
        <v>7263.23</v>
      </c>
      <c r="C1153" s="4">
        <v>7350.88</v>
      </c>
      <c r="D1153" s="4">
        <v>7202.69</v>
      </c>
      <c r="E1153" s="4">
        <v>7313.99</v>
      </c>
      <c r="F1153" s="4">
        <v>5261400</v>
      </c>
      <c r="G1153" s="8">
        <f t="shared" si="239"/>
        <v>38.639999999999418</v>
      </c>
      <c r="H1153" s="8">
        <f t="shared" si="238"/>
        <v>50.760000000000218</v>
      </c>
      <c r="I1153" s="20">
        <f t="shared" ca="1" si="245"/>
        <v>0</v>
      </c>
      <c r="J1153" s="8">
        <f t="shared" ca="1" si="246"/>
        <v>3</v>
      </c>
      <c r="K1153" s="8">
        <f t="shared" ca="1" si="247"/>
        <v>268.19999999999891</v>
      </c>
      <c r="L1153" s="8">
        <f t="shared" ca="1" si="248"/>
        <v>16770.150000000009</v>
      </c>
      <c r="M1153" s="9">
        <f ca="1">AVERAGE(E1153:OFFSET(E1153,-M$5+1,0))</f>
        <v>6990.1650000000009</v>
      </c>
      <c r="N1153" s="9">
        <f ca="1">AVERAGE(E1153:OFFSET(E1153,-N$5+1,0))</f>
        <v>6922.5430000000006</v>
      </c>
      <c r="O1153" s="9">
        <f t="shared" ca="1" si="249"/>
        <v>0</v>
      </c>
      <c r="P1153" s="14">
        <f t="shared" si="240"/>
        <v>1.2298467501890231</v>
      </c>
      <c r="Q1153" s="15">
        <f ca="1">STDEV(P1153:OFFSET(P1153,-$Q$5+1,0))</f>
        <v>1.1421952330695184</v>
      </c>
      <c r="R1153" s="15">
        <f ca="1">STDEV(P1153:OFFSET(P1153,-$R$5+1,0))</f>
        <v>1.1733294207720639</v>
      </c>
      <c r="S1153" s="18">
        <f t="shared" si="241"/>
        <v>148.19000000000051</v>
      </c>
      <c r="T1153" s="18">
        <f t="shared" si="242"/>
        <v>148.19000000000051</v>
      </c>
      <c r="U1153" s="18">
        <f t="shared" si="250"/>
        <v>121.77101836172642</v>
      </c>
      <c r="V1153" s="33">
        <f ca="1">AVERAGE(E1153:OFFSET(E1153,-V$5+1,0))</f>
        <v>6924.0957142857142</v>
      </c>
      <c r="W1153" s="33">
        <f t="shared" ca="1" si="243"/>
        <v>7106.7522418283042</v>
      </c>
      <c r="X1153" s="33">
        <f t="shared" ca="1" si="244"/>
        <v>6741.4391867431241</v>
      </c>
      <c r="Y1153" s="32">
        <f t="shared" ca="1" si="251"/>
        <v>0</v>
      </c>
    </row>
    <row r="1154" spans="1:25">
      <c r="A1154" s="5">
        <v>40065</v>
      </c>
      <c r="B1154" s="4">
        <v>7344.26</v>
      </c>
      <c r="C1154" s="4">
        <v>7363.11</v>
      </c>
      <c r="D1154" s="4">
        <v>7250.72</v>
      </c>
      <c r="E1154" s="4">
        <v>7250.72</v>
      </c>
      <c r="F1154" s="4">
        <v>4678400</v>
      </c>
      <c r="G1154" s="8">
        <f t="shared" si="239"/>
        <v>30.270000000000437</v>
      </c>
      <c r="H1154" s="8">
        <f t="shared" si="238"/>
        <v>-93.539999999999964</v>
      </c>
      <c r="I1154" s="20">
        <f t="shared" ca="1" si="245"/>
        <v>0</v>
      </c>
      <c r="J1154" s="8">
        <f t="shared" ca="1" si="246"/>
        <v>3</v>
      </c>
      <c r="K1154" s="8">
        <f t="shared" ca="1" si="247"/>
        <v>-189.80999999999858</v>
      </c>
      <c r="L1154" s="8">
        <f t="shared" ca="1" si="248"/>
        <v>16580.340000000011</v>
      </c>
      <c r="M1154" s="9">
        <f ca="1">AVERAGE(E1154:OFFSET(E1154,-M$5+1,0))</f>
        <v>7043.3159999999989</v>
      </c>
      <c r="N1154" s="9">
        <f ca="1">AVERAGE(E1154:OFFSET(E1154,-N$5+1,0))</f>
        <v>6940.1340000000009</v>
      </c>
      <c r="O1154" s="9">
        <f t="shared" ca="1" si="249"/>
        <v>0</v>
      </c>
      <c r="P1154" s="14">
        <f t="shared" si="240"/>
        <v>-0.86881782048817757</v>
      </c>
      <c r="Q1154" s="15">
        <f ca="1">STDEV(P1154:OFFSET(P1154,-$Q$5+1,0))</f>
        <v>1.0557894621176396</v>
      </c>
      <c r="R1154" s="15">
        <f ca="1">STDEV(P1154:OFFSET(P1154,-$R$5+1,0))</f>
        <v>1.1656863178715993</v>
      </c>
      <c r="S1154" s="18">
        <f t="shared" si="241"/>
        <v>112.38999999999942</v>
      </c>
      <c r="T1154" s="18">
        <f t="shared" si="242"/>
        <v>112.38999999999942</v>
      </c>
      <c r="U1154" s="18">
        <f t="shared" si="250"/>
        <v>120.52021591349616</v>
      </c>
      <c r="V1154" s="33">
        <f ca="1">AVERAGE(E1154:OFFSET(E1154,-V$5+1,0))</f>
        <v>6961.0592857142856</v>
      </c>
      <c r="W1154" s="33">
        <f t="shared" ca="1" si="243"/>
        <v>7141.8396095845301</v>
      </c>
      <c r="X1154" s="33">
        <f t="shared" ca="1" si="244"/>
        <v>6780.2789618440411</v>
      </c>
      <c r="Y1154" s="32">
        <f t="shared" ca="1" si="251"/>
        <v>0</v>
      </c>
    </row>
    <row r="1155" spans="1:25">
      <c r="A1155" s="5">
        <v>40066</v>
      </c>
      <c r="B1155" s="4">
        <v>7507.49</v>
      </c>
      <c r="C1155" s="4">
        <v>7507.49</v>
      </c>
      <c r="D1155" s="4">
        <v>7286.82</v>
      </c>
      <c r="E1155" s="4">
        <v>7332.08</v>
      </c>
      <c r="F1155" s="4">
        <v>5713400</v>
      </c>
      <c r="G1155" s="8">
        <f t="shared" si="239"/>
        <v>256.76999999999953</v>
      </c>
      <c r="H1155" s="8">
        <f t="shared" si="238"/>
        <v>-175.40999999999985</v>
      </c>
      <c r="I1155" s="20">
        <f t="shared" ca="1" si="245"/>
        <v>0</v>
      </c>
      <c r="J1155" s="8">
        <f t="shared" ca="1" si="246"/>
        <v>3</v>
      </c>
      <c r="K1155" s="8">
        <f t="shared" ca="1" si="247"/>
        <v>244.07999999999902</v>
      </c>
      <c r="L1155" s="8">
        <f t="shared" ca="1" si="248"/>
        <v>16824.420000000009</v>
      </c>
      <c r="M1155" s="9">
        <f ca="1">AVERAGE(E1155:OFFSET(E1155,-M$5+1,0))</f>
        <v>7107.4489999999987</v>
      </c>
      <c r="N1155" s="9">
        <f ca="1">AVERAGE(E1155:OFFSET(E1155,-N$5+1,0))</f>
        <v>6954.99</v>
      </c>
      <c r="O1155" s="9">
        <f t="shared" ca="1" si="249"/>
        <v>0</v>
      </c>
      <c r="P1155" s="14">
        <f t="shared" si="240"/>
        <v>1.1158466712208874</v>
      </c>
      <c r="Q1155" s="15">
        <f ca="1">STDEV(P1155:OFFSET(P1155,-$Q$5+1,0))</f>
        <v>0.97266161055845568</v>
      </c>
      <c r="R1155" s="15">
        <f ca="1">STDEV(P1155:OFFSET(P1155,-$R$5+1,0))</f>
        <v>1.1569027713644973</v>
      </c>
      <c r="S1155" s="18">
        <f t="shared" si="241"/>
        <v>220.67000000000007</v>
      </c>
      <c r="T1155" s="18">
        <f t="shared" si="242"/>
        <v>256.76999999999953</v>
      </c>
      <c r="U1155" s="18">
        <f t="shared" si="250"/>
        <v>138.68685379169659</v>
      </c>
      <c r="V1155" s="33">
        <f ca="1">AVERAGE(E1155:OFFSET(E1155,-V$5+1,0))</f>
        <v>7009.4364285714282</v>
      </c>
      <c r="W1155" s="33">
        <f t="shared" ca="1" si="243"/>
        <v>7217.4667092589734</v>
      </c>
      <c r="X1155" s="33">
        <f t="shared" ca="1" si="244"/>
        <v>6801.406147883883</v>
      </c>
      <c r="Y1155" s="32">
        <f t="shared" ca="1" si="251"/>
        <v>0</v>
      </c>
    </row>
    <row r="1156" spans="1:25">
      <c r="A1156" s="5">
        <v>40067</v>
      </c>
      <c r="B1156" s="4">
        <v>7300.01</v>
      </c>
      <c r="C1156" s="4">
        <v>7355.96</v>
      </c>
      <c r="D1156" s="4">
        <v>7295.85</v>
      </c>
      <c r="E1156" s="4">
        <v>7337.14</v>
      </c>
      <c r="F1156" s="4">
        <v>3511000</v>
      </c>
      <c r="G1156" s="8">
        <f t="shared" si="239"/>
        <v>-32.069999999999709</v>
      </c>
      <c r="H1156" s="8">
        <f t="shared" ref="H1156:H1219" si="252">E1156-B1156</f>
        <v>37.130000000000109</v>
      </c>
      <c r="I1156" s="20">
        <f t="shared" ca="1" si="245"/>
        <v>0</v>
      </c>
      <c r="J1156" s="8">
        <f t="shared" ca="1" si="246"/>
        <v>3</v>
      </c>
      <c r="K1156" s="8">
        <f t="shared" ca="1" si="247"/>
        <v>15.180000000001201</v>
      </c>
      <c r="L1156" s="8">
        <f t="shared" ca="1" si="248"/>
        <v>16839.600000000009</v>
      </c>
      <c r="M1156" s="9">
        <f ca="1">AVERAGE(E1156:OFFSET(E1156,-M$5+1,0))</f>
        <v>7160.1770000000006</v>
      </c>
      <c r="N1156" s="9">
        <f ca="1">AVERAGE(E1156:OFFSET(E1156,-N$5+1,0))</f>
        <v>6968.3714999999993</v>
      </c>
      <c r="O1156" s="9">
        <f t="shared" ca="1" si="249"/>
        <v>0</v>
      </c>
      <c r="P1156" s="14">
        <f t="shared" si="240"/>
        <v>6.8987992554281855E-2</v>
      </c>
      <c r="Q1156" s="15">
        <f ca="1">STDEV(P1156:OFFSET(P1156,-$Q$5+1,0))</f>
        <v>0.9558157654074142</v>
      </c>
      <c r="R1156" s="15">
        <f ca="1">STDEV(P1156:OFFSET(P1156,-$R$5+1,0))</f>
        <v>1.1552161539680026</v>
      </c>
      <c r="S1156" s="18">
        <f t="shared" si="241"/>
        <v>60.109999999999673</v>
      </c>
      <c r="T1156" s="18">
        <f t="shared" si="242"/>
        <v>60.109999999999673</v>
      </c>
      <c r="U1156" s="18">
        <f t="shared" si="250"/>
        <v>128.20993995280367</v>
      </c>
      <c r="V1156" s="33">
        <f ca="1">AVERAGE(E1156:OFFSET(E1156,-V$5+1,0))</f>
        <v>7045.0714285714284</v>
      </c>
      <c r="W1156" s="33">
        <f t="shared" ca="1" si="243"/>
        <v>7237.3863385006343</v>
      </c>
      <c r="X1156" s="33">
        <f t="shared" ca="1" si="244"/>
        <v>6852.7565186422225</v>
      </c>
      <c r="Y1156" s="32">
        <f t="shared" ca="1" si="251"/>
        <v>0</v>
      </c>
    </row>
    <row r="1157" spans="1:25">
      <c r="A1157" s="5">
        <v>40070</v>
      </c>
      <c r="B1157" s="4">
        <v>7337.04</v>
      </c>
      <c r="C1157" s="4">
        <v>7350.92</v>
      </c>
      <c r="D1157" s="4">
        <v>7218.18</v>
      </c>
      <c r="E1157" s="4">
        <v>7256.95</v>
      </c>
      <c r="F1157" s="4">
        <v>3366800</v>
      </c>
      <c r="G1157" s="8">
        <f t="shared" ref="G1157:G1220" si="253">B1157-E1156</f>
        <v>-0.1000000000003638</v>
      </c>
      <c r="H1157" s="8">
        <f t="shared" si="252"/>
        <v>-80.090000000000146</v>
      </c>
      <c r="I1157" s="20">
        <f t="shared" ca="1" si="245"/>
        <v>0</v>
      </c>
      <c r="J1157" s="8">
        <f t="shared" ca="1" si="246"/>
        <v>3</v>
      </c>
      <c r="K1157" s="8">
        <f t="shared" ca="1" si="247"/>
        <v>-240.57000000000153</v>
      </c>
      <c r="L1157" s="8">
        <f t="shared" ca="1" si="248"/>
        <v>16599.030000000006</v>
      </c>
      <c r="M1157" s="9">
        <f ca="1">AVERAGE(E1157:OFFSET(E1157,-M$5+1,0))</f>
        <v>7203.277</v>
      </c>
      <c r="N1157" s="9">
        <f ca="1">AVERAGE(E1157:OFFSET(E1157,-N$5+1,0))</f>
        <v>6984.6290000000026</v>
      </c>
      <c r="O1157" s="9">
        <f t="shared" ca="1" si="249"/>
        <v>0</v>
      </c>
      <c r="P1157" s="14">
        <f t="shared" ref="P1157:P1220" si="254">100*LN(E1157/E1156)</f>
        <v>-1.098949054536007</v>
      </c>
      <c r="Q1157" s="15">
        <f ca="1">STDEV(P1157:OFFSET(P1157,-$Q$5+1,0))</f>
        <v>1.1149080788670354</v>
      </c>
      <c r="R1157" s="15">
        <f ca="1">STDEV(P1157:OFFSET(P1157,-$R$5+1,0))</f>
        <v>1.1647308133183716</v>
      </c>
      <c r="S1157" s="18">
        <f t="shared" si="241"/>
        <v>132.73999999999978</v>
      </c>
      <c r="T1157" s="18">
        <f t="shared" si="242"/>
        <v>132.73999999999978</v>
      </c>
      <c r="U1157" s="18">
        <f t="shared" si="250"/>
        <v>128.81394795909648</v>
      </c>
      <c r="V1157" s="33">
        <f ca="1">AVERAGE(E1157:OFFSET(E1157,-V$5+1,0))</f>
        <v>7077.0385714285721</v>
      </c>
      <c r="W1157" s="33">
        <f t="shared" ca="1" si="243"/>
        <v>7270.2594933672171</v>
      </c>
      <c r="X1157" s="33">
        <f t="shared" ca="1" si="244"/>
        <v>6883.8176494899271</v>
      </c>
      <c r="Y1157" s="32">
        <f t="shared" ca="1" si="251"/>
        <v>0</v>
      </c>
    </row>
    <row r="1158" spans="1:25">
      <c r="A1158" s="5">
        <v>40071</v>
      </c>
      <c r="B1158" s="4">
        <v>7269.9</v>
      </c>
      <c r="C1158" s="4">
        <v>7362.16</v>
      </c>
      <c r="D1158" s="4">
        <v>7252.33</v>
      </c>
      <c r="E1158" s="4">
        <v>7346.26</v>
      </c>
      <c r="F1158" s="4">
        <v>3504400</v>
      </c>
      <c r="G1158" s="8">
        <f t="shared" si="253"/>
        <v>12.949999999999818</v>
      </c>
      <c r="H1158" s="8">
        <f t="shared" si="252"/>
        <v>76.360000000000582</v>
      </c>
      <c r="I1158" s="20">
        <f t="shared" ca="1" si="245"/>
        <v>1</v>
      </c>
      <c r="J1158" s="8">
        <f t="shared" ca="1" si="246"/>
        <v>3</v>
      </c>
      <c r="K1158" s="8">
        <f t="shared" ca="1" si="247"/>
        <v>267.9300000000012</v>
      </c>
      <c r="L1158" s="8">
        <f t="shared" ca="1" si="248"/>
        <v>16866.960000000006</v>
      </c>
      <c r="M1158" s="9">
        <f ca="1">AVERAGE(E1158:OFFSET(E1158,-M$5+1,0))</f>
        <v>7235.9279999999999</v>
      </c>
      <c r="N1158" s="9">
        <f ca="1">AVERAGE(E1158:OFFSET(E1158,-N$5+1,0))</f>
        <v>7012.4535000000014</v>
      </c>
      <c r="O1158" s="9">
        <f t="shared" ca="1" si="249"/>
        <v>0</v>
      </c>
      <c r="P1158" s="14">
        <f t="shared" si="254"/>
        <v>1.2231709809667062</v>
      </c>
      <c r="Q1158" s="15">
        <f ca="1">STDEV(P1158:OFFSET(P1158,-$Q$5+1,0))</f>
        <v>0.85162931918831386</v>
      </c>
      <c r="R1158" s="15">
        <f ca="1">STDEV(P1158:OFFSET(P1158,-$R$5+1,0))</f>
        <v>1.1634825499314232</v>
      </c>
      <c r="S1158" s="18">
        <f t="shared" si="241"/>
        <v>109.82999999999993</v>
      </c>
      <c r="T1158" s="18">
        <f t="shared" si="242"/>
        <v>109.82999999999993</v>
      </c>
      <c r="U1158" s="18">
        <f t="shared" si="250"/>
        <v>126.28275489788361</v>
      </c>
      <c r="V1158" s="33">
        <f ca="1">AVERAGE(E1158:OFFSET(E1158,-V$5+1,0))</f>
        <v>7121.8278571428555</v>
      </c>
      <c r="W1158" s="33">
        <f t="shared" ca="1" si="243"/>
        <v>7311.2519894896805</v>
      </c>
      <c r="X1158" s="33">
        <f t="shared" ca="1" si="244"/>
        <v>6932.4037247960305</v>
      </c>
      <c r="Y1158" s="32">
        <f t="shared" ca="1" si="251"/>
        <v>1</v>
      </c>
    </row>
    <row r="1159" spans="1:25">
      <c r="A1159" s="5">
        <v>40072</v>
      </c>
      <c r="B1159" s="4">
        <v>7414.96</v>
      </c>
      <c r="C1159" s="4">
        <v>7457.4</v>
      </c>
      <c r="D1159" s="4">
        <v>7391.84</v>
      </c>
      <c r="E1159" s="4">
        <v>7440.24</v>
      </c>
      <c r="F1159" s="4">
        <v>4713200</v>
      </c>
      <c r="G1159" s="8">
        <f t="shared" si="253"/>
        <v>68.699999999999818</v>
      </c>
      <c r="H1159" s="8">
        <f t="shared" si="252"/>
        <v>25.279999999999745</v>
      </c>
      <c r="I1159" s="20">
        <f t="shared" ca="1" si="245"/>
        <v>0</v>
      </c>
      <c r="J1159" s="8">
        <f t="shared" ca="1" si="246"/>
        <v>3</v>
      </c>
      <c r="K1159" s="8">
        <f t="shared" ca="1" si="247"/>
        <v>281.93999999999869</v>
      </c>
      <c r="L1159" s="8">
        <f t="shared" ca="1" si="248"/>
        <v>17148.900000000005</v>
      </c>
      <c r="M1159" s="9">
        <f ca="1">AVERAGE(E1159:OFFSET(E1159,-M$5+1,0))</f>
        <v>7275.9750000000004</v>
      </c>
      <c r="N1159" s="9">
        <f ca="1">AVERAGE(E1159:OFFSET(E1159,-N$5+1,0))</f>
        <v>7045.0364999999993</v>
      </c>
      <c r="O1159" s="9">
        <f t="shared" ca="1" si="249"/>
        <v>0</v>
      </c>
      <c r="P1159" s="14">
        <f t="shared" si="254"/>
        <v>1.2711766206712451</v>
      </c>
      <c r="Q1159" s="15">
        <f ca="1">STDEV(P1159:OFFSET(P1159,-$Q$5+1,0))</f>
        <v>0.88619314209532662</v>
      </c>
      <c r="R1159" s="15">
        <f ca="1">STDEV(P1159:OFFSET(P1159,-$R$5+1,0))</f>
        <v>1.177078236839914</v>
      </c>
      <c r="S1159" s="18">
        <f t="shared" si="241"/>
        <v>65.559999999999491</v>
      </c>
      <c r="T1159" s="18">
        <f t="shared" si="242"/>
        <v>111.13999999999942</v>
      </c>
      <c r="U1159" s="18">
        <f t="shared" si="250"/>
        <v>124.26372091149905</v>
      </c>
      <c r="V1159" s="33">
        <f ca="1">AVERAGE(E1159:OFFSET(E1159,-V$5+1,0))</f>
        <v>7175.3628571428562</v>
      </c>
      <c r="W1159" s="33">
        <f t="shared" ca="1" si="243"/>
        <v>7361.7584385101045</v>
      </c>
      <c r="X1159" s="33">
        <f t="shared" ca="1" si="244"/>
        <v>6988.967275775608</v>
      </c>
      <c r="Y1159" s="32">
        <f t="shared" ca="1" si="251"/>
        <v>0</v>
      </c>
    </row>
    <row r="1160" spans="1:25">
      <c r="A1160" s="5">
        <v>40073</v>
      </c>
      <c r="B1160" s="4">
        <v>7502.69</v>
      </c>
      <c r="C1160" s="4">
        <v>7513.73</v>
      </c>
      <c r="D1160" s="4">
        <v>7451.3</v>
      </c>
      <c r="E1160" s="4">
        <v>7477.3</v>
      </c>
      <c r="F1160" s="4">
        <v>5246000</v>
      </c>
      <c r="G1160" s="8">
        <f t="shared" si="253"/>
        <v>62.449999999999818</v>
      </c>
      <c r="H1160" s="8">
        <f t="shared" si="252"/>
        <v>-25.389999999999418</v>
      </c>
      <c r="I1160" s="20">
        <f t="shared" ca="1" si="245"/>
        <v>0</v>
      </c>
      <c r="J1160" s="8">
        <f t="shared" ca="1" si="246"/>
        <v>3</v>
      </c>
      <c r="K1160" s="8">
        <f t="shared" ca="1" si="247"/>
        <v>111.1800000000012</v>
      </c>
      <c r="L1160" s="8">
        <f t="shared" ca="1" si="248"/>
        <v>17260.080000000005</v>
      </c>
      <c r="M1160" s="9">
        <f ca="1">AVERAGE(E1160:OFFSET(E1160,-M$5+1,0))</f>
        <v>7313.2400000000007</v>
      </c>
      <c r="N1160" s="9">
        <f ca="1">AVERAGE(E1160:OFFSET(E1160,-N$5+1,0))</f>
        <v>7082.24</v>
      </c>
      <c r="O1160" s="9">
        <f t="shared" ca="1" si="249"/>
        <v>0</v>
      </c>
      <c r="P1160" s="14">
        <f t="shared" si="254"/>
        <v>0.49686578676358689</v>
      </c>
      <c r="Q1160" s="15">
        <f ca="1">STDEV(P1160:OFFSET(P1160,-$Q$5+1,0))</f>
        <v>0.87692363427284037</v>
      </c>
      <c r="R1160" s="15">
        <f ca="1">STDEV(P1160:OFFSET(P1160,-$R$5+1,0))</f>
        <v>1.1773333038749607</v>
      </c>
      <c r="S1160" s="18">
        <f t="shared" si="241"/>
        <v>62.429999999999382</v>
      </c>
      <c r="T1160" s="18">
        <f t="shared" si="242"/>
        <v>73.489999999999782</v>
      </c>
      <c r="U1160" s="18">
        <f t="shared" si="250"/>
        <v>117.49389145663248</v>
      </c>
      <c r="V1160" s="33">
        <f ca="1">AVERAGE(E1160:OFFSET(E1160,-V$5+1,0))</f>
        <v>7223.0371428571434</v>
      </c>
      <c r="W1160" s="33">
        <f t="shared" ca="1" si="243"/>
        <v>7399.2779800420922</v>
      </c>
      <c r="X1160" s="33">
        <f t="shared" ca="1" si="244"/>
        <v>7046.7963056721946</v>
      </c>
      <c r="Y1160" s="32">
        <f t="shared" ca="1" si="251"/>
        <v>0</v>
      </c>
    </row>
    <row r="1161" spans="1:25">
      <c r="A1161" s="5">
        <v>40074</v>
      </c>
      <c r="B1161" s="4">
        <v>7463.39</v>
      </c>
      <c r="C1161" s="4">
        <v>7526.55</v>
      </c>
      <c r="D1161" s="4">
        <v>7434.83</v>
      </c>
      <c r="E1161" s="4">
        <v>7526.55</v>
      </c>
      <c r="F1161" s="4">
        <v>4007200</v>
      </c>
      <c r="G1161" s="8">
        <f t="shared" si="253"/>
        <v>-13.909999999999854</v>
      </c>
      <c r="H1161" s="8">
        <f t="shared" si="252"/>
        <v>63.159999999999854</v>
      </c>
      <c r="I1161" s="20">
        <f t="shared" ca="1" si="245"/>
        <v>0</v>
      </c>
      <c r="J1161" s="8">
        <f t="shared" ca="1" si="246"/>
        <v>3</v>
      </c>
      <c r="K1161" s="8">
        <f t="shared" ca="1" si="247"/>
        <v>147.75</v>
      </c>
      <c r="L1161" s="8">
        <f t="shared" ca="1" si="248"/>
        <v>17407.830000000005</v>
      </c>
      <c r="M1161" s="9">
        <f ca="1">AVERAGE(E1161:OFFSET(E1161,-M$5+1,0))</f>
        <v>7350.5819999999994</v>
      </c>
      <c r="N1161" s="9">
        <f ca="1">AVERAGE(E1161:OFFSET(E1161,-N$5+1,0))</f>
        <v>7125.8274999999994</v>
      </c>
      <c r="O1161" s="9">
        <f t="shared" ca="1" si="249"/>
        <v>0</v>
      </c>
      <c r="P1161" s="14">
        <f t="shared" si="254"/>
        <v>0.65650052335311337</v>
      </c>
      <c r="Q1161" s="15">
        <f ca="1">STDEV(P1161:OFFSET(P1161,-$Q$5+1,0))</f>
        <v>0.87645132040727081</v>
      </c>
      <c r="R1161" s="15">
        <f ca="1">STDEV(P1161:OFFSET(P1161,-$R$5+1,0))</f>
        <v>1.1791715295095142</v>
      </c>
      <c r="S1161" s="18">
        <f t="shared" si="241"/>
        <v>91.720000000000255</v>
      </c>
      <c r="T1161" s="18">
        <f t="shared" si="242"/>
        <v>91.720000000000255</v>
      </c>
      <c r="U1161" s="18">
        <f t="shared" si="250"/>
        <v>114.05737259574819</v>
      </c>
      <c r="V1161" s="33">
        <f ca="1">AVERAGE(E1161:OFFSET(E1161,-V$5+1,0))</f>
        <v>7273.0800000000008</v>
      </c>
      <c r="W1161" s="33">
        <f t="shared" ca="1" si="243"/>
        <v>7444.1660588936229</v>
      </c>
      <c r="X1161" s="33">
        <f t="shared" ca="1" si="244"/>
        <v>7101.9939411063788</v>
      </c>
      <c r="Y1161" s="32">
        <f t="shared" ca="1" si="251"/>
        <v>0</v>
      </c>
    </row>
    <row r="1162" spans="1:25">
      <c r="A1162" s="5">
        <v>40077</v>
      </c>
      <c r="B1162" s="4">
        <v>7523</v>
      </c>
      <c r="C1162" s="4">
        <v>7558.88</v>
      </c>
      <c r="D1162" s="4">
        <v>7439.03</v>
      </c>
      <c r="E1162" s="4">
        <v>7502.46</v>
      </c>
      <c r="F1162" s="4">
        <v>4405600</v>
      </c>
      <c r="G1162" s="8">
        <f t="shared" si="253"/>
        <v>-3.5500000000001819</v>
      </c>
      <c r="H1162" s="8">
        <f t="shared" si="252"/>
        <v>-20.539999999999964</v>
      </c>
      <c r="I1162" s="20">
        <f t="shared" ca="1" si="245"/>
        <v>0</v>
      </c>
      <c r="J1162" s="8">
        <f t="shared" ca="1" si="246"/>
        <v>3</v>
      </c>
      <c r="K1162" s="8">
        <f t="shared" ca="1" si="247"/>
        <v>-72.270000000000437</v>
      </c>
      <c r="L1162" s="8">
        <f t="shared" ca="1" si="248"/>
        <v>17335.560000000005</v>
      </c>
      <c r="M1162" s="9">
        <f ca="1">AVERAGE(E1162:OFFSET(E1162,-M$5+1,0))</f>
        <v>7378.3690000000006</v>
      </c>
      <c r="N1162" s="9">
        <f ca="1">AVERAGE(E1162:OFFSET(E1162,-N$5+1,0))</f>
        <v>7159.0379999999986</v>
      </c>
      <c r="O1162" s="9">
        <f t="shared" ca="1" si="249"/>
        <v>0</v>
      </c>
      <c r="P1162" s="14">
        <f t="shared" si="254"/>
        <v>-0.32058027283790541</v>
      </c>
      <c r="Q1162" s="15">
        <f ca="1">STDEV(P1162:OFFSET(P1162,-$Q$5+1,0))</f>
        <v>0.89400864640978384</v>
      </c>
      <c r="R1162" s="15">
        <f ca="1">STDEV(P1162:OFFSET(P1162,-$R$5+1,0))</f>
        <v>1.181012249559755</v>
      </c>
      <c r="S1162" s="18">
        <f t="shared" si="241"/>
        <v>119.85000000000036</v>
      </c>
      <c r="T1162" s="18">
        <f t="shared" si="242"/>
        <v>119.85000000000036</v>
      </c>
      <c r="U1162" s="18">
        <f t="shared" si="250"/>
        <v>114.82972291631515</v>
      </c>
      <c r="V1162" s="33">
        <f ca="1">AVERAGE(E1162:OFFSET(E1162,-V$5+1,0))</f>
        <v>7307.5592857142865</v>
      </c>
      <c r="W1162" s="33">
        <f t="shared" ca="1" si="243"/>
        <v>7479.8038700887591</v>
      </c>
      <c r="X1162" s="33">
        <f t="shared" ca="1" si="244"/>
        <v>7135.3147013398138</v>
      </c>
      <c r="Y1162" s="32">
        <f t="shared" ca="1" si="251"/>
        <v>0</v>
      </c>
    </row>
    <row r="1163" spans="1:25">
      <c r="A1163" s="5">
        <v>40078</v>
      </c>
      <c r="B1163" s="4">
        <v>7522.83</v>
      </c>
      <c r="C1163" s="4">
        <v>7526.23</v>
      </c>
      <c r="D1163" s="4">
        <v>7463.41</v>
      </c>
      <c r="E1163" s="4">
        <v>7469.03</v>
      </c>
      <c r="F1163" s="4">
        <v>4144200</v>
      </c>
      <c r="G1163" s="8">
        <f t="shared" si="253"/>
        <v>20.369999999999891</v>
      </c>
      <c r="H1163" s="8">
        <f t="shared" si="252"/>
        <v>-53.800000000000182</v>
      </c>
      <c r="I1163" s="20">
        <f t="shared" ca="1" si="245"/>
        <v>0</v>
      </c>
      <c r="J1163" s="8">
        <f t="shared" ca="1" si="246"/>
        <v>3</v>
      </c>
      <c r="K1163" s="8">
        <f t="shared" ca="1" si="247"/>
        <v>-100.29000000000087</v>
      </c>
      <c r="L1163" s="8">
        <f t="shared" ca="1" si="248"/>
        <v>17235.270000000004</v>
      </c>
      <c r="M1163" s="9">
        <f ca="1">AVERAGE(E1163:OFFSET(E1163,-M$5+1,0))</f>
        <v>7393.8730000000014</v>
      </c>
      <c r="N1163" s="9">
        <f ca="1">AVERAGE(E1163:OFFSET(E1163,-N$5+1,0))</f>
        <v>7192.0190000000002</v>
      </c>
      <c r="O1163" s="9">
        <f t="shared" ca="1" si="249"/>
        <v>0</v>
      </c>
      <c r="P1163" s="14">
        <f t="shared" si="254"/>
        <v>-0.44658287932065227</v>
      </c>
      <c r="Q1163" s="15">
        <f ca="1">STDEV(P1163:OFFSET(P1163,-$Q$5+1,0))</f>
        <v>0.87334096595216371</v>
      </c>
      <c r="R1163" s="15">
        <f ca="1">STDEV(P1163:OFFSET(P1163,-$R$5+1,0))</f>
        <v>1.1809276354881537</v>
      </c>
      <c r="S1163" s="18">
        <f t="shared" si="241"/>
        <v>62.819999999999709</v>
      </c>
      <c r="T1163" s="18">
        <f t="shared" si="242"/>
        <v>62.819999999999709</v>
      </c>
      <c r="U1163" s="18">
        <f t="shared" si="250"/>
        <v>107.89509319413976</v>
      </c>
      <c r="V1163" s="33">
        <f ca="1">AVERAGE(E1163:OFFSET(E1163,-V$5+1,0))</f>
        <v>7338.2207142857151</v>
      </c>
      <c r="W1163" s="33">
        <f t="shared" ca="1" si="243"/>
        <v>7500.063354076925</v>
      </c>
      <c r="X1163" s="33">
        <f t="shared" ca="1" si="244"/>
        <v>7176.3780744945052</v>
      </c>
      <c r="Y1163" s="32">
        <f t="shared" ca="1" si="251"/>
        <v>0</v>
      </c>
    </row>
    <row r="1164" spans="1:25">
      <c r="A1164" s="5">
        <v>40079</v>
      </c>
      <c r="B1164" s="4">
        <v>7493.98</v>
      </c>
      <c r="C1164" s="4">
        <v>7534.66</v>
      </c>
      <c r="D1164" s="4">
        <v>7352.23</v>
      </c>
      <c r="E1164" s="4">
        <v>7376.76</v>
      </c>
      <c r="F1164" s="4">
        <v>4639400</v>
      </c>
      <c r="G1164" s="8">
        <f t="shared" si="253"/>
        <v>24.949999999999818</v>
      </c>
      <c r="H1164" s="8">
        <f t="shared" si="252"/>
        <v>-117.21999999999935</v>
      </c>
      <c r="I1164" s="20">
        <f t="shared" ca="1" si="245"/>
        <v>0</v>
      </c>
      <c r="J1164" s="8">
        <f t="shared" ca="1" si="246"/>
        <v>3</v>
      </c>
      <c r="K1164" s="8">
        <f t="shared" ca="1" si="247"/>
        <v>-276.80999999999858</v>
      </c>
      <c r="L1164" s="8">
        <f t="shared" ca="1" si="248"/>
        <v>16958.460000000006</v>
      </c>
      <c r="M1164" s="9">
        <f ca="1">AVERAGE(E1164:OFFSET(E1164,-M$5+1,0))</f>
        <v>7406.4770000000008</v>
      </c>
      <c r="N1164" s="9">
        <f ca="1">AVERAGE(E1164:OFFSET(E1164,-N$5+1,0))</f>
        <v>7224.8965000000007</v>
      </c>
      <c r="O1164" s="9">
        <f t="shared" ca="1" si="249"/>
        <v>0</v>
      </c>
      <c r="P1164" s="14">
        <f t="shared" si="254"/>
        <v>-1.2430620146103666</v>
      </c>
      <c r="Q1164" s="15">
        <f ca="1">STDEV(P1164:OFFSET(P1164,-$Q$5+1,0))</f>
        <v>0.93082264650497004</v>
      </c>
      <c r="R1164" s="15">
        <f ca="1">STDEV(P1164:OFFSET(P1164,-$R$5+1,0))</f>
        <v>1.17670286262475</v>
      </c>
      <c r="S1164" s="18">
        <f t="shared" si="241"/>
        <v>182.43000000000029</v>
      </c>
      <c r="T1164" s="18">
        <f t="shared" si="242"/>
        <v>182.43000000000029</v>
      </c>
      <c r="U1164" s="18">
        <f t="shared" si="250"/>
        <v>117.8330807682545</v>
      </c>
      <c r="V1164" s="33">
        <f ca="1">AVERAGE(E1164:OFFSET(E1164,-V$5+1,0))</f>
        <v>7357.6571428571433</v>
      </c>
      <c r="W1164" s="33">
        <f t="shared" ca="1" si="243"/>
        <v>7534.4067640095254</v>
      </c>
      <c r="X1164" s="33">
        <f t="shared" ca="1" si="244"/>
        <v>7180.9075217047612</v>
      </c>
      <c r="Y1164" s="32">
        <f t="shared" ca="1" si="251"/>
        <v>0</v>
      </c>
    </row>
    <row r="1165" spans="1:25">
      <c r="A1165" s="5">
        <v>40080</v>
      </c>
      <c r="B1165" s="4">
        <v>7372.11</v>
      </c>
      <c r="C1165" s="4">
        <v>7386.99</v>
      </c>
      <c r="D1165" s="4">
        <v>7280.04</v>
      </c>
      <c r="E1165" s="4">
        <v>7324.22</v>
      </c>
      <c r="F1165" s="4">
        <v>3257400</v>
      </c>
      <c r="G1165" s="8">
        <f t="shared" si="253"/>
        <v>-4.6500000000005457</v>
      </c>
      <c r="H1165" s="8">
        <f t="shared" si="252"/>
        <v>-47.889999999999418</v>
      </c>
      <c r="I1165" s="20">
        <f t="shared" ca="1" si="245"/>
        <v>0</v>
      </c>
      <c r="J1165" s="8">
        <f t="shared" ca="1" si="246"/>
        <v>3</v>
      </c>
      <c r="K1165" s="8">
        <f t="shared" ca="1" si="247"/>
        <v>-157.61999999999989</v>
      </c>
      <c r="L1165" s="8">
        <f t="shared" ca="1" si="248"/>
        <v>16800.840000000007</v>
      </c>
      <c r="M1165" s="9">
        <f ca="1">AVERAGE(E1165:OFFSET(E1165,-M$5+1,0))</f>
        <v>7405.6910000000007</v>
      </c>
      <c r="N1165" s="9">
        <f ca="1">AVERAGE(E1165:OFFSET(E1165,-N$5+1,0))</f>
        <v>7256.57</v>
      </c>
      <c r="O1165" s="9">
        <f t="shared" ca="1" si="249"/>
        <v>0</v>
      </c>
      <c r="P1165" s="14">
        <f t="shared" si="254"/>
        <v>-0.71478532311133147</v>
      </c>
      <c r="Q1165" s="15">
        <f ca="1">STDEV(P1165:OFFSET(P1165,-$Q$5+1,0))</f>
        <v>0.90428197138964894</v>
      </c>
      <c r="R1165" s="15">
        <f ca="1">STDEV(P1165:OFFSET(P1165,-$R$5+1,0))</f>
        <v>1.1745665155875891</v>
      </c>
      <c r="S1165" s="18">
        <f t="shared" si="241"/>
        <v>106.94999999999982</v>
      </c>
      <c r="T1165" s="18">
        <f t="shared" si="242"/>
        <v>106.94999999999982</v>
      </c>
      <c r="U1165" s="18">
        <f t="shared" si="250"/>
        <v>116.38200333248722</v>
      </c>
      <c r="V1165" s="33">
        <f ca="1">AVERAGE(E1165:OFFSET(E1165,-V$5+1,0))</f>
        <v>7369.8778571428566</v>
      </c>
      <c r="W1165" s="33">
        <f t="shared" ca="1" si="243"/>
        <v>7544.4508621415871</v>
      </c>
      <c r="X1165" s="33">
        <f t="shared" ca="1" si="244"/>
        <v>7195.304852144126</v>
      </c>
      <c r="Y1165" s="32">
        <f t="shared" ca="1" si="251"/>
        <v>0</v>
      </c>
    </row>
    <row r="1166" spans="1:25">
      <c r="A1166" s="5">
        <v>40081</v>
      </c>
      <c r="B1166" s="4">
        <v>7298.37</v>
      </c>
      <c r="C1166" s="4">
        <v>7361.93</v>
      </c>
      <c r="D1166" s="4">
        <v>7284.33</v>
      </c>
      <c r="E1166" s="4">
        <v>7345.22</v>
      </c>
      <c r="F1166" s="4">
        <v>3383600</v>
      </c>
      <c r="G1166" s="8">
        <f t="shared" si="253"/>
        <v>-25.850000000000364</v>
      </c>
      <c r="H1166" s="8">
        <f t="shared" si="252"/>
        <v>46.850000000000364</v>
      </c>
      <c r="I1166" s="20">
        <f t="shared" ca="1" si="245"/>
        <v>0</v>
      </c>
      <c r="J1166" s="8">
        <f t="shared" ca="1" si="246"/>
        <v>3</v>
      </c>
      <c r="K1166" s="8">
        <f t="shared" ca="1" si="247"/>
        <v>63</v>
      </c>
      <c r="L1166" s="8">
        <f t="shared" ca="1" si="248"/>
        <v>16863.840000000007</v>
      </c>
      <c r="M1166" s="9">
        <f ca="1">AVERAGE(E1166:OFFSET(E1166,-M$5+1,0))</f>
        <v>7406.4989999999989</v>
      </c>
      <c r="N1166" s="9">
        <f ca="1">AVERAGE(E1166:OFFSET(E1166,-N$5+1,0))</f>
        <v>7283.3380000000006</v>
      </c>
      <c r="O1166" s="9">
        <f t="shared" ca="1" si="249"/>
        <v>0</v>
      </c>
      <c r="P1166" s="14">
        <f t="shared" si="254"/>
        <v>0.28630969342135859</v>
      </c>
      <c r="Q1166" s="15">
        <f ca="1">STDEV(P1166:OFFSET(P1166,-$Q$5+1,0))</f>
        <v>0.90900958690963074</v>
      </c>
      <c r="R1166" s="15">
        <f ca="1">STDEV(P1166:OFFSET(P1166,-$R$5+1,0))</f>
        <v>1.166121255674867</v>
      </c>
      <c r="S1166" s="18">
        <f t="shared" si="241"/>
        <v>77.600000000000364</v>
      </c>
      <c r="T1166" s="18">
        <f t="shared" si="242"/>
        <v>77.600000000000364</v>
      </c>
      <c r="U1166" s="18">
        <f t="shared" si="250"/>
        <v>111.21106955482232</v>
      </c>
      <c r="V1166" s="33">
        <f ca="1">AVERAGE(E1166:OFFSET(E1166,-V$5+1,0))</f>
        <v>7378.494285714286</v>
      </c>
      <c r="W1166" s="33">
        <f t="shared" ca="1" si="243"/>
        <v>7545.3108900465195</v>
      </c>
      <c r="X1166" s="33">
        <f t="shared" ca="1" si="244"/>
        <v>7211.6776813820525</v>
      </c>
      <c r="Y1166" s="32">
        <f t="shared" ca="1" si="251"/>
        <v>0</v>
      </c>
    </row>
    <row r="1167" spans="1:25">
      <c r="A1167" s="5">
        <v>40084</v>
      </c>
      <c r="B1167" s="4">
        <v>7332.49</v>
      </c>
      <c r="C1167" s="4">
        <v>7354.8</v>
      </c>
      <c r="D1167" s="4">
        <v>7257.63</v>
      </c>
      <c r="E1167" s="4">
        <v>7284.61</v>
      </c>
      <c r="F1167" s="4">
        <v>2706200</v>
      </c>
      <c r="G1167" s="8">
        <f t="shared" si="253"/>
        <v>-12.730000000000473</v>
      </c>
      <c r="H1167" s="8">
        <f t="shared" si="252"/>
        <v>-47.880000000000109</v>
      </c>
      <c r="I1167" s="20">
        <f t="shared" ca="1" si="245"/>
        <v>0</v>
      </c>
      <c r="J1167" s="8">
        <f t="shared" ca="1" si="246"/>
        <v>3</v>
      </c>
      <c r="K1167" s="8">
        <f t="shared" ca="1" si="247"/>
        <v>-181.83000000000175</v>
      </c>
      <c r="L1167" s="8">
        <f t="shared" ca="1" si="248"/>
        <v>16682.010000000006</v>
      </c>
      <c r="M1167" s="9">
        <f ca="1">AVERAGE(E1167:OFFSET(E1167,-M$5+1,0))</f>
        <v>7409.2649999999994</v>
      </c>
      <c r="N1167" s="9">
        <f ca="1">AVERAGE(E1167:OFFSET(E1167,-N$5+1,0))</f>
        <v>7306.2709999999988</v>
      </c>
      <c r="O1167" s="9">
        <f t="shared" ca="1" si="249"/>
        <v>0</v>
      </c>
      <c r="P1167" s="14">
        <f t="shared" si="254"/>
        <v>-0.82858579719382441</v>
      </c>
      <c r="Q1167" s="15">
        <f ca="1">STDEV(P1167:OFFSET(P1167,-$Q$5+1,0))</f>
        <v>0.87574033289932418</v>
      </c>
      <c r="R1167" s="15">
        <f ca="1">STDEV(P1167:OFFSET(P1167,-$R$5+1,0))</f>
        <v>1.1711048378122131</v>
      </c>
      <c r="S1167" s="18">
        <f t="shared" si="241"/>
        <v>97.170000000000073</v>
      </c>
      <c r="T1167" s="18">
        <f t="shared" si="242"/>
        <v>97.170000000000073</v>
      </c>
      <c r="U1167" s="18">
        <f t="shared" si="250"/>
        <v>109.33892694751268</v>
      </c>
      <c r="V1167" s="33">
        <f ca="1">AVERAGE(E1167:OFFSET(E1167,-V$5+1,0))</f>
        <v>7376.3957142857153</v>
      </c>
      <c r="W1167" s="33">
        <f t="shared" ca="1" si="243"/>
        <v>7540.4041047069841</v>
      </c>
      <c r="X1167" s="33">
        <f t="shared" ca="1" si="244"/>
        <v>7212.3873238644464</v>
      </c>
      <c r="Y1167" s="32">
        <f t="shared" ca="1" si="251"/>
        <v>0</v>
      </c>
    </row>
    <row r="1168" spans="1:25">
      <c r="A1168" s="5">
        <v>40085</v>
      </c>
      <c r="B1168" s="4">
        <v>7385.84</v>
      </c>
      <c r="C1168" s="4">
        <v>7436.29</v>
      </c>
      <c r="D1168" s="4">
        <v>7378.97</v>
      </c>
      <c r="E1168" s="4">
        <v>7429.98</v>
      </c>
      <c r="F1168" s="4">
        <v>3576200</v>
      </c>
      <c r="G1168" s="8">
        <f t="shared" si="253"/>
        <v>101.23000000000047</v>
      </c>
      <c r="H1168" s="8">
        <f t="shared" si="252"/>
        <v>44.139999999999418</v>
      </c>
      <c r="I1168" s="20">
        <f t="shared" ca="1" si="245"/>
        <v>0</v>
      </c>
      <c r="J1168" s="8">
        <f t="shared" ca="1" si="246"/>
        <v>3</v>
      </c>
      <c r="K1168" s="8">
        <f t="shared" ca="1" si="247"/>
        <v>436.10999999999967</v>
      </c>
      <c r="L1168" s="8">
        <f t="shared" ca="1" si="248"/>
        <v>17118.120000000006</v>
      </c>
      <c r="M1168" s="9">
        <f ca="1">AVERAGE(E1168:OFFSET(E1168,-M$5+1,0))</f>
        <v>7417.6369999999997</v>
      </c>
      <c r="N1168" s="9">
        <f ca="1">AVERAGE(E1168:OFFSET(E1168,-N$5+1,0))</f>
        <v>7326.7824999999993</v>
      </c>
      <c r="O1168" s="9">
        <f t="shared" ca="1" si="249"/>
        <v>0</v>
      </c>
      <c r="P1168" s="14">
        <f t="shared" si="254"/>
        <v>1.9759263382128363</v>
      </c>
      <c r="Q1168" s="15">
        <f ca="1">STDEV(P1168:OFFSET(P1168,-$Q$5+1,0))</f>
        <v>1.0108571730208109</v>
      </c>
      <c r="R1168" s="15">
        <f ca="1">STDEV(P1168:OFFSET(P1168,-$R$5+1,0))</f>
        <v>1.2073207889774866</v>
      </c>
      <c r="S1168" s="18">
        <f t="shared" si="241"/>
        <v>57.319999999999709</v>
      </c>
      <c r="T1168" s="18">
        <f t="shared" si="242"/>
        <v>151.68000000000029</v>
      </c>
      <c r="U1168" s="18">
        <f t="shared" si="250"/>
        <v>114.98440335451102</v>
      </c>
      <c r="V1168" s="33">
        <f ca="1">AVERAGE(E1168:OFFSET(E1168,-V$5+1,0))</f>
        <v>7389.2</v>
      </c>
      <c r="W1168" s="33">
        <f t="shared" ca="1" si="243"/>
        <v>7561.6766050317665</v>
      </c>
      <c r="X1168" s="33">
        <f t="shared" ca="1" si="244"/>
        <v>7216.7233949682332</v>
      </c>
      <c r="Y1168" s="32">
        <f t="shared" ca="1" si="251"/>
        <v>0</v>
      </c>
    </row>
    <row r="1169" spans="1:25">
      <c r="A1169" s="5">
        <v>40086</v>
      </c>
      <c r="B1169" s="4">
        <v>7456.57</v>
      </c>
      <c r="C1169" s="4">
        <v>7534.55</v>
      </c>
      <c r="D1169" s="4">
        <v>7443.88</v>
      </c>
      <c r="E1169" s="4">
        <v>7509.17</v>
      </c>
      <c r="F1169" s="4">
        <v>4198800</v>
      </c>
      <c r="G1169" s="8">
        <f t="shared" si="253"/>
        <v>26.590000000000146</v>
      </c>
      <c r="H1169" s="8">
        <f t="shared" si="252"/>
        <v>52.600000000000364</v>
      </c>
      <c r="I1169" s="20">
        <f t="shared" ca="1" si="245"/>
        <v>0</v>
      </c>
      <c r="J1169" s="8">
        <f t="shared" ca="1" si="246"/>
        <v>3</v>
      </c>
      <c r="K1169" s="8">
        <f t="shared" ca="1" si="247"/>
        <v>237.57000000000153</v>
      </c>
      <c r="L1169" s="8">
        <f t="shared" ca="1" si="248"/>
        <v>17355.69000000001</v>
      </c>
      <c r="M1169" s="9">
        <f ca="1">AVERAGE(E1169:OFFSET(E1169,-M$5+1,0))</f>
        <v>7424.5300000000007</v>
      </c>
      <c r="N1169" s="9">
        <f ca="1">AVERAGE(E1169:OFFSET(E1169,-N$5+1,0))</f>
        <v>7350.2525000000005</v>
      </c>
      <c r="O1169" s="9">
        <f t="shared" ca="1" si="249"/>
        <v>0</v>
      </c>
      <c r="P1169" s="14">
        <f t="shared" si="254"/>
        <v>1.0601773424740426</v>
      </c>
      <c r="Q1169" s="15">
        <f ca="1">STDEV(P1169:OFFSET(P1169,-$Q$5+1,0))</f>
        <v>0.98589745300386722</v>
      </c>
      <c r="R1169" s="15">
        <f ca="1">STDEV(P1169:OFFSET(P1169,-$R$5+1,0))</f>
        <v>1.1886142001168072</v>
      </c>
      <c r="S1169" s="18">
        <f t="shared" si="241"/>
        <v>90.670000000000073</v>
      </c>
      <c r="T1169" s="18">
        <f t="shared" si="242"/>
        <v>104.57000000000062</v>
      </c>
      <c r="U1169" s="18">
        <f t="shared" si="250"/>
        <v>113.5958162405763</v>
      </c>
      <c r="V1169" s="33">
        <f ca="1">AVERAGE(E1169:OFFSET(E1169,-V$5+1,0))</f>
        <v>7401.8492857142855</v>
      </c>
      <c r="W1169" s="33">
        <f t="shared" ca="1" si="243"/>
        <v>7572.2430100751499</v>
      </c>
      <c r="X1169" s="33">
        <f t="shared" ca="1" si="244"/>
        <v>7231.4555613534212</v>
      </c>
      <c r="Y1169" s="32">
        <f t="shared" ca="1" si="251"/>
        <v>0</v>
      </c>
    </row>
    <row r="1170" spans="1:25">
      <c r="A1170" s="5">
        <v>40087</v>
      </c>
      <c r="B1170" s="4">
        <v>7581.38</v>
      </c>
      <c r="C1170" s="4">
        <v>7599.62</v>
      </c>
      <c r="D1170" s="4">
        <v>7492.62</v>
      </c>
      <c r="E1170" s="4">
        <v>7545.29</v>
      </c>
      <c r="F1170" s="4">
        <v>4968000</v>
      </c>
      <c r="G1170" s="8">
        <f t="shared" si="253"/>
        <v>72.210000000000036</v>
      </c>
      <c r="H1170" s="8">
        <f t="shared" si="252"/>
        <v>-36.090000000000146</v>
      </c>
      <c r="I1170" s="20">
        <f t="shared" ca="1" si="245"/>
        <v>0</v>
      </c>
      <c r="J1170" s="8">
        <f t="shared" ca="1" si="246"/>
        <v>3</v>
      </c>
      <c r="K1170" s="8">
        <f t="shared" ca="1" si="247"/>
        <v>108.35999999999967</v>
      </c>
      <c r="L1170" s="8">
        <f t="shared" ca="1" si="248"/>
        <v>17464.05000000001</v>
      </c>
      <c r="M1170" s="9">
        <f ca="1">AVERAGE(E1170:OFFSET(E1170,-M$5+1,0))</f>
        <v>7431.3289999999997</v>
      </c>
      <c r="N1170" s="9">
        <f ca="1">AVERAGE(E1170:OFFSET(E1170,-N$5+1,0))</f>
        <v>7372.2845000000016</v>
      </c>
      <c r="O1170" s="9">
        <f t="shared" ca="1" si="249"/>
        <v>0</v>
      </c>
      <c r="P1170" s="14">
        <f t="shared" si="254"/>
        <v>0.47985871707858696</v>
      </c>
      <c r="Q1170" s="15">
        <f ca="1">STDEV(P1170:OFFSET(P1170,-$Q$5+1,0))</f>
        <v>0.98513623830938746</v>
      </c>
      <c r="R1170" s="15">
        <f ca="1">STDEV(P1170:OFFSET(P1170,-$R$5+1,0))</f>
        <v>1.1548495513438677</v>
      </c>
      <c r="S1170" s="18">
        <f t="shared" si="241"/>
        <v>107</v>
      </c>
      <c r="T1170" s="18">
        <f t="shared" si="242"/>
        <v>107</v>
      </c>
      <c r="U1170" s="18">
        <f t="shared" si="250"/>
        <v>112.71637407516613</v>
      </c>
      <c r="V1170" s="33">
        <f ca="1">AVERAGE(E1170:OFFSET(E1170,-V$5+1,0))</f>
        <v>7416.717142857141</v>
      </c>
      <c r="W1170" s="33">
        <f t="shared" ca="1" si="243"/>
        <v>7585.7917039698905</v>
      </c>
      <c r="X1170" s="33">
        <f t="shared" ca="1" si="244"/>
        <v>7247.6425817443915</v>
      </c>
      <c r="Y1170" s="32">
        <f t="shared" ca="1" si="251"/>
        <v>0</v>
      </c>
    </row>
    <row r="1171" spans="1:25">
      <c r="A1171" s="5">
        <v>40088</v>
      </c>
      <c r="B1171" s="4">
        <v>7415.16</v>
      </c>
      <c r="C1171" s="4">
        <v>7483.43</v>
      </c>
      <c r="D1171" s="4">
        <v>7391.63</v>
      </c>
      <c r="E1171" s="4">
        <v>7411.88</v>
      </c>
      <c r="F1171" s="4">
        <v>4034400</v>
      </c>
      <c r="G1171" s="8">
        <f t="shared" si="253"/>
        <v>-130.13000000000011</v>
      </c>
      <c r="H1171" s="8">
        <f t="shared" si="252"/>
        <v>-3.2799999999997453</v>
      </c>
      <c r="I1171" s="20">
        <f t="shared" ca="1" si="245"/>
        <v>0</v>
      </c>
      <c r="J1171" s="8">
        <f t="shared" ca="1" si="246"/>
        <v>3</v>
      </c>
      <c r="K1171" s="8">
        <f t="shared" ca="1" si="247"/>
        <v>-400.22999999999956</v>
      </c>
      <c r="L1171" s="8">
        <f t="shared" ca="1" si="248"/>
        <v>17063.820000000011</v>
      </c>
      <c r="M1171" s="9">
        <f ca="1">AVERAGE(E1171:OFFSET(E1171,-M$5+1,0))</f>
        <v>7419.8619999999992</v>
      </c>
      <c r="N1171" s="9">
        <f ca="1">AVERAGE(E1171:OFFSET(E1171,-N$5+1,0))</f>
        <v>7385.2219999999998</v>
      </c>
      <c r="O1171" s="9">
        <f t="shared" ca="1" si="249"/>
        <v>0</v>
      </c>
      <c r="P1171" s="14">
        <f t="shared" si="254"/>
        <v>-1.783940920169955</v>
      </c>
      <c r="Q1171" s="15">
        <f ca="1">STDEV(P1171:OFFSET(P1171,-$Q$5+1,0))</f>
        <v>1.1221073162427464</v>
      </c>
      <c r="R1171" s="15">
        <f ca="1">STDEV(P1171:OFFSET(P1171,-$R$5+1,0))</f>
        <v>1.1983730565426733</v>
      </c>
      <c r="S1171" s="18">
        <f t="shared" si="241"/>
        <v>91.800000000000182</v>
      </c>
      <c r="T1171" s="18">
        <f t="shared" si="242"/>
        <v>153.65999999999985</v>
      </c>
      <c r="U1171" s="18">
        <f t="shared" si="250"/>
        <v>118.17552419847731</v>
      </c>
      <c r="V1171" s="33">
        <f ca="1">AVERAGE(E1171:OFFSET(E1171,-V$5+1,0))</f>
        <v>7427.7835714285702</v>
      </c>
      <c r="W1171" s="33">
        <f t="shared" ca="1" si="243"/>
        <v>7605.0468577262864</v>
      </c>
      <c r="X1171" s="33">
        <f t="shared" ca="1" si="244"/>
        <v>7250.5202851308541</v>
      </c>
      <c r="Y1171" s="32">
        <f t="shared" ca="1" si="251"/>
        <v>0</v>
      </c>
    </row>
    <row r="1172" spans="1:25">
      <c r="A1172" s="5">
        <v>40091</v>
      </c>
      <c r="B1172" s="4">
        <v>7424.24</v>
      </c>
      <c r="C1172" s="4">
        <v>7437.98</v>
      </c>
      <c r="D1172" s="4">
        <v>7381.02</v>
      </c>
      <c r="E1172" s="4">
        <v>7437.98</v>
      </c>
      <c r="F1172" s="4">
        <v>3274000</v>
      </c>
      <c r="G1172" s="8">
        <f t="shared" si="253"/>
        <v>12.359999999999673</v>
      </c>
      <c r="H1172" s="8">
        <f t="shared" si="252"/>
        <v>13.739999999999782</v>
      </c>
      <c r="I1172" s="20">
        <f t="shared" ca="1" si="245"/>
        <v>0</v>
      </c>
      <c r="J1172" s="8">
        <f t="shared" ca="1" si="246"/>
        <v>3</v>
      </c>
      <c r="K1172" s="8">
        <f t="shared" ca="1" si="247"/>
        <v>78.299999999998363</v>
      </c>
      <c r="L1172" s="8">
        <f t="shared" ca="1" si="248"/>
        <v>17142.12000000001</v>
      </c>
      <c r="M1172" s="9">
        <f ca="1">AVERAGE(E1172:OFFSET(E1172,-M$5+1,0))</f>
        <v>7413.4139999999998</v>
      </c>
      <c r="N1172" s="9">
        <f ca="1">AVERAGE(E1172:OFFSET(E1172,-N$5+1,0))</f>
        <v>7395.8915000000006</v>
      </c>
      <c r="O1172" s="9">
        <f t="shared" ca="1" si="249"/>
        <v>0</v>
      </c>
      <c r="P1172" s="14">
        <f t="shared" si="254"/>
        <v>0.35151882745678453</v>
      </c>
      <c r="Q1172" s="15">
        <f ca="1">STDEV(P1172:OFFSET(P1172,-$Q$5+1,0))</f>
        <v>1.1310818605700148</v>
      </c>
      <c r="R1172" s="15">
        <f ca="1">STDEV(P1172:OFFSET(P1172,-$R$5+1,0))</f>
        <v>1.198642599263992</v>
      </c>
      <c r="S1172" s="18">
        <f t="shared" si="241"/>
        <v>56.959999999999127</v>
      </c>
      <c r="T1172" s="18">
        <f t="shared" si="242"/>
        <v>56.959999999999127</v>
      </c>
      <c r="U1172" s="18">
        <f t="shared" si="250"/>
        <v>110.01345430534688</v>
      </c>
      <c r="V1172" s="33">
        <f ca="1">AVERAGE(E1172:OFFSET(E1172,-V$5+1,0))</f>
        <v>7434.3349999999991</v>
      </c>
      <c r="W1172" s="33">
        <f t="shared" ca="1" si="243"/>
        <v>7599.3551814580196</v>
      </c>
      <c r="X1172" s="33">
        <f t="shared" ca="1" si="244"/>
        <v>7269.3148185419786</v>
      </c>
      <c r="Y1172" s="32">
        <f t="shared" ca="1" si="251"/>
        <v>0</v>
      </c>
    </row>
    <row r="1173" spans="1:25">
      <c r="A1173" s="5">
        <v>40092</v>
      </c>
      <c r="B1173" s="4">
        <v>7479.51</v>
      </c>
      <c r="C1173" s="4">
        <v>7566.88</v>
      </c>
      <c r="D1173" s="4">
        <v>7447.54</v>
      </c>
      <c r="E1173" s="4">
        <v>7536.05</v>
      </c>
      <c r="F1173" s="4">
        <v>4920600</v>
      </c>
      <c r="G1173" s="8">
        <f t="shared" si="253"/>
        <v>41.530000000000655</v>
      </c>
      <c r="H1173" s="8">
        <f t="shared" si="252"/>
        <v>56.539999999999964</v>
      </c>
      <c r="I1173" s="20">
        <f t="shared" ca="1" si="245"/>
        <v>0</v>
      </c>
      <c r="J1173" s="8">
        <f t="shared" ca="1" si="246"/>
        <v>3</v>
      </c>
      <c r="K1173" s="8">
        <f t="shared" ca="1" si="247"/>
        <v>294.21000000000186</v>
      </c>
      <c r="L1173" s="8">
        <f t="shared" ca="1" si="248"/>
        <v>17436.330000000013</v>
      </c>
      <c r="M1173" s="9">
        <f ca="1">AVERAGE(E1173:OFFSET(E1173,-M$5+1,0))</f>
        <v>7420.116</v>
      </c>
      <c r="N1173" s="9">
        <f ca="1">AVERAGE(E1173:OFFSET(E1173,-N$5+1,0))</f>
        <v>7406.9944999999989</v>
      </c>
      <c r="O1173" s="9">
        <f t="shared" ca="1" si="249"/>
        <v>0</v>
      </c>
      <c r="P1173" s="14">
        <f t="shared" si="254"/>
        <v>1.3098865467185516</v>
      </c>
      <c r="Q1173" s="15">
        <f ca="1">STDEV(P1173:OFFSET(P1173,-$Q$5+1,0))</f>
        <v>1.2030142020849226</v>
      </c>
      <c r="R1173" s="15">
        <f ca="1">STDEV(P1173:OFFSET(P1173,-$R$5+1,0))</f>
        <v>1.2112976198634755</v>
      </c>
      <c r="S1173" s="18">
        <f t="shared" si="241"/>
        <v>119.34000000000015</v>
      </c>
      <c r="T1173" s="18">
        <f t="shared" si="242"/>
        <v>128.90000000000055</v>
      </c>
      <c r="U1173" s="18">
        <f t="shared" si="250"/>
        <v>112.53166039796737</v>
      </c>
      <c r="V1173" s="33">
        <f ca="1">AVERAGE(E1173:OFFSET(E1173,-V$5+1,0))</f>
        <v>7441.1785714285716</v>
      </c>
      <c r="W1173" s="33">
        <f t="shared" ca="1" si="243"/>
        <v>7609.9760620255229</v>
      </c>
      <c r="X1173" s="33">
        <f t="shared" ca="1" si="244"/>
        <v>7272.3810808316202</v>
      </c>
      <c r="Y1173" s="32">
        <f t="shared" ca="1" si="251"/>
        <v>0</v>
      </c>
    </row>
    <row r="1174" spans="1:25">
      <c r="A1174" s="5">
        <v>40093</v>
      </c>
      <c r="B1174" s="4">
        <v>7617.79</v>
      </c>
      <c r="C1174" s="4">
        <v>7619.03</v>
      </c>
      <c r="D1174" s="4">
        <v>7562.9</v>
      </c>
      <c r="E1174" s="4">
        <v>7608.66</v>
      </c>
      <c r="F1174" s="4">
        <v>5540000</v>
      </c>
      <c r="G1174" s="8">
        <f t="shared" si="253"/>
        <v>81.739999999999782</v>
      </c>
      <c r="H1174" s="8">
        <f t="shared" si="252"/>
        <v>-9.1300000000001091</v>
      </c>
      <c r="I1174" s="20">
        <f t="shared" ca="1" si="245"/>
        <v>0</v>
      </c>
      <c r="J1174" s="8">
        <f t="shared" ca="1" si="246"/>
        <v>3</v>
      </c>
      <c r="K1174" s="8">
        <f t="shared" ca="1" si="247"/>
        <v>217.82999999999902</v>
      </c>
      <c r="L1174" s="8">
        <f t="shared" ca="1" si="248"/>
        <v>17654.160000000011</v>
      </c>
      <c r="M1174" s="9">
        <f ca="1">AVERAGE(E1174:OFFSET(E1174,-M$5+1,0))</f>
        <v>7443.3059999999996</v>
      </c>
      <c r="N1174" s="9">
        <f ca="1">AVERAGE(E1174:OFFSET(E1174,-N$5+1,0))</f>
        <v>7424.8914999999997</v>
      </c>
      <c r="O1174" s="9">
        <f t="shared" ca="1" si="249"/>
        <v>0</v>
      </c>
      <c r="P1174" s="14">
        <f t="shared" si="254"/>
        <v>0.95889001975161814</v>
      </c>
      <c r="Q1174" s="15">
        <f ca="1">STDEV(P1174:OFFSET(P1174,-$Q$5+1,0))</f>
        <v>1.1314294745585705</v>
      </c>
      <c r="R1174" s="15">
        <f ca="1">STDEV(P1174:OFFSET(P1174,-$R$5+1,0))</f>
        <v>1.2153895952391967</v>
      </c>
      <c r="S1174" s="18">
        <f t="shared" si="241"/>
        <v>56.130000000000109</v>
      </c>
      <c r="T1174" s="18">
        <f t="shared" si="242"/>
        <v>82.979999999999563</v>
      </c>
      <c r="U1174" s="18">
        <f t="shared" si="250"/>
        <v>108.59143901157167</v>
      </c>
      <c r="V1174" s="33">
        <f ca="1">AVERAGE(E1174:OFFSET(E1174,-V$5+1,0))</f>
        <v>7450.5614285714282</v>
      </c>
      <c r="W1174" s="33">
        <f t="shared" ca="1" si="243"/>
        <v>7613.4485870887856</v>
      </c>
      <c r="X1174" s="33">
        <f t="shared" ca="1" si="244"/>
        <v>7287.6742700540708</v>
      </c>
      <c r="Y1174" s="32">
        <f t="shared" ca="1" si="251"/>
        <v>0</v>
      </c>
    </row>
    <row r="1175" spans="1:25">
      <c r="A1175" s="5">
        <v>40094</v>
      </c>
      <c r="B1175" s="4">
        <v>7615.61</v>
      </c>
      <c r="C1175" s="4">
        <v>7635.66</v>
      </c>
      <c r="D1175" s="4">
        <v>7500.32</v>
      </c>
      <c r="E1175" s="4">
        <v>7503.31</v>
      </c>
      <c r="F1175" s="4">
        <v>5664000</v>
      </c>
      <c r="G1175" s="8">
        <f t="shared" si="253"/>
        <v>6.9499999999998181</v>
      </c>
      <c r="H1175" s="8">
        <f t="shared" si="252"/>
        <v>-112.29999999999927</v>
      </c>
      <c r="I1175" s="20">
        <f t="shared" ca="1" si="245"/>
        <v>0</v>
      </c>
      <c r="J1175" s="8">
        <f t="shared" ca="1" si="246"/>
        <v>3</v>
      </c>
      <c r="K1175" s="8">
        <f t="shared" ca="1" si="247"/>
        <v>-316.04999999999836</v>
      </c>
      <c r="L1175" s="8">
        <f t="shared" ca="1" si="248"/>
        <v>17338.110000000011</v>
      </c>
      <c r="M1175" s="9">
        <f ca="1">AVERAGE(E1175:OFFSET(E1175,-M$5+1,0))</f>
        <v>7461.2149999999992</v>
      </c>
      <c r="N1175" s="9">
        <f ca="1">AVERAGE(E1175:OFFSET(E1175,-N$5+1,0))</f>
        <v>7433.4529999999995</v>
      </c>
      <c r="O1175" s="9">
        <f t="shared" ca="1" si="249"/>
        <v>0</v>
      </c>
      <c r="P1175" s="14">
        <f t="shared" si="254"/>
        <v>-1.3942815752413893</v>
      </c>
      <c r="Q1175" s="15">
        <f ca="1">STDEV(P1175:OFFSET(P1175,-$Q$5+1,0))</f>
        <v>1.2169528583565106</v>
      </c>
      <c r="R1175" s="15">
        <f ca="1">STDEV(P1175:OFFSET(P1175,-$R$5+1,0))</f>
        <v>1.2099831804518149</v>
      </c>
      <c r="S1175" s="18">
        <f t="shared" si="241"/>
        <v>135.34000000000015</v>
      </c>
      <c r="T1175" s="18">
        <f t="shared" si="242"/>
        <v>135.34000000000015</v>
      </c>
      <c r="U1175" s="18">
        <f t="shared" si="250"/>
        <v>112.15791381002879</v>
      </c>
      <c r="V1175" s="33">
        <f ca="1">AVERAGE(E1175:OFFSET(E1175,-V$5+1,0))</f>
        <v>7448.9014285714284</v>
      </c>
      <c r="W1175" s="33">
        <f t="shared" ca="1" si="243"/>
        <v>7617.1382992864719</v>
      </c>
      <c r="X1175" s="33">
        <f t="shared" ca="1" si="244"/>
        <v>7280.6645578563848</v>
      </c>
      <c r="Y1175" s="32">
        <f t="shared" ca="1" si="251"/>
        <v>0</v>
      </c>
    </row>
    <row r="1176" spans="1:25">
      <c r="A1176" s="5">
        <v>40095</v>
      </c>
      <c r="B1176" s="4">
        <v>7572.79</v>
      </c>
      <c r="C1176" s="4">
        <v>7597.79</v>
      </c>
      <c r="D1176" s="4">
        <v>7506.77</v>
      </c>
      <c r="E1176" s="4">
        <v>7571.96</v>
      </c>
      <c r="F1176" s="4">
        <v>4741200</v>
      </c>
      <c r="G1176" s="8">
        <f t="shared" si="253"/>
        <v>69.479999999999563</v>
      </c>
      <c r="H1176" s="8">
        <f t="shared" si="252"/>
        <v>-0.82999999999992724</v>
      </c>
      <c r="I1176" s="20">
        <f t="shared" ca="1" si="245"/>
        <v>0</v>
      </c>
      <c r="J1176" s="8">
        <f t="shared" ca="1" si="246"/>
        <v>3</v>
      </c>
      <c r="K1176" s="8">
        <f t="shared" ca="1" si="247"/>
        <v>205.94999999999891</v>
      </c>
      <c r="L1176" s="8">
        <f t="shared" ca="1" si="248"/>
        <v>17544.060000000012</v>
      </c>
      <c r="M1176" s="9">
        <f ca="1">AVERAGE(E1176:OFFSET(E1176,-M$5+1,0))</f>
        <v>7483.889000000001</v>
      </c>
      <c r="N1176" s="9">
        <f ca="1">AVERAGE(E1176:OFFSET(E1176,-N$5+1,0))</f>
        <v>7445.1939999999986</v>
      </c>
      <c r="O1176" s="9">
        <f t="shared" ca="1" si="249"/>
        <v>0</v>
      </c>
      <c r="P1176" s="14">
        <f t="shared" si="254"/>
        <v>0.91076941962569424</v>
      </c>
      <c r="Q1176" s="15">
        <f ca="1">STDEV(P1176:OFFSET(P1176,-$Q$5+1,0))</f>
        <v>1.2353853276783275</v>
      </c>
      <c r="R1176" s="15">
        <f ca="1">STDEV(P1176:OFFSET(P1176,-$R$5+1,0))</f>
        <v>1.2147358345662413</v>
      </c>
      <c r="S1176" s="18">
        <f t="shared" si="241"/>
        <v>91.019999999999527</v>
      </c>
      <c r="T1176" s="18">
        <f t="shared" si="242"/>
        <v>94.479999999999563</v>
      </c>
      <c r="U1176" s="18">
        <f t="shared" si="250"/>
        <v>109.80085863535822</v>
      </c>
      <c r="V1176" s="33">
        <f ca="1">AVERAGE(E1176:OFFSET(E1176,-V$5+1,0))</f>
        <v>7453.8657142857146</v>
      </c>
      <c r="W1176" s="33">
        <f t="shared" ca="1" si="243"/>
        <v>7618.5670022387521</v>
      </c>
      <c r="X1176" s="33">
        <f t="shared" ca="1" si="244"/>
        <v>7289.1644263326771</v>
      </c>
      <c r="Y1176" s="32">
        <f t="shared" ca="1" si="251"/>
        <v>0</v>
      </c>
    </row>
    <row r="1177" spans="1:25">
      <c r="A1177" s="5">
        <v>40098</v>
      </c>
      <c r="B1177" s="4">
        <v>7620.17</v>
      </c>
      <c r="C1177" s="4">
        <v>7620.17</v>
      </c>
      <c r="D1177" s="4">
        <v>7537.2</v>
      </c>
      <c r="E1177" s="4">
        <v>7599.88</v>
      </c>
      <c r="F1177" s="4">
        <v>4193400</v>
      </c>
      <c r="G1177" s="8">
        <f t="shared" si="253"/>
        <v>48.210000000000036</v>
      </c>
      <c r="H1177" s="8">
        <f t="shared" si="252"/>
        <v>-20.289999999999964</v>
      </c>
      <c r="I1177" s="20">
        <f t="shared" ca="1" si="245"/>
        <v>0</v>
      </c>
      <c r="J1177" s="8">
        <f t="shared" ca="1" si="246"/>
        <v>3</v>
      </c>
      <c r="K1177" s="8">
        <f t="shared" ca="1" si="247"/>
        <v>83.760000000000218</v>
      </c>
      <c r="L1177" s="8">
        <f t="shared" ca="1" si="248"/>
        <v>17627.820000000014</v>
      </c>
      <c r="M1177" s="9">
        <f ca="1">AVERAGE(E1177:OFFSET(E1177,-M$5+1,0))</f>
        <v>7515.416000000002</v>
      </c>
      <c r="N1177" s="9">
        <f ca="1">AVERAGE(E1177:OFFSET(E1177,-N$5+1,0))</f>
        <v>7462.3405000000002</v>
      </c>
      <c r="O1177" s="9">
        <f t="shared" ca="1" si="249"/>
        <v>0</v>
      </c>
      <c r="P1177" s="14">
        <f t="shared" si="254"/>
        <v>0.368050698100232</v>
      </c>
      <c r="Q1177" s="15">
        <f ca="1">STDEV(P1177:OFFSET(P1177,-$Q$5+1,0))</f>
        <v>1.1696959619726783</v>
      </c>
      <c r="R1177" s="15">
        <f ca="1">STDEV(P1177:OFFSET(P1177,-$R$5+1,0))</f>
        <v>1.1643799506101293</v>
      </c>
      <c r="S1177" s="18">
        <f t="shared" si="241"/>
        <v>82.970000000000255</v>
      </c>
      <c r="T1177" s="18">
        <f t="shared" si="242"/>
        <v>82.970000000000255</v>
      </c>
      <c r="U1177" s="18">
        <f t="shared" si="250"/>
        <v>106.22341081731049</v>
      </c>
      <c r="V1177" s="33">
        <f ca="1">AVERAGE(E1177:OFFSET(E1177,-V$5+1,0))</f>
        <v>7463.2121428571436</v>
      </c>
      <c r="W1177" s="33">
        <f t="shared" ca="1" si="243"/>
        <v>7622.5472590831096</v>
      </c>
      <c r="X1177" s="33">
        <f t="shared" ca="1" si="244"/>
        <v>7303.8770266311776</v>
      </c>
      <c r="Y1177" s="32">
        <f t="shared" ca="1" si="251"/>
        <v>0</v>
      </c>
    </row>
    <row r="1178" spans="1:25">
      <c r="A1178" s="5">
        <v>40099</v>
      </c>
      <c r="B1178" s="4">
        <v>7484.46</v>
      </c>
      <c r="C1178" s="4">
        <v>7607.41</v>
      </c>
      <c r="D1178" s="4">
        <v>7471.53</v>
      </c>
      <c r="E1178" s="4">
        <v>7596.6</v>
      </c>
      <c r="F1178" s="4">
        <v>4785600</v>
      </c>
      <c r="G1178" s="8">
        <f t="shared" si="253"/>
        <v>-115.42000000000007</v>
      </c>
      <c r="H1178" s="8">
        <f t="shared" si="252"/>
        <v>112.14000000000033</v>
      </c>
      <c r="I1178" s="20">
        <f t="shared" ca="1" si="245"/>
        <v>0</v>
      </c>
      <c r="J1178" s="8">
        <f t="shared" ca="1" si="246"/>
        <v>3</v>
      </c>
      <c r="K1178" s="8">
        <f t="shared" ca="1" si="247"/>
        <v>-9.839999999999236</v>
      </c>
      <c r="L1178" s="8">
        <f t="shared" ca="1" si="248"/>
        <v>17617.980000000014</v>
      </c>
      <c r="M1178" s="9">
        <f ca="1">AVERAGE(E1178:OFFSET(E1178,-M$5+1,0))</f>
        <v>7532.0779999999995</v>
      </c>
      <c r="N1178" s="9">
        <f ca="1">AVERAGE(E1178:OFFSET(E1178,-N$5+1,0))</f>
        <v>7474.8575000000001</v>
      </c>
      <c r="O1178" s="9">
        <f t="shared" ca="1" si="249"/>
        <v>0</v>
      </c>
      <c r="P1178" s="14">
        <f t="shared" si="254"/>
        <v>-4.3167892182063322E-2</v>
      </c>
      <c r="Q1178" s="15">
        <f ca="1">STDEV(P1178:OFFSET(P1178,-$Q$5+1,0))</f>
        <v>1.0389377201489858</v>
      </c>
      <c r="R1178" s="15">
        <f ca="1">STDEV(P1178:OFFSET(P1178,-$R$5+1,0))</f>
        <v>1.104258442360549</v>
      </c>
      <c r="S1178" s="18">
        <f t="shared" si="241"/>
        <v>135.88000000000011</v>
      </c>
      <c r="T1178" s="18">
        <f t="shared" si="242"/>
        <v>135.88000000000011</v>
      </c>
      <c r="U1178" s="18">
        <f t="shared" si="250"/>
        <v>110.17762270833578</v>
      </c>
      <c r="V1178" s="33">
        <f ca="1">AVERAGE(E1178:OFFSET(E1178,-V$5+1,0))</f>
        <v>7478.9150000000009</v>
      </c>
      <c r="W1178" s="33">
        <f t="shared" ca="1" si="243"/>
        <v>7644.1814340625042</v>
      </c>
      <c r="X1178" s="33">
        <f t="shared" ca="1" si="244"/>
        <v>7313.6485659374976</v>
      </c>
      <c r="Y1178" s="32">
        <f t="shared" ca="1" si="251"/>
        <v>0</v>
      </c>
    </row>
    <row r="1179" spans="1:25">
      <c r="A1179" s="5">
        <v>40100</v>
      </c>
      <c r="B1179" s="4">
        <v>7649.07</v>
      </c>
      <c r="C1179" s="4">
        <v>7700.42</v>
      </c>
      <c r="D1179" s="4">
        <v>7618.79</v>
      </c>
      <c r="E1179" s="4">
        <v>7695.75</v>
      </c>
      <c r="F1179" s="4">
        <v>5239000</v>
      </c>
      <c r="G1179" s="8">
        <f t="shared" si="253"/>
        <v>52.469999999999345</v>
      </c>
      <c r="H1179" s="8">
        <f t="shared" si="252"/>
        <v>46.680000000000291</v>
      </c>
      <c r="I1179" s="20">
        <f t="shared" ca="1" si="245"/>
        <v>1</v>
      </c>
      <c r="J1179" s="8">
        <f t="shared" ca="1" si="246"/>
        <v>3</v>
      </c>
      <c r="K1179" s="8">
        <f t="shared" ca="1" si="247"/>
        <v>297.44999999999891</v>
      </c>
      <c r="L1179" s="8">
        <f t="shared" ca="1" si="248"/>
        <v>17915.430000000015</v>
      </c>
      <c r="M1179" s="9">
        <f ca="1">AVERAGE(E1179:OFFSET(E1179,-M$5+1,0))</f>
        <v>7550.7359999999999</v>
      </c>
      <c r="N1179" s="9">
        <f ca="1">AVERAGE(E1179:OFFSET(E1179,-N$5+1,0))</f>
        <v>7487.6329999999998</v>
      </c>
      <c r="O1179" s="9">
        <f t="shared" ca="1" si="249"/>
        <v>0</v>
      </c>
      <c r="P1179" s="14">
        <f t="shared" si="254"/>
        <v>1.2967449656165559</v>
      </c>
      <c r="Q1179" s="15">
        <f ca="1">STDEV(P1179:OFFSET(P1179,-$Q$5+1,0))</f>
        <v>1.0625738804681881</v>
      </c>
      <c r="R1179" s="15">
        <f ca="1">STDEV(P1179:OFFSET(P1179,-$R$5+1,0))</f>
        <v>1.1146608299491809</v>
      </c>
      <c r="S1179" s="18">
        <f t="shared" si="241"/>
        <v>81.630000000000109</v>
      </c>
      <c r="T1179" s="18">
        <f t="shared" si="242"/>
        <v>103.81999999999971</v>
      </c>
      <c r="U1179" s="18">
        <f t="shared" si="250"/>
        <v>109.32993968055764</v>
      </c>
      <c r="V1179" s="33">
        <f ca="1">AVERAGE(E1179:OFFSET(E1179,-V$5+1,0))</f>
        <v>7505.4528571428582</v>
      </c>
      <c r="W1179" s="33">
        <f t="shared" ca="1" si="243"/>
        <v>7669.4477666636949</v>
      </c>
      <c r="X1179" s="33">
        <f t="shared" ca="1" si="244"/>
        <v>7341.4579476220215</v>
      </c>
      <c r="Y1179" s="32">
        <f t="shared" ca="1" si="251"/>
        <v>1</v>
      </c>
    </row>
    <row r="1180" spans="1:25">
      <c r="A1180" s="5">
        <v>40101</v>
      </c>
      <c r="B1180" s="4">
        <v>7778.35</v>
      </c>
      <c r="C1180" s="4">
        <v>7780.66</v>
      </c>
      <c r="D1180" s="4">
        <v>7692.58</v>
      </c>
      <c r="E1180" s="4">
        <v>7710.4</v>
      </c>
      <c r="F1180" s="4">
        <v>6033800</v>
      </c>
      <c r="G1180" s="8">
        <f t="shared" si="253"/>
        <v>82.600000000000364</v>
      </c>
      <c r="H1180" s="8">
        <f t="shared" si="252"/>
        <v>-67.950000000000728</v>
      </c>
      <c r="I1180" s="20">
        <f t="shared" ca="1" si="245"/>
        <v>0</v>
      </c>
      <c r="J1180" s="8">
        <f t="shared" ca="1" si="246"/>
        <v>3</v>
      </c>
      <c r="K1180" s="8">
        <f t="shared" ca="1" si="247"/>
        <v>43.949999999998909</v>
      </c>
      <c r="L1180" s="8">
        <f t="shared" ca="1" si="248"/>
        <v>17959.380000000012</v>
      </c>
      <c r="M1180" s="9">
        <f ca="1">AVERAGE(E1180:OFFSET(E1180,-M$5+1,0))</f>
        <v>7567.2469999999985</v>
      </c>
      <c r="N1180" s="9">
        <f ca="1">AVERAGE(E1180:OFFSET(E1180,-N$5+1,0))</f>
        <v>7499.2880000000005</v>
      </c>
      <c r="O1180" s="9">
        <f t="shared" ca="1" si="249"/>
        <v>0</v>
      </c>
      <c r="P1180" s="14">
        <f t="shared" si="254"/>
        <v>0.19018384756401041</v>
      </c>
      <c r="Q1180" s="15">
        <f ca="1">STDEV(P1180:OFFSET(P1180,-$Q$5+1,0))</f>
        <v>1.0594167731436337</v>
      </c>
      <c r="R1180" s="15">
        <f ca="1">STDEV(P1180:OFFSET(P1180,-$R$5+1,0))</f>
        <v>1.0996977922611988</v>
      </c>
      <c r="S1180" s="18">
        <f t="shared" si="241"/>
        <v>88.079999999999927</v>
      </c>
      <c r="T1180" s="18">
        <f t="shared" si="242"/>
        <v>88.079999999999927</v>
      </c>
      <c r="U1180" s="18">
        <f t="shared" si="250"/>
        <v>106.49661438981661</v>
      </c>
      <c r="V1180" s="33">
        <f ca="1">AVERAGE(E1180:OFFSET(E1180,-V$5+1,0))</f>
        <v>7531.5371428571443</v>
      </c>
      <c r="W1180" s="33">
        <f t="shared" ca="1" si="243"/>
        <v>7691.2820644418689</v>
      </c>
      <c r="X1180" s="33">
        <f t="shared" ca="1" si="244"/>
        <v>7371.7922212724197</v>
      </c>
      <c r="Y1180" s="32">
        <f t="shared" ca="1" si="251"/>
        <v>0</v>
      </c>
    </row>
    <row r="1181" spans="1:25">
      <c r="A1181" s="5">
        <v>40102</v>
      </c>
      <c r="B1181" s="4">
        <v>7712.03</v>
      </c>
      <c r="C1181" s="4">
        <v>7738.04</v>
      </c>
      <c r="D1181" s="4">
        <v>7691.39</v>
      </c>
      <c r="E1181" s="4">
        <v>7715.1</v>
      </c>
      <c r="F1181" s="4">
        <v>4219000</v>
      </c>
      <c r="G1181" s="8">
        <f t="shared" si="253"/>
        <v>1.6300000000001091</v>
      </c>
      <c r="H1181" s="8">
        <f t="shared" si="252"/>
        <v>3.0700000000006185</v>
      </c>
      <c r="I1181" s="20">
        <f t="shared" ca="1" si="245"/>
        <v>0</v>
      </c>
      <c r="J1181" s="8">
        <f t="shared" ca="1" si="246"/>
        <v>3</v>
      </c>
      <c r="K1181" s="8">
        <f t="shared" ca="1" si="247"/>
        <v>14.100000000002183</v>
      </c>
      <c r="L1181" s="8">
        <f t="shared" ca="1" si="248"/>
        <v>17973.480000000014</v>
      </c>
      <c r="M1181" s="9">
        <f ca="1">AVERAGE(E1181:OFFSET(E1181,-M$5+1,0))</f>
        <v>7597.5690000000004</v>
      </c>
      <c r="N1181" s="9">
        <f ca="1">AVERAGE(E1181:OFFSET(E1181,-N$5+1,0))</f>
        <v>7508.7155000000002</v>
      </c>
      <c r="O1181" s="9">
        <f t="shared" ca="1" si="249"/>
        <v>0</v>
      </c>
      <c r="P1181" s="14">
        <f t="shared" si="254"/>
        <v>6.0938058998974171E-2</v>
      </c>
      <c r="Q1181" s="15">
        <f ca="1">STDEV(P1181:OFFSET(P1181,-$Q$5+1,0))</f>
        <v>0.80162893739106444</v>
      </c>
      <c r="R1181" s="15">
        <f ca="1">STDEV(P1181:OFFSET(P1181,-$R$5+1,0))</f>
        <v>1.0732391530688949</v>
      </c>
      <c r="S1181" s="18">
        <f t="shared" si="241"/>
        <v>46.649999999999636</v>
      </c>
      <c r="T1181" s="18">
        <f t="shared" si="242"/>
        <v>46.649999999999636</v>
      </c>
      <c r="U1181" s="18">
        <f t="shared" si="250"/>
        <v>98.517065804507695</v>
      </c>
      <c r="V1181" s="33">
        <f ca="1">AVERAGE(E1181:OFFSET(E1181,-V$5+1,0))</f>
        <v>7562.2864285714304</v>
      </c>
      <c r="W1181" s="33">
        <f t="shared" ca="1" si="243"/>
        <v>7710.0620272781916</v>
      </c>
      <c r="X1181" s="33">
        <f t="shared" ca="1" si="244"/>
        <v>7414.5108298646692</v>
      </c>
      <c r="Y1181" s="32">
        <f t="shared" ca="1" si="251"/>
        <v>0</v>
      </c>
    </row>
    <row r="1182" spans="1:25">
      <c r="A1182" s="5">
        <v>40105</v>
      </c>
      <c r="B1182" s="4">
        <v>7712.33</v>
      </c>
      <c r="C1182" s="4">
        <v>7758.13</v>
      </c>
      <c r="D1182" s="4">
        <v>7691.21</v>
      </c>
      <c r="E1182" s="4">
        <v>7751.32</v>
      </c>
      <c r="F1182" s="4">
        <v>4011000</v>
      </c>
      <c r="G1182" s="8">
        <f t="shared" si="253"/>
        <v>-2.7700000000004366</v>
      </c>
      <c r="H1182" s="8">
        <f t="shared" si="252"/>
        <v>38.989999999999782</v>
      </c>
      <c r="I1182" s="20">
        <f t="shared" ca="1" si="245"/>
        <v>0</v>
      </c>
      <c r="J1182" s="8">
        <f t="shared" ca="1" si="246"/>
        <v>3</v>
      </c>
      <c r="K1182" s="8">
        <f t="shared" ca="1" si="247"/>
        <v>108.65999999999804</v>
      </c>
      <c r="L1182" s="8">
        <f t="shared" ca="1" si="248"/>
        <v>18082.140000000014</v>
      </c>
      <c r="M1182" s="9">
        <f ca="1">AVERAGE(E1182:OFFSET(E1182,-M$5+1,0))</f>
        <v>7628.9030000000002</v>
      </c>
      <c r="N1182" s="9">
        <f ca="1">AVERAGE(E1182:OFFSET(E1182,-N$5+1,0))</f>
        <v>7521.1585000000023</v>
      </c>
      <c r="O1182" s="9">
        <f t="shared" ca="1" si="249"/>
        <v>0</v>
      </c>
      <c r="P1182" s="14">
        <f t="shared" si="254"/>
        <v>0.46837039487357263</v>
      </c>
      <c r="Q1182" s="15">
        <f ca="1">STDEV(P1182:OFFSET(P1182,-$Q$5+1,0))</f>
        <v>0.80167993405811999</v>
      </c>
      <c r="R1182" s="15">
        <f ca="1">STDEV(P1182:OFFSET(P1182,-$R$5+1,0))</f>
        <v>1.0036298420998064</v>
      </c>
      <c r="S1182" s="18">
        <f t="shared" si="241"/>
        <v>66.920000000000073</v>
      </c>
      <c r="T1182" s="18">
        <f t="shared" si="242"/>
        <v>66.920000000000073</v>
      </c>
      <c r="U1182" s="18">
        <f t="shared" si="250"/>
        <v>94.304123697240016</v>
      </c>
      <c r="V1182" s="33">
        <f ca="1">AVERAGE(E1182:OFFSET(E1182,-V$5+1,0))</f>
        <v>7585.2392857142859</v>
      </c>
      <c r="W1182" s="33">
        <f t="shared" ca="1" si="243"/>
        <v>7726.6954712601455</v>
      </c>
      <c r="X1182" s="33">
        <f t="shared" ca="1" si="244"/>
        <v>7443.7831001684262</v>
      </c>
      <c r="Y1182" s="32">
        <f t="shared" ca="1" si="251"/>
        <v>0</v>
      </c>
    </row>
    <row r="1183" spans="1:25">
      <c r="A1183" s="5">
        <v>40106</v>
      </c>
      <c r="B1183" s="4">
        <v>7808.03</v>
      </c>
      <c r="C1183" s="4">
        <v>7811.92</v>
      </c>
      <c r="D1183" s="4">
        <v>7753.52</v>
      </c>
      <c r="E1183" s="4">
        <v>7753.52</v>
      </c>
      <c r="F1183" s="4">
        <v>4478600</v>
      </c>
      <c r="G1183" s="8">
        <f t="shared" si="253"/>
        <v>56.710000000000036</v>
      </c>
      <c r="H1183" s="8">
        <f t="shared" si="252"/>
        <v>-54.509999999999309</v>
      </c>
      <c r="I1183" s="20">
        <f t="shared" ca="1" si="245"/>
        <v>0</v>
      </c>
      <c r="J1183" s="8">
        <f t="shared" ca="1" si="246"/>
        <v>3</v>
      </c>
      <c r="K1183" s="8">
        <f t="shared" ca="1" si="247"/>
        <v>6.6000000000021828</v>
      </c>
      <c r="L1183" s="8">
        <f t="shared" ca="1" si="248"/>
        <v>18088.740000000016</v>
      </c>
      <c r="M1183" s="9">
        <f ca="1">AVERAGE(E1183:OFFSET(E1183,-M$5+1,0))</f>
        <v>7650.6500000000015</v>
      </c>
      <c r="N1183" s="9">
        <f ca="1">AVERAGE(E1183:OFFSET(E1183,-N$5+1,0))</f>
        <v>7535.3829999999998</v>
      </c>
      <c r="O1183" s="9">
        <f t="shared" ca="1" si="249"/>
        <v>0</v>
      </c>
      <c r="P1183" s="14">
        <f t="shared" si="254"/>
        <v>2.8378235631787322E-2</v>
      </c>
      <c r="Q1183" s="15">
        <f ca="1">STDEV(P1183:OFFSET(P1183,-$Q$5+1,0))</f>
        <v>0.74256251933125261</v>
      </c>
      <c r="R1183" s="15">
        <f ca="1">STDEV(P1183:OFFSET(P1183,-$R$5+1,0))</f>
        <v>0.99766532021867171</v>
      </c>
      <c r="S1183" s="18">
        <f t="shared" si="241"/>
        <v>58.399999999999636</v>
      </c>
      <c r="T1183" s="18">
        <f t="shared" si="242"/>
        <v>60.600000000000364</v>
      </c>
      <c r="U1183" s="18">
        <f t="shared" si="250"/>
        <v>89.810240537608053</v>
      </c>
      <c r="V1183" s="33">
        <f ca="1">AVERAGE(E1183:OFFSET(E1183,-V$5+1,0))</f>
        <v>7602.6928571428571</v>
      </c>
      <c r="W1183" s="33">
        <f t="shared" ca="1" si="243"/>
        <v>7737.4082179492689</v>
      </c>
      <c r="X1183" s="33">
        <f t="shared" ca="1" si="244"/>
        <v>7467.9774963364453</v>
      </c>
      <c r="Y1183" s="32">
        <f t="shared" ca="1" si="251"/>
        <v>0</v>
      </c>
    </row>
    <row r="1184" spans="1:25">
      <c r="A1184" s="5">
        <v>40107</v>
      </c>
      <c r="B1184" s="4">
        <v>7751.75</v>
      </c>
      <c r="C1184" s="4">
        <v>7774.4</v>
      </c>
      <c r="D1184" s="4">
        <v>7675.61</v>
      </c>
      <c r="E1184" s="4">
        <v>7701.5</v>
      </c>
      <c r="F1184" s="4">
        <v>4621000</v>
      </c>
      <c r="G1184" s="8">
        <f t="shared" si="253"/>
        <v>-1.7700000000004366</v>
      </c>
      <c r="H1184" s="8">
        <f t="shared" si="252"/>
        <v>-50.25</v>
      </c>
      <c r="I1184" s="20">
        <f t="shared" ca="1" si="245"/>
        <v>0</v>
      </c>
      <c r="J1184" s="8">
        <f t="shared" ca="1" si="246"/>
        <v>3</v>
      </c>
      <c r="K1184" s="8">
        <f t="shared" ca="1" si="247"/>
        <v>-156.06000000000131</v>
      </c>
      <c r="L1184" s="8">
        <f t="shared" ca="1" si="248"/>
        <v>17932.680000000015</v>
      </c>
      <c r="M1184" s="9">
        <f ca="1">AVERAGE(E1184:OFFSET(E1184,-M$5+1,0))</f>
        <v>7659.9339999999993</v>
      </c>
      <c r="N1184" s="9">
        <f ca="1">AVERAGE(E1184:OFFSET(E1184,-N$5+1,0))</f>
        <v>7551.62</v>
      </c>
      <c r="O1184" s="9">
        <f t="shared" ca="1" si="249"/>
        <v>0</v>
      </c>
      <c r="P1184" s="14">
        <f t="shared" si="254"/>
        <v>-0.67318187165993426</v>
      </c>
      <c r="Q1184" s="15">
        <f ca="1">STDEV(P1184:OFFSET(P1184,-$Q$5+1,0))</f>
        <v>0.75708052116400815</v>
      </c>
      <c r="R1184" s="15">
        <f ca="1">STDEV(P1184:OFFSET(P1184,-$R$5+1,0))</f>
        <v>0.97472562620171033</v>
      </c>
      <c r="S1184" s="18">
        <f t="shared" si="241"/>
        <v>98.789999999999964</v>
      </c>
      <c r="T1184" s="18">
        <f t="shared" si="242"/>
        <v>98.789999999999964</v>
      </c>
      <c r="U1184" s="18">
        <f t="shared" si="250"/>
        <v>91.007541799260309</v>
      </c>
      <c r="V1184" s="33">
        <f ca="1">AVERAGE(E1184:OFFSET(E1184,-V$5+1,0))</f>
        <v>7613.8507142857134</v>
      </c>
      <c r="W1184" s="33">
        <f t="shared" ca="1" si="243"/>
        <v>7750.3620269846042</v>
      </c>
      <c r="X1184" s="33">
        <f t="shared" ca="1" si="244"/>
        <v>7477.3394015868225</v>
      </c>
      <c r="Y1184" s="32">
        <f t="shared" ca="1" si="251"/>
        <v>0</v>
      </c>
    </row>
    <row r="1185" spans="1:25">
      <c r="A1185" s="5">
        <v>40108</v>
      </c>
      <c r="B1185" s="4">
        <v>7692.75</v>
      </c>
      <c r="C1185" s="4">
        <v>7710.82</v>
      </c>
      <c r="D1185" s="4">
        <v>7577.89</v>
      </c>
      <c r="E1185" s="4">
        <v>7607.93</v>
      </c>
      <c r="F1185" s="4">
        <v>4868600</v>
      </c>
      <c r="G1185" s="8">
        <f t="shared" si="253"/>
        <v>-8.75</v>
      </c>
      <c r="H1185" s="8">
        <f t="shared" si="252"/>
        <v>-84.819999999999709</v>
      </c>
      <c r="I1185" s="20">
        <f t="shared" ca="1" si="245"/>
        <v>0</v>
      </c>
      <c r="J1185" s="8">
        <f t="shared" ca="1" si="246"/>
        <v>3</v>
      </c>
      <c r="K1185" s="8">
        <f t="shared" ca="1" si="247"/>
        <v>-280.70999999999913</v>
      </c>
      <c r="L1185" s="8">
        <f t="shared" ca="1" si="248"/>
        <v>17651.970000000016</v>
      </c>
      <c r="M1185" s="9">
        <f ca="1">AVERAGE(E1185:OFFSET(E1185,-M$5+1,0))</f>
        <v>7670.3959999999988</v>
      </c>
      <c r="N1185" s="9">
        <f ca="1">AVERAGE(E1185:OFFSET(E1185,-N$5+1,0))</f>
        <v>7565.8054999999995</v>
      </c>
      <c r="O1185" s="9">
        <f t="shared" ca="1" si="249"/>
        <v>0</v>
      </c>
      <c r="P1185" s="14">
        <f t="shared" si="254"/>
        <v>-1.2223990722833855</v>
      </c>
      <c r="Q1185" s="15">
        <f ca="1">STDEV(P1185:OFFSET(P1185,-$Q$5+1,0))</f>
        <v>0.71988658782852033</v>
      </c>
      <c r="R1185" s="15">
        <f ca="1">STDEV(P1185:OFFSET(P1185,-$R$5+1,0))</f>
        <v>0.99866651545011231</v>
      </c>
      <c r="S1185" s="18">
        <f t="shared" si="241"/>
        <v>132.92999999999938</v>
      </c>
      <c r="T1185" s="18">
        <f t="shared" si="242"/>
        <v>132.92999999999938</v>
      </c>
      <c r="U1185" s="18">
        <f t="shared" si="250"/>
        <v>96.597202892692195</v>
      </c>
      <c r="V1185" s="33">
        <f ca="1">AVERAGE(E1185:OFFSET(E1185,-V$5+1,0))</f>
        <v>7627.8542857142875</v>
      </c>
      <c r="W1185" s="33">
        <f t="shared" ca="1" si="243"/>
        <v>7772.7500900533259</v>
      </c>
      <c r="X1185" s="33">
        <f t="shared" ca="1" si="244"/>
        <v>7482.958481375249</v>
      </c>
      <c r="Y1185" s="32">
        <f t="shared" ca="1" si="251"/>
        <v>0</v>
      </c>
    </row>
    <row r="1186" spans="1:25">
      <c r="A1186" s="5">
        <v>40109</v>
      </c>
      <c r="B1186" s="4">
        <v>7651.64</v>
      </c>
      <c r="C1186" s="4">
        <v>7671.91</v>
      </c>
      <c r="D1186" s="4">
        <v>7614.75</v>
      </c>
      <c r="E1186" s="4">
        <v>7649.28</v>
      </c>
      <c r="F1186" s="4">
        <v>3945200</v>
      </c>
      <c r="G1186" s="8">
        <f t="shared" si="253"/>
        <v>43.710000000000036</v>
      </c>
      <c r="H1186" s="8">
        <f t="shared" si="252"/>
        <v>-2.3600000000005821</v>
      </c>
      <c r="I1186" s="20">
        <f t="shared" ca="1" si="245"/>
        <v>0</v>
      </c>
      <c r="J1186" s="8">
        <f t="shared" ca="1" si="246"/>
        <v>3</v>
      </c>
      <c r="K1186" s="8">
        <f t="shared" ca="1" si="247"/>
        <v>124.04999999999836</v>
      </c>
      <c r="L1186" s="8">
        <f t="shared" ca="1" si="248"/>
        <v>17776.020000000015</v>
      </c>
      <c r="M1186" s="9">
        <f ca="1">AVERAGE(E1186:OFFSET(E1186,-M$5+1,0))</f>
        <v>7678.1279999999997</v>
      </c>
      <c r="N1186" s="9">
        <f ca="1">AVERAGE(E1186:OFFSET(E1186,-N$5+1,0))</f>
        <v>7581.0085000000008</v>
      </c>
      <c r="O1186" s="9">
        <f t="shared" ca="1" si="249"/>
        <v>0</v>
      </c>
      <c r="P1186" s="14">
        <f t="shared" si="254"/>
        <v>0.54204014025004843</v>
      </c>
      <c r="Q1186" s="15">
        <f ca="1">STDEV(P1186:OFFSET(P1186,-$Q$5+1,0))</f>
        <v>0.68450758098347997</v>
      </c>
      <c r="R1186" s="15">
        <f ca="1">STDEV(P1186:OFFSET(P1186,-$R$5+1,0))</f>
        <v>0.97170335734452939</v>
      </c>
      <c r="S1186" s="18">
        <f t="shared" si="241"/>
        <v>57.159999999999854</v>
      </c>
      <c r="T1186" s="18">
        <f t="shared" si="242"/>
        <v>63.979999999999563</v>
      </c>
      <c r="U1186" s="18">
        <f t="shared" si="250"/>
        <v>92.248242506999844</v>
      </c>
      <c r="V1186" s="33">
        <f ca="1">AVERAGE(E1186:OFFSET(E1186,-V$5+1,0))</f>
        <v>7642.9471428571433</v>
      </c>
      <c r="W1186" s="33">
        <f t="shared" ca="1" si="243"/>
        <v>7781.3195066176431</v>
      </c>
      <c r="X1186" s="33">
        <f t="shared" ca="1" si="244"/>
        <v>7504.5747790966434</v>
      </c>
      <c r="Y1186" s="32">
        <f t="shared" ca="1" si="251"/>
        <v>0</v>
      </c>
    </row>
    <row r="1187" spans="1:25">
      <c r="A1187" s="5">
        <v>40112</v>
      </c>
      <c r="B1187" s="4">
        <v>7701.19</v>
      </c>
      <c r="C1187" s="4">
        <v>7751.68</v>
      </c>
      <c r="D1187" s="4">
        <v>7658.22</v>
      </c>
      <c r="E1187" s="4">
        <v>7668.4</v>
      </c>
      <c r="F1187" s="4">
        <v>3758000</v>
      </c>
      <c r="G1187" s="8">
        <f t="shared" si="253"/>
        <v>51.909999999999854</v>
      </c>
      <c r="H1187" s="8">
        <f t="shared" si="252"/>
        <v>-32.789999999999964</v>
      </c>
      <c r="I1187" s="20">
        <f t="shared" ca="1" si="245"/>
        <v>0</v>
      </c>
      <c r="J1187" s="8">
        <f t="shared" ca="1" si="246"/>
        <v>3</v>
      </c>
      <c r="K1187" s="8">
        <f t="shared" ca="1" si="247"/>
        <v>57.359999999999673</v>
      </c>
      <c r="L1187" s="8">
        <f t="shared" ca="1" si="248"/>
        <v>17833.380000000016</v>
      </c>
      <c r="M1187" s="9">
        <f ca="1">AVERAGE(E1187:OFFSET(E1187,-M$5+1,0))</f>
        <v>7684.9800000000005</v>
      </c>
      <c r="N1187" s="9">
        <f ca="1">AVERAGE(E1187:OFFSET(E1187,-N$5+1,0))</f>
        <v>7600.1980000000012</v>
      </c>
      <c r="O1187" s="9">
        <f t="shared" ca="1" si="249"/>
        <v>0</v>
      </c>
      <c r="P1187" s="14">
        <f t="shared" si="254"/>
        <v>0.24964629017151979</v>
      </c>
      <c r="Q1187" s="15">
        <f ca="1">STDEV(P1187:OFFSET(P1187,-$Q$5+1,0))</f>
        <v>0.68039812027201751</v>
      </c>
      <c r="R1187" s="15">
        <f ca="1">STDEV(P1187:OFFSET(P1187,-$R$5+1,0))</f>
        <v>0.97168608634357434</v>
      </c>
      <c r="S1187" s="18">
        <f t="shared" si="241"/>
        <v>93.460000000000036</v>
      </c>
      <c r="T1187" s="18">
        <f t="shared" si="242"/>
        <v>102.40000000000055</v>
      </c>
      <c r="U1187" s="18">
        <f t="shared" si="250"/>
        <v>93.601810172733281</v>
      </c>
      <c r="V1187" s="33">
        <f ca="1">AVERAGE(E1187:OFFSET(E1187,-V$5+1,0))</f>
        <v>7652.4007142857154</v>
      </c>
      <c r="W1187" s="33">
        <f t="shared" ca="1" si="243"/>
        <v>7792.8034295448151</v>
      </c>
      <c r="X1187" s="33">
        <f t="shared" ca="1" si="244"/>
        <v>7511.9979990266156</v>
      </c>
      <c r="Y1187" s="32">
        <f t="shared" ca="1" si="251"/>
        <v>0</v>
      </c>
    </row>
    <row r="1188" spans="1:25">
      <c r="A1188" s="5">
        <v>40113</v>
      </c>
      <c r="B1188" s="4">
        <v>7635.09</v>
      </c>
      <c r="C1188" s="4">
        <v>7657.34</v>
      </c>
      <c r="D1188" s="4">
        <v>7586.53</v>
      </c>
      <c r="E1188" s="4">
        <v>7657.34</v>
      </c>
      <c r="F1188" s="4">
        <v>3260600</v>
      </c>
      <c r="G1188" s="8">
        <f t="shared" si="253"/>
        <v>-33.309999999999491</v>
      </c>
      <c r="H1188" s="8">
        <f t="shared" si="252"/>
        <v>22.25</v>
      </c>
      <c r="I1188" s="20">
        <f t="shared" ca="1" si="245"/>
        <v>0</v>
      </c>
      <c r="J1188" s="8">
        <f t="shared" ca="1" si="246"/>
        <v>3</v>
      </c>
      <c r="K1188" s="8">
        <f t="shared" ca="1" si="247"/>
        <v>-33.179999999998472</v>
      </c>
      <c r="L1188" s="8">
        <f t="shared" ca="1" si="248"/>
        <v>17800.200000000019</v>
      </c>
      <c r="M1188" s="9">
        <f ca="1">AVERAGE(E1188:OFFSET(E1188,-M$5+1,0))</f>
        <v>7691.0539999999992</v>
      </c>
      <c r="N1188" s="9">
        <f ca="1">AVERAGE(E1188:OFFSET(E1188,-N$5+1,0))</f>
        <v>7611.5660000000007</v>
      </c>
      <c r="O1188" s="9">
        <f t="shared" ca="1" si="249"/>
        <v>0</v>
      </c>
      <c r="P1188" s="14">
        <f t="shared" si="254"/>
        <v>-0.14433237050870312</v>
      </c>
      <c r="Q1188" s="15">
        <f ca="1">STDEV(P1188:OFFSET(P1188,-$Q$5+1,0))</f>
        <v>0.6833397932935521</v>
      </c>
      <c r="R1188" s="15">
        <f ca="1">STDEV(P1188:OFFSET(P1188,-$R$5+1,0))</f>
        <v>0.8843680142560143</v>
      </c>
      <c r="S1188" s="18">
        <f t="shared" si="241"/>
        <v>70.8100000000004</v>
      </c>
      <c r="T1188" s="18">
        <f t="shared" si="242"/>
        <v>81.869999999999891</v>
      </c>
      <c r="U1188" s="18">
        <f t="shared" si="250"/>
        <v>92.037568816368832</v>
      </c>
      <c r="V1188" s="33">
        <f ca="1">AVERAGE(E1188:OFFSET(E1188,-V$5+1,0))</f>
        <v>7655.8778571428556</v>
      </c>
      <c r="W1188" s="33">
        <f t="shared" ca="1" si="243"/>
        <v>7793.9342103674089</v>
      </c>
      <c r="X1188" s="33">
        <f t="shared" ca="1" si="244"/>
        <v>7517.8215039183024</v>
      </c>
      <c r="Y1188" s="32">
        <f t="shared" ca="1" si="251"/>
        <v>0</v>
      </c>
    </row>
    <row r="1189" spans="1:25">
      <c r="A1189" s="5">
        <v>40114</v>
      </c>
      <c r="B1189" s="4">
        <v>7637.44</v>
      </c>
      <c r="C1189" s="4">
        <v>7675.15</v>
      </c>
      <c r="D1189" s="4">
        <v>7533.95</v>
      </c>
      <c r="E1189" s="4">
        <v>7533.95</v>
      </c>
      <c r="F1189" s="4">
        <v>3735200</v>
      </c>
      <c r="G1189" s="8">
        <f t="shared" si="253"/>
        <v>-19.900000000000546</v>
      </c>
      <c r="H1189" s="8">
        <f t="shared" si="252"/>
        <v>-103.48999999999978</v>
      </c>
      <c r="I1189" s="20">
        <f t="shared" ca="1" si="245"/>
        <v>0</v>
      </c>
      <c r="J1189" s="8">
        <f t="shared" ca="1" si="246"/>
        <v>3</v>
      </c>
      <c r="K1189" s="8">
        <f t="shared" ca="1" si="247"/>
        <v>-370.17000000000098</v>
      </c>
      <c r="L1189" s="8">
        <f t="shared" ca="1" si="248"/>
        <v>17430.030000000017</v>
      </c>
      <c r="M1189" s="9">
        <f ca="1">AVERAGE(E1189:OFFSET(E1189,-M$5+1,0))</f>
        <v>7674.8739999999989</v>
      </c>
      <c r="N1189" s="9">
        <f ca="1">AVERAGE(E1189:OFFSET(E1189,-N$5+1,0))</f>
        <v>7612.8050000000003</v>
      </c>
      <c r="O1189" s="9">
        <f t="shared" ca="1" si="249"/>
        <v>0</v>
      </c>
      <c r="P1189" s="14">
        <f t="shared" si="254"/>
        <v>-1.6245192291676747</v>
      </c>
      <c r="Q1189" s="15">
        <f ca="1">STDEV(P1189:OFFSET(P1189,-$Q$5+1,0))</f>
        <v>0.72816424732632878</v>
      </c>
      <c r="R1189" s="15">
        <f ca="1">STDEV(P1189:OFFSET(P1189,-$R$5+1,0))</f>
        <v>0.93093465889814608</v>
      </c>
      <c r="S1189" s="18">
        <f t="shared" si="241"/>
        <v>141.19999999999982</v>
      </c>
      <c r="T1189" s="18">
        <f t="shared" si="242"/>
        <v>141.19999999999982</v>
      </c>
      <c r="U1189" s="18">
        <f t="shared" si="250"/>
        <v>98.592559640852969</v>
      </c>
      <c r="V1189" s="33">
        <f ca="1">AVERAGE(E1189:OFFSET(E1189,-V$5+1,0))</f>
        <v>7658.0664285714274</v>
      </c>
      <c r="W1189" s="33">
        <f t="shared" ca="1" si="243"/>
        <v>7805.955268032707</v>
      </c>
      <c r="X1189" s="33">
        <f t="shared" ca="1" si="244"/>
        <v>7510.1775891101479</v>
      </c>
      <c r="Y1189" s="32">
        <f t="shared" ca="1" si="251"/>
        <v>0</v>
      </c>
    </row>
    <row r="1190" spans="1:25">
      <c r="A1190" s="5">
        <v>40115</v>
      </c>
      <c r="B1190" s="4">
        <v>7417.13</v>
      </c>
      <c r="C1190" s="4">
        <v>7426.47</v>
      </c>
      <c r="D1190" s="4">
        <v>7233.63</v>
      </c>
      <c r="E1190" s="4">
        <v>7355.69</v>
      </c>
      <c r="F1190" s="4">
        <v>5153800</v>
      </c>
      <c r="G1190" s="8">
        <f t="shared" si="253"/>
        <v>-116.81999999999971</v>
      </c>
      <c r="H1190" s="8">
        <f t="shared" si="252"/>
        <v>-61.440000000000509</v>
      </c>
      <c r="I1190" s="20">
        <f t="shared" ca="1" si="245"/>
        <v>-1</v>
      </c>
      <c r="J1190" s="8">
        <f t="shared" ca="1" si="246"/>
        <v>3</v>
      </c>
      <c r="K1190" s="8">
        <f t="shared" ca="1" si="247"/>
        <v>-534.78000000000065</v>
      </c>
      <c r="L1190" s="8">
        <f t="shared" ca="1" si="248"/>
        <v>16895.250000000015</v>
      </c>
      <c r="M1190" s="9">
        <f ca="1">AVERAGE(E1190:OFFSET(E1190,-M$5+1,0))</f>
        <v>7639.4030000000002</v>
      </c>
      <c r="N1190" s="9">
        <f ca="1">AVERAGE(E1190:OFFSET(E1190,-N$5+1,0))</f>
        <v>7603.3249999999998</v>
      </c>
      <c r="O1190" s="9">
        <f t="shared" ca="1" si="249"/>
        <v>0</v>
      </c>
      <c r="P1190" s="14">
        <f t="shared" si="254"/>
        <v>-2.3945309281670704</v>
      </c>
      <c r="Q1190" s="15">
        <f ca="1">STDEV(P1190:OFFSET(P1190,-$Q$5+1,0))</f>
        <v>0.98336737246183648</v>
      </c>
      <c r="R1190" s="15">
        <f ca="1">STDEV(P1190:OFFSET(P1190,-$R$5+1,0))</f>
        <v>1.0069036114744305</v>
      </c>
      <c r="S1190" s="18">
        <f t="shared" si="241"/>
        <v>192.84000000000015</v>
      </c>
      <c r="T1190" s="18">
        <f t="shared" si="242"/>
        <v>300.31999999999971</v>
      </c>
      <c r="U1190" s="18">
        <f t="shared" si="250"/>
        <v>125.4895516887392</v>
      </c>
      <c r="V1190" s="33">
        <f ca="1">AVERAGE(E1190:OFFSET(E1190,-V$5+1,0))</f>
        <v>7642.6185714285702</v>
      </c>
      <c r="W1190" s="33">
        <f t="shared" ca="1" si="243"/>
        <v>7830.8528989616789</v>
      </c>
      <c r="X1190" s="33">
        <f t="shared" ca="1" si="244"/>
        <v>7454.3842438954616</v>
      </c>
      <c r="Y1190" s="32">
        <f t="shared" ca="1" si="251"/>
        <v>-1</v>
      </c>
    </row>
    <row r="1191" spans="1:25">
      <c r="A1191" s="5">
        <v>40116</v>
      </c>
      <c r="B1191" s="4">
        <v>7428.72</v>
      </c>
      <c r="C1191" s="4">
        <v>7433.21</v>
      </c>
      <c r="D1191" s="4">
        <v>7340.08</v>
      </c>
      <c r="E1191" s="4">
        <v>7340.08</v>
      </c>
      <c r="F1191" s="4">
        <v>3621000</v>
      </c>
      <c r="G1191" s="8">
        <f t="shared" si="253"/>
        <v>73.030000000000655</v>
      </c>
      <c r="H1191" s="8">
        <f t="shared" si="252"/>
        <v>-88.640000000000327</v>
      </c>
      <c r="I1191" s="20">
        <f t="shared" ca="1" si="245"/>
        <v>0</v>
      </c>
      <c r="J1191" s="8">
        <f t="shared" ca="1" si="246"/>
        <v>2</v>
      </c>
      <c r="K1191" s="8">
        <f t="shared" ca="1" si="247"/>
        <v>41.81000000000131</v>
      </c>
      <c r="L1191" s="8">
        <f t="shared" ca="1" si="248"/>
        <v>16937.060000000016</v>
      </c>
      <c r="M1191" s="9">
        <f ca="1">AVERAGE(E1191:OFFSET(E1191,-M$5+1,0))</f>
        <v>7601.9010000000007</v>
      </c>
      <c r="N1191" s="9">
        <f ca="1">AVERAGE(E1191:OFFSET(E1191,-N$5+1,0))</f>
        <v>7599.7350000000006</v>
      </c>
      <c r="O1191" s="9">
        <f t="shared" ca="1" si="249"/>
        <v>0</v>
      </c>
      <c r="P1191" s="14">
        <f t="shared" si="254"/>
        <v>-0.21244216357329737</v>
      </c>
      <c r="Q1191" s="15">
        <f ca="1">STDEV(P1191:OFFSET(P1191,-$Q$5+1,0))</f>
        <v>0.97065529311669141</v>
      </c>
      <c r="R1191" s="15">
        <f ca="1">STDEV(P1191:OFFSET(P1191,-$R$5+1,0))</f>
        <v>1.0033028156220825</v>
      </c>
      <c r="S1191" s="18">
        <f t="shared" si="241"/>
        <v>93.130000000000109</v>
      </c>
      <c r="T1191" s="18">
        <f t="shared" si="242"/>
        <v>93.130000000000109</v>
      </c>
      <c r="U1191" s="18">
        <f t="shared" si="250"/>
        <v>121.17494479690733</v>
      </c>
      <c r="V1191" s="33">
        <f ca="1">AVERAGE(E1191:OFFSET(E1191,-V$5+1,0))</f>
        <v>7624.0614285714282</v>
      </c>
      <c r="W1191" s="33">
        <f t="shared" ca="1" si="243"/>
        <v>7805.8238457667894</v>
      </c>
      <c r="X1191" s="33">
        <f t="shared" ca="1" si="244"/>
        <v>7442.299011376067</v>
      </c>
      <c r="Y1191" s="32">
        <f t="shared" ca="1" si="251"/>
        <v>0</v>
      </c>
    </row>
    <row r="1192" spans="1:25">
      <c r="A1192" s="5">
        <v>40119</v>
      </c>
      <c r="B1192" s="4">
        <v>7238.3</v>
      </c>
      <c r="C1192" s="4">
        <v>7336.65</v>
      </c>
      <c r="D1192" s="4">
        <v>7218.89</v>
      </c>
      <c r="E1192" s="4">
        <v>7335.18</v>
      </c>
      <c r="F1192" s="4">
        <v>3131000</v>
      </c>
      <c r="G1192" s="8">
        <f t="shared" si="253"/>
        <v>-101.77999999999975</v>
      </c>
      <c r="H1192" s="8">
        <f t="shared" si="252"/>
        <v>96.880000000000109</v>
      </c>
      <c r="I1192" s="20">
        <f t="shared" ca="1" si="245"/>
        <v>0</v>
      </c>
      <c r="J1192" s="8">
        <f t="shared" ca="1" si="246"/>
        <v>2</v>
      </c>
      <c r="K1192" s="8">
        <f t="shared" ca="1" si="247"/>
        <v>-9.7999999999992724</v>
      </c>
      <c r="L1192" s="8">
        <f t="shared" ca="1" si="248"/>
        <v>16927.260000000017</v>
      </c>
      <c r="M1192" s="9">
        <f ca="1">AVERAGE(E1192:OFFSET(E1192,-M$5+1,0))</f>
        <v>7560.2869999999994</v>
      </c>
      <c r="N1192" s="9">
        <f ca="1">AVERAGE(E1192:OFFSET(E1192,-N$5+1,0))</f>
        <v>7594.5949999999984</v>
      </c>
      <c r="O1192" s="9">
        <f t="shared" ca="1" si="249"/>
        <v>-1</v>
      </c>
      <c r="P1192" s="14">
        <f t="shared" si="254"/>
        <v>-6.6779057844205666E-2</v>
      </c>
      <c r="Q1192" s="15">
        <f ca="1">STDEV(P1192:OFFSET(P1192,-$Q$5+1,0))</f>
        <v>0.92512273116320642</v>
      </c>
      <c r="R1192" s="15">
        <f ca="1">STDEV(P1192:OFFSET(P1192,-$R$5+1,0))</f>
        <v>0.99205934338281976</v>
      </c>
      <c r="S1192" s="18">
        <f t="shared" si="241"/>
        <v>117.75999999999931</v>
      </c>
      <c r="T1192" s="18">
        <f t="shared" si="242"/>
        <v>121.1899999999996</v>
      </c>
      <c r="U1192" s="18">
        <f t="shared" si="250"/>
        <v>121.17695215731962</v>
      </c>
      <c r="V1192" s="33">
        <f ca="1">AVERAGE(E1192:OFFSET(E1192,-V$5+1,0))</f>
        <v>7605.3885714285716</v>
      </c>
      <c r="W1192" s="33">
        <f t="shared" ca="1" si="243"/>
        <v>7787.1539996645506</v>
      </c>
      <c r="X1192" s="33">
        <f t="shared" ca="1" si="244"/>
        <v>7423.6231431925926</v>
      </c>
      <c r="Y1192" s="32">
        <f t="shared" ca="1" si="251"/>
        <v>0</v>
      </c>
    </row>
    <row r="1193" spans="1:25">
      <c r="A1193" s="5">
        <v>40120</v>
      </c>
      <c r="B1193" s="4">
        <v>7339.36</v>
      </c>
      <c r="C1193" s="4">
        <v>7368.28</v>
      </c>
      <c r="D1193" s="4">
        <v>7314.97</v>
      </c>
      <c r="E1193" s="4">
        <v>7322.93</v>
      </c>
      <c r="F1193" s="4">
        <v>2929000</v>
      </c>
      <c r="G1193" s="8">
        <f t="shared" si="253"/>
        <v>4.1799999999993815</v>
      </c>
      <c r="H1193" s="8">
        <f t="shared" si="252"/>
        <v>-16.429999999999382</v>
      </c>
      <c r="I1193" s="20">
        <f t="shared" ca="1" si="245"/>
        <v>0</v>
      </c>
      <c r="J1193" s="8">
        <f t="shared" ca="1" si="246"/>
        <v>2</v>
      </c>
      <c r="K1193" s="8">
        <f t="shared" ca="1" si="247"/>
        <v>-24.5</v>
      </c>
      <c r="L1193" s="8">
        <f t="shared" ca="1" si="248"/>
        <v>16902.760000000017</v>
      </c>
      <c r="M1193" s="9">
        <f ca="1">AVERAGE(E1193:OFFSET(E1193,-M$5+1,0))</f>
        <v>7517.2280000000001</v>
      </c>
      <c r="N1193" s="9">
        <f ca="1">AVERAGE(E1193:OFFSET(E1193,-N$5+1,0))</f>
        <v>7583.9390000000003</v>
      </c>
      <c r="O1193" s="9">
        <f t="shared" ca="1" si="249"/>
        <v>0</v>
      </c>
      <c r="P1193" s="14">
        <f t="shared" si="254"/>
        <v>-0.16714300618402134</v>
      </c>
      <c r="Q1193" s="15">
        <f ca="1">STDEV(P1193:OFFSET(P1193,-$Q$5+1,0))</f>
        <v>0.91349118332137214</v>
      </c>
      <c r="R1193" s="15">
        <f ca="1">STDEV(P1193:OFFSET(P1193,-$R$5+1,0))</f>
        <v>0.97343989252831298</v>
      </c>
      <c r="S1193" s="18">
        <f t="shared" si="241"/>
        <v>53.309999999999491</v>
      </c>
      <c r="T1193" s="18">
        <f t="shared" si="242"/>
        <v>53.309999999999491</v>
      </c>
      <c r="U1193" s="18">
        <f t="shared" si="250"/>
        <v>112.12802520301027</v>
      </c>
      <c r="V1193" s="33">
        <f ca="1">AVERAGE(E1193:OFFSET(E1193,-V$5+1,0))</f>
        <v>7578.7585714285715</v>
      </c>
      <c r="W1193" s="33">
        <f t="shared" ca="1" si="243"/>
        <v>7746.9506092330867</v>
      </c>
      <c r="X1193" s="33">
        <f t="shared" ca="1" si="244"/>
        <v>7410.5665336240563</v>
      </c>
      <c r="Y1193" s="32">
        <f t="shared" ca="1" si="251"/>
        <v>0</v>
      </c>
    </row>
    <row r="1194" spans="1:25">
      <c r="A1194" s="5">
        <v>40121</v>
      </c>
      <c r="B1194" s="4">
        <v>7375.82</v>
      </c>
      <c r="C1194" s="4">
        <v>7467.04</v>
      </c>
      <c r="D1194" s="4">
        <v>7365.26</v>
      </c>
      <c r="E1194" s="4">
        <v>7467.04</v>
      </c>
      <c r="F1194" s="4">
        <v>3706800</v>
      </c>
      <c r="G1194" s="8">
        <f t="shared" si="253"/>
        <v>52.889999999999418</v>
      </c>
      <c r="H1194" s="8">
        <f t="shared" si="252"/>
        <v>91.220000000000255</v>
      </c>
      <c r="I1194" s="20">
        <f t="shared" ca="1" si="245"/>
        <v>0</v>
      </c>
      <c r="J1194" s="8">
        <f t="shared" ca="1" si="246"/>
        <v>2</v>
      </c>
      <c r="K1194" s="8">
        <f t="shared" ca="1" si="247"/>
        <v>288.21999999999935</v>
      </c>
      <c r="L1194" s="8">
        <f t="shared" ca="1" si="248"/>
        <v>17190.980000000018</v>
      </c>
      <c r="M1194" s="9">
        <f ca="1">AVERAGE(E1194:OFFSET(E1194,-M$5+1,0))</f>
        <v>7493.7819999999992</v>
      </c>
      <c r="N1194" s="9">
        <f ca="1">AVERAGE(E1194:OFFSET(E1194,-N$5+1,0))</f>
        <v>7576.8579999999984</v>
      </c>
      <c r="O1194" s="9">
        <f t="shared" ca="1" si="249"/>
        <v>0</v>
      </c>
      <c r="P1194" s="14">
        <f t="shared" si="254"/>
        <v>1.9488147833618419</v>
      </c>
      <c r="Q1194" s="15">
        <f ca="1">STDEV(P1194:OFFSET(P1194,-$Q$5+1,0))</f>
        <v>1.2093911929709602</v>
      </c>
      <c r="R1194" s="15">
        <f ca="1">STDEV(P1194:OFFSET(P1194,-$R$5+1,0))</f>
        <v>1.0099907642347099</v>
      </c>
      <c r="S1194" s="18">
        <f t="shared" si="241"/>
        <v>101.77999999999975</v>
      </c>
      <c r="T1194" s="18">
        <f t="shared" si="242"/>
        <v>144.10999999999967</v>
      </c>
      <c r="U1194" s="18">
        <f t="shared" si="250"/>
        <v>116.39228850927552</v>
      </c>
      <c r="V1194" s="33">
        <f ca="1">AVERAGE(E1194:OFFSET(E1194,-V$5+1,0))</f>
        <v>7561.3757142857139</v>
      </c>
      <c r="W1194" s="33">
        <f t="shared" ca="1" si="243"/>
        <v>7735.9641470496272</v>
      </c>
      <c r="X1194" s="33">
        <f t="shared" ca="1" si="244"/>
        <v>7386.7872815218007</v>
      </c>
      <c r="Y1194" s="32">
        <f t="shared" ca="1" si="251"/>
        <v>0</v>
      </c>
    </row>
    <row r="1195" spans="1:25">
      <c r="A1195" s="5">
        <v>40122</v>
      </c>
      <c r="B1195" s="4">
        <v>7471.61</v>
      </c>
      <c r="C1195" s="4">
        <v>7481.58</v>
      </c>
      <c r="D1195" s="4">
        <v>7412.74</v>
      </c>
      <c r="E1195" s="4">
        <v>7417.46</v>
      </c>
      <c r="F1195" s="4">
        <v>3193400</v>
      </c>
      <c r="G1195" s="8">
        <f t="shared" si="253"/>
        <v>4.569999999999709</v>
      </c>
      <c r="H1195" s="8">
        <f t="shared" si="252"/>
        <v>-54.149999999999636</v>
      </c>
      <c r="I1195" s="20">
        <f t="shared" ca="1" si="245"/>
        <v>0</v>
      </c>
      <c r="J1195" s="8">
        <f t="shared" ca="1" si="246"/>
        <v>2</v>
      </c>
      <c r="K1195" s="8">
        <f t="shared" ca="1" si="247"/>
        <v>-99.159999999999854</v>
      </c>
      <c r="L1195" s="8">
        <f t="shared" ca="1" si="248"/>
        <v>17091.820000000018</v>
      </c>
      <c r="M1195" s="9">
        <f ca="1">AVERAGE(E1195:OFFSET(E1195,-M$5+1,0))</f>
        <v>7474.7350000000006</v>
      </c>
      <c r="N1195" s="9">
        <f ca="1">AVERAGE(E1195:OFFSET(E1195,-N$5+1,0))</f>
        <v>7572.5654999999988</v>
      </c>
      <c r="O1195" s="9">
        <f t="shared" ca="1" si="249"/>
        <v>0</v>
      </c>
      <c r="P1195" s="14">
        <f t="shared" si="254"/>
        <v>-0.6661988427137725</v>
      </c>
      <c r="Q1195" s="15">
        <f ca="1">STDEV(P1195:OFFSET(P1195,-$Q$5+1,0))</f>
        <v>1.17502641786391</v>
      </c>
      <c r="R1195" s="15">
        <f ca="1">STDEV(P1195:OFFSET(P1195,-$R$5+1,0))</f>
        <v>1.0021058505206897</v>
      </c>
      <c r="S1195" s="18">
        <f t="shared" si="241"/>
        <v>68.840000000000146</v>
      </c>
      <c r="T1195" s="18">
        <f t="shared" si="242"/>
        <v>68.840000000000146</v>
      </c>
      <c r="U1195" s="18">
        <f t="shared" si="250"/>
        <v>110.05198337470547</v>
      </c>
      <c r="V1195" s="33">
        <f ca="1">AVERAGE(E1195:OFFSET(E1195,-V$5+1,0))</f>
        <v>7540.1157142857137</v>
      </c>
      <c r="W1195" s="33">
        <f t="shared" ca="1" si="243"/>
        <v>7705.1936893477723</v>
      </c>
      <c r="X1195" s="33">
        <f t="shared" ca="1" si="244"/>
        <v>7375.0377392236551</v>
      </c>
      <c r="Y1195" s="32">
        <f t="shared" ca="1" si="251"/>
        <v>0</v>
      </c>
    </row>
    <row r="1196" spans="1:25">
      <c r="A1196" s="5">
        <v>40123</v>
      </c>
      <c r="B1196" s="4">
        <v>7516.4</v>
      </c>
      <c r="C1196" s="4">
        <v>7521.01</v>
      </c>
      <c r="D1196" s="4">
        <v>7450.68</v>
      </c>
      <c r="E1196" s="4">
        <v>7463.05</v>
      </c>
      <c r="F1196" s="4">
        <v>3327200</v>
      </c>
      <c r="G1196" s="8">
        <f t="shared" si="253"/>
        <v>98.9399999999996</v>
      </c>
      <c r="H1196" s="8">
        <f t="shared" si="252"/>
        <v>-53.349999999999454</v>
      </c>
      <c r="I1196" s="20">
        <f t="shared" ca="1" si="245"/>
        <v>0</v>
      </c>
      <c r="J1196" s="8">
        <f t="shared" ca="1" si="246"/>
        <v>2</v>
      </c>
      <c r="K1196" s="8">
        <f t="shared" ca="1" si="247"/>
        <v>91.180000000000291</v>
      </c>
      <c r="L1196" s="8">
        <f t="shared" ca="1" si="248"/>
        <v>17183.000000000018</v>
      </c>
      <c r="M1196" s="9">
        <f ca="1">AVERAGE(E1196:OFFSET(E1196,-M$5+1,0))</f>
        <v>7456.112000000001</v>
      </c>
      <c r="N1196" s="9">
        <f ca="1">AVERAGE(E1196:OFFSET(E1196,-N$5+1,0))</f>
        <v>7567.1199999999981</v>
      </c>
      <c r="O1196" s="9">
        <f t="shared" ca="1" si="249"/>
        <v>0</v>
      </c>
      <c r="P1196" s="14">
        <f t="shared" si="254"/>
        <v>0.61274973296307533</v>
      </c>
      <c r="Q1196" s="15">
        <f ca="1">STDEV(P1196:OFFSET(P1196,-$Q$5+1,0))</f>
        <v>1.1805457555728591</v>
      </c>
      <c r="R1196" s="15">
        <f ca="1">STDEV(P1196:OFFSET(P1196,-$R$5+1,0))</f>
        <v>1.0063422395157893</v>
      </c>
      <c r="S1196" s="18">
        <f t="shared" si="241"/>
        <v>70.329999999999927</v>
      </c>
      <c r="T1196" s="18">
        <f t="shared" si="242"/>
        <v>103.55000000000018</v>
      </c>
      <c r="U1196" s="18">
        <f t="shared" si="250"/>
        <v>109.1850522580781</v>
      </c>
      <c r="V1196" s="33">
        <f ca="1">AVERAGE(E1196:OFFSET(E1196,-V$5+1,0))</f>
        <v>7519.5249999999996</v>
      </c>
      <c r="W1196" s="33">
        <f t="shared" ca="1" si="243"/>
        <v>7683.3025783871171</v>
      </c>
      <c r="X1196" s="33">
        <f t="shared" ca="1" si="244"/>
        <v>7355.7474216128821</v>
      </c>
      <c r="Y1196" s="32">
        <f t="shared" ca="1" si="251"/>
        <v>0</v>
      </c>
    </row>
    <row r="1197" spans="1:25">
      <c r="A1197" s="5">
        <v>40126</v>
      </c>
      <c r="B1197" s="4">
        <v>7562.59</v>
      </c>
      <c r="C1197" s="4">
        <v>7562.59</v>
      </c>
      <c r="D1197" s="4">
        <v>7512.5</v>
      </c>
      <c r="E1197" s="4">
        <v>7536.7</v>
      </c>
      <c r="F1197" s="4">
        <v>2950400</v>
      </c>
      <c r="G1197" s="8">
        <f t="shared" si="253"/>
        <v>99.539999999999964</v>
      </c>
      <c r="H1197" s="8">
        <f t="shared" si="252"/>
        <v>-25.890000000000327</v>
      </c>
      <c r="I1197" s="20">
        <f t="shared" ca="1" si="245"/>
        <v>0</v>
      </c>
      <c r="J1197" s="8">
        <f t="shared" ca="1" si="246"/>
        <v>2</v>
      </c>
      <c r="K1197" s="8">
        <f t="shared" ca="1" si="247"/>
        <v>147.29999999999927</v>
      </c>
      <c r="L1197" s="8">
        <f t="shared" ca="1" si="248"/>
        <v>17330.300000000017</v>
      </c>
      <c r="M1197" s="9">
        <f ca="1">AVERAGE(E1197:OFFSET(E1197,-M$5+1,0))</f>
        <v>7442.942</v>
      </c>
      <c r="N1197" s="9">
        <f ca="1">AVERAGE(E1197:OFFSET(E1197,-N$5+1,0))</f>
        <v>7563.9610000000002</v>
      </c>
      <c r="O1197" s="9">
        <f t="shared" ca="1" si="249"/>
        <v>0</v>
      </c>
      <c r="P1197" s="14">
        <f t="shared" si="254"/>
        <v>0.98202425883292899</v>
      </c>
      <c r="Q1197" s="15">
        <f ca="1">STDEV(P1197:OFFSET(P1197,-$Q$5+1,0))</f>
        <v>1.2361512244261796</v>
      </c>
      <c r="R1197" s="15">
        <f ca="1">STDEV(P1197:OFFSET(P1197,-$R$5+1,0))</f>
        <v>0.99958511128694272</v>
      </c>
      <c r="S1197" s="18">
        <f t="shared" si="241"/>
        <v>50.090000000000146</v>
      </c>
      <c r="T1197" s="18">
        <f t="shared" si="242"/>
        <v>99.539999999999964</v>
      </c>
      <c r="U1197" s="18">
        <f t="shared" si="250"/>
        <v>107.89904529033434</v>
      </c>
      <c r="V1197" s="33">
        <f ca="1">AVERAGE(E1197:OFFSET(E1197,-V$5+1,0))</f>
        <v>7504.0378571428573</v>
      </c>
      <c r="W1197" s="33">
        <f t="shared" ca="1" si="243"/>
        <v>7665.886425078359</v>
      </c>
      <c r="X1197" s="33">
        <f t="shared" ca="1" si="244"/>
        <v>7342.1892892073556</v>
      </c>
      <c r="Y1197" s="32">
        <f t="shared" ca="1" si="251"/>
        <v>0</v>
      </c>
    </row>
    <row r="1198" spans="1:25">
      <c r="A1198" s="5">
        <v>40127</v>
      </c>
      <c r="B1198" s="4">
        <v>7613.34</v>
      </c>
      <c r="C1198" s="4">
        <v>7614.54</v>
      </c>
      <c r="D1198" s="4">
        <v>7576.28</v>
      </c>
      <c r="E1198" s="4">
        <v>7593.49</v>
      </c>
      <c r="F1198" s="4">
        <v>3245200</v>
      </c>
      <c r="G1198" s="8">
        <f t="shared" si="253"/>
        <v>76.640000000000327</v>
      </c>
      <c r="H1198" s="8">
        <f t="shared" si="252"/>
        <v>-19.850000000000364</v>
      </c>
      <c r="I1198" s="20">
        <f t="shared" ca="1" si="245"/>
        <v>0</v>
      </c>
      <c r="J1198" s="8">
        <f t="shared" ca="1" si="246"/>
        <v>2</v>
      </c>
      <c r="K1198" s="8">
        <f t="shared" ca="1" si="247"/>
        <v>113.57999999999993</v>
      </c>
      <c r="L1198" s="8">
        <f t="shared" ca="1" si="248"/>
        <v>17443.880000000019</v>
      </c>
      <c r="M1198" s="9">
        <f ca="1">AVERAGE(E1198:OFFSET(E1198,-M$5+1,0))</f>
        <v>7436.5570000000007</v>
      </c>
      <c r="N1198" s="9">
        <f ca="1">AVERAGE(E1198:OFFSET(E1198,-N$5+1,0))</f>
        <v>7563.8054999999995</v>
      </c>
      <c r="O1198" s="9">
        <f t="shared" ca="1" si="249"/>
        <v>0</v>
      </c>
      <c r="P1198" s="14">
        <f t="shared" si="254"/>
        <v>0.75068808377888574</v>
      </c>
      <c r="Q1198" s="15">
        <f ca="1">STDEV(P1198:OFFSET(P1198,-$Q$5+1,0))</f>
        <v>1.2704033571878228</v>
      </c>
      <c r="R1198" s="15">
        <f ca="1">STDEV(P1198:OFFSET(P1198,-$R$5+1,0))</f>
        <v>0.98863811498661613</v>
      </c>
      <c r="S1198" s="18">
        <f t="shared" si="241"/>
        <v>38.260000000000218</v>
      </c>
      <c r="T1198" s="18">
        <f t="shared" si="242"/>
        <v>77.840000000000146</v>
      </c>
      <c r="U1198" s="18">
        <f t="shared" si="250"/>
        <v>103.89117258495645</v>
      </c>
      <c r="V1198" s="33">
        <f ca="1">AVERAGE(E1198:OFFSET(E1198,-V$5+1,0))</f>
        <v>7496.3228571428572</v>
      </c>
      <c r="W1198" s="33">
        <f t="shared" ca="1" si="243"/>
        <v>7652.1596160202917</v>
      </c>
      <c r="X1198" s="33">
        <f t="shared" ca="1" si="244"/>
        <v>7340.4860982654227</v>
      </c>
      <c r="Y1198" s="32">
        <f t="shared" ca="1" si="251"/>
        <v>0</v>
      </c>
    </row>
    <row r="1199" spans="1:25">
      <c r="A1199" s="5">
        <v>40128</v>
      </c>
      <c r="B1199" s="4">
        <v>7603.68</v>
      </c>
      <c r="C1199" s="4">
        <v>7670.76</v>
      </c>
      <c r="D1199" s="4">
        <v>7555.83</v>
      </c>
      <c r="E1199" s="4">
        <v>7668.06</v>
      </c>
      <c r="F1199" s="4">
        <v>3483200</v>
      </c>
      <c r="G1199" s="8">
        <f t="shared" si="253"/>
        <v>10.190000000000509</v>
      </c>
      <c r="H1199" s="8">
        <f t="shared" si="252"/>
        <v>64.380000000000109</v>
      </c>
      <c r="I1199" s="20">
        <f t="shared" ca="1" si="245"/>
        <v>1</v>
      </c>
      <c r="J1199" s="8">
        <f t="shared" ca="1" si="246"/>
        <v>2</v>
      </c>
      <c r="K1199" s="8">
        <f t="shared" ca="1" si="247"/>
        <v>149.14000000000124</v>
      </c>
      <c r="L1199" s="8">
        <f t="shared" ca="1" si="248"/>
        <v>17593.020000000019</v>
      </c>
      <c r="M1199" s="9">
        <f ca="1">AVERAGE(E1199:OFFSET(E1199,-M$5+1,0))</f>
        <v>7449.9679999999989</v>
      </c>
      <c r="N1199" s="9">
        <f ca="1">AVERAGE(E1199:OFFSET(E1199,-N$5+1,0))</f>
        <v>7562.4209999999994</v>
      </c>
      <c r="O1199" s="9">
        <f t="shared" ca="1" si="249"/>
        <v>0</v>
      </c>
      <c r="P1199" s="14">
        <f t="shared" si="254"/>
        <v>0.9772348607382535</v>
      </c>
      <c r="Q1199" s="15">
        <f ca="1">STDEV(P1199:OFFSET(P1199,-$Q$5+1,0))</f>
        <v>1.1832180078377845</v>
      </c>
      <c r="R1199" s="15">
        <f ca="1">STDEV(P1199:OFFSET(P1199,-$R$5+1,0))</f>
        <v>0.98063810735131918</v>
      </c>
      <c r="S1199" s="18">
        <f t="shared" si="241"/>
        <v>114.93000000000029</v>
      </c>
      <c r="T1199" s="18">
        <f t="shared" si="242"/>
        <v>114.93000000000029</v>
      </c>
      <c r="U1199" s="18">
        <f t="shared" si="250"/>
        <v>105.36301624029564</v>
      </c>
      <c r="V1199" s="33">
        <f ca="1">AVERAGE(E1199:OFFSET(E1199,-V$5+1,0))</f>
        <v>7500.6178571428582</v>
      </c>
      <c r="W1199" s="33">
        <f t="shared" ca="1" si="243"/>
        <v>7658.6623815033017</v>
      </c>
      <c r="X1199" s="33">
        <f t="shared" ca="1" si="244"/>
        <v>7342.5733327824146</v>
      </c>
      <c r="Y1199" s="32">
        <f t="shared" ca="1" si="251"/>
        <v>1</v>
      </c>
    </row>
    <row r="1200" spans="1:25">
      <c r="A1200" s="5">
        <v>40129</v>
      </c>
      <c r="B1200" s="4">
        <v>7682.75</v>
      </c>
      <c r="C1200" s="4">
        <v>7709.89</v>
      </c>
      <c r="D1200" s="4">
        <v>7658.6</v>
      </c>
      <c r="E1200" s="4">
        <v>7670.93</v>
      </c>
      <c r="F1200" s="4">
        <v>4008400</v>
      </c>
      <c r="G1200" s="8">
        <f t="shared" si="253"/>
        <v>14.6899999999996</v>
      </c>
      <c r="H1200" s="8">
        <f t="shared" si="252"/>
        <v>-11.819999999999709</v>
      </c>
      <c r="I1200" s="20">
        <f t="shared" ca="1" si="245"/>
        <v>0</v>
      </c>
      <c r="J1200" s="8">
        <f t="shared" ca="1" si="246"/>
        <v>3</v>
      </c>
      <c r="K1200" s="8">
        <f t="shared" ca="1" si="247"/>
        <v>-6.0799999999999272</v>
      </c>
      <c r="L1200" s="8">
        <f t="shared" ca="1" si="248"/>
        <v>17586.940000000017</v>
      </c>
      <c r="M1200" s="9">
        <f ca="1">AVERAGE(E1200:OFFSET(E1200,-M$5+1,0))</f>
        <v>7481.4920000000011</v>
      </c>
      <c r="N1200" s="9">
        <f ca="1">AVERAGE(E1200:OFFSET(E1200,-N$5+1,0))</f>
        <v>7560.4474999999993</v>
      </c>
      <c r="O1200" s="9">
        <f t="shared" ca="1" si="249"/>
        <v>0</v>
      </c>
      <c r="P1200" s="14">
        <f t="shared" si="254"/>
        <v>3.742097795867555E-2</v>
      </c>
      <c r="Q1200" s="15">
        <f ca="1">STDEV(P1200:OFFSET(P1200,-$Q$5+1,0))</f>
        <v>0.77588879750652673</v>
      </c>
      <c r="R1200" s="15">
        <f ca="1">STDEV(P1200:OFFSET(P1200,-$R$5+1,0))</f>
        <v>0.97826279586152654</v>
      </c>
      <c r="S1200" s="18">
        <f t="shared" si="241"/>
        <v>51.289999999999964</v>
      </c>
      <c r="T1200" s="18">
        <f t="shared" si="242"/>
        <v>51.289999999999964</v>
      </c>
      <c r="U1200" s="18">
        <f t="shared" si="250"/>
        <v>98.153280741589555</v>
      </c>
      <c r="V1200" s="33">
        <f ca="1">AVERAGE(E1200:OFFSET(E1200,-V$5+1,0))</f>
        <v>7502.164285714287</v>
      </c>
      <c r="W1200" s="33">
        <f t="shared" ca="1" si="243"/>
        <v>7649.3942068266715</v>
      </c>
      <c r="X1200" s="33">
        <f t="shared" ca="1" si="244"/>
        <v>7354.9343646019024</v>
      </c>
      <c r="Y1200" s="32">
        <f t="shared" ca="1" si="251"/>
        <v>0</v>
      </c>
    </row>
    <row r="1201" spans="1:25">
      <c r="A1201" s="5">
        <v>40130</v>
      </c>
      <c r="B1201" s="4">
        <v>7651.13</v>
      </c>
      <c r="C1201" s="4">
        <v>7695.11</v>
      </c>
      <c r="D1201" s="4">
        <v>7639.57</v>
      </c>
      <c r="E1201" s="4">
        <v>7665.63</v>
      </c>
      <c r="F1201" s="4">
        <v>3472400</v>
      </c>
      <c r="G1201" s="8">
        <f t="shared" si="253"/>
        <v>-19.800000000000182</v>
      </c>
      <c r="H1201" s="8">
        <f t="shared" si="252"/>
        <v>14.5</v>
      </c>
      <c r="I1201" s="20">
        <f t="shared" ca="1" si="245"/>
        <v>0</v>
      </c>
      <c r="J1201" s="8">
        <f t="shared" ca="1" si="246"/>
        <v>3</v>
      </c>
      <c r="K1201" s="8">
        <f t="shared" ca="1" si="247"/>
        <v>-15.900000000000546</v>
      </c>
      <c r="L1201" s="8">
        <f t="shared" ca="1" si="248"/>
        <v>17571.040000000015</v>
      </c>
      <c r="M1201" s="9">
        <f ca="1">AVERAGE(E1201:OFFSET(E1201,-M$5+1,0))</f>
        <v>7514.0470000000005</v>
      </c>
      <c r="N1201" s="9">
        <f ca="1">AVERAGE(E1201:OFFSET(E1201,-N$5+1,0))</f>
        <v>7557.9740000000002</v>
      </c>
      <c r="O1201" s="9">
        <f t="shared" ca="1" si="249"/>
        <v>0</v>
      </c>
      <c r="P1201" s="14">
        <f t="shared" si="254"/>
        <v>-6.9115893146628499E-2</v>
      </c>
      <c r="Q1201" s="15">
        <f ca="1">STDEV(P1201:OFFSET(P1201,-$Q$5+1,0))</f>
        <v>0.76415035788517516</v>
      </c>
      <c r="R1201" s="15">
        <f ca="1">STDEV(P1201:OFFSET(P1201,-$R$5+1,0))</f>
        <v>0.97370957070840791</v>
      </c>
      <c r="S1201" s="18">
        <f t="shared" si="241"/>
        <v>55.539999999999964</v>
      </c>
      <c r="T1201" s="18">
        <f t="shared" si="242"/>
        <v>55.539999999999964</v>
      </c>
      <c r="U1201" s="18">
        <f t="shared" si="250"/>
        <v>92.471509976044288</v>
      </c>
      <c r="V1201" s="33">
        <f ca="1">AVERAGE(E1201:OFFSET(E1201,-V$5+1,0))</f>
        <v>7501.9664285714289</v>
      </c>
      <c r="W1201" s="33">
        <f t="shared" ca="1" si="243"/>
        <v>7640.6736935354957</v>
      </c>
      <c r="X1201" s="33">
        <f t="shared" ca="1" si="244"/>
        <v>7363.2591636073621</v>
      </c>
      <c r="Y1201" s="32">
        <f t="shared" ca="1" si="251"/>
        <v>0</v>
      </c>
    </row>
    <row r="1202" spans="1:25">
      <c r="A1202" s="5">
        <v>40133</v>
      </c>
      <c r="B1202" s="4">
        <v>7701.97</v>
      </c>
      <c r="C1202" s="4">
        <v>7792.68</v>
      </c>
      <c r="D1202" s="4">
        <v>7699.32</v>
      </c>
      <c r="E1202" s="4">
        <v>7792.68</v>
      </c>
      <c r="F1202" s="4">
        <v>4253800</v>
      </c>
      <c r="G1202" s="8">
        <f t="shared" si="253"/>
        <v>36.340000000000146</v>
      </c>
      <c r="H1202" s="8">
        <f t="shared" si="252"/>
        <v>90.710000000000036</v>
      </c>
      <c r="I1202" s="20">
        <f t="shared" ca="1" si="245"/>
        <v>0</v>
      </c>
      <c r="J1202" s="8">
        <f t="shared" ca="1" si="246"/>
        <v>3</v>
      </c>
      <c r="K1202" s="8">
        <f t="shared" ca="1" si="247"/>
        <v>381.15000000000055</v>
      </c>
      <c r="L1202" s="8">
        <f t="shared" ca="1" si="248"/>
        <v>17952.190000000017</v>
      </c>
      <c r="M1202" s="9">
        <f ca="1">AVERAGE(E1202:OFFSET(E1202,-M$5+1,0))</f>
        <v>7559.7970000000005</v>
      </c>
      <c r="N1202" s="9">
        <f ca="1">AVERAGE(E1202:OFFSET(E1202,-N$5+1,0))</f>
        <v>7560.0419999999995</v>
      </c>
      <c r="O1202" s="9">
        <f t="shared" ca="1" si="249"/>
        <v>0</v>
      </c>
      <c r="P1202" s="14">
        <f t="shared" si="254"/>
        <v>1.6438130799316715</v>
      </c>
      <c r="Q1202" s="15">
        <f ca="1">STDEV(P1202:OFFSET(P1202,-$Q$5+1,0))</f>
        <v>0.82836461654582583</v>
      </c>
      <c r="R1202" s="15">
        <f ca="1">STDEV(P1202:OFFSET(P1202,-$R$5+1,0))</f>
        <v>1.0038303815084146</v>
      </c>
      <c r="S1202" s="18">
        <f t="shared" si="241"/>
        <v>93.360000000000582</v>
      </c>
      <c r="T1202" s="18">
        <f t="shared" si="242"/>
        <v>127.05000000000018</v>
      </c>
      <c r="U1202" s="18">
        <f t="shared" si="250"/>
        <v>97.081975312571743</v>
      </c>
      <c r="V1202" s="33">
        <f ca="1">AVERAGE(E1202:OFFSET(E1202,-V$5+1,0))</f>
        <v>7511.6335714285715</v>
      </c>
      <c r="W1202" s="33">
        <f t="shared" ca="1" si="243"/>
        <v>7657.2565343974293</v>
      </c>
      <c r="X1202" s="33">
        <f t="shared" ca="1" si="244"/>
        <v>7366.0106084597137</v>
      </c>
      <c r="Y1202" s="32">
        <f t="shared" ca="1" si="251"/>
        <v>0</v>
      </c>
    </row>
    <row r="1203" spans="1:25">
      <c r="A1203" s="5">
        <v>40134</v>
      </c>
      <c r="B1203" s="4">
        <v>7875.48</v>
      </c>
      <c r="C1203" s="4">
        <v>7875.48</v>
      </c>
      <c r="D1203" s="4">
        <v>7733.21</v>
      </c>
      <c r="E1203" s="4">
        <v>7733.21</v>
      </c>
      <c r="F1203" s="4">
        <v>5580800</v>
      </c>
      <c r="G1203" s="8">
        <f t="shared" si="253"/>
        <v>82.799999999999272</v>
      </c>
      <c r="H1203" s="8">
        <f t="shared" si="252"/>
        <v>-142.26999999999953</v>
      </c>
      <c r="I1203" s="20">
        <f t="shared" ca="1" si="245"/>
        <v>0</v>
      </c>
      <c r="J1203" s="8">
        <f t="shared" ca="1" si="246"/>
        <v>3</v>
      </c>
      <c r="K1203" s="8">
        <f t="shared" ca="1" si="247"/>
        <v>-178.41000000000076</v>
      </c>
      <c r="L1203" s="8">
        <f t="shared" ca="1" si="248"/>
        <v>17773.780000000017</v>
      </c>
      <c r="M1203" s="9">
        <f ca="1">AVERAGE(E1203:OFFSET(E1203,-M$5+1,0))</f>
        <v>7600.8249999999998</v>
      </c>
      <c r="N1203" s="9">
        <f ca="1">AVERAGE(E1203:OFFSET(E1203,-N$5+1,0))</f>
        <v>7559.0264999999999</v>
      </c>
      <c r="O1203" s="9">
        <f t="shared" ca="1" si="249"/>
        <v>1</v>
      </c>
      <c r="P1203" s="14">
        <f t="shared" si="254"/>
        <v>-0.76607899252393608</v>
      </c>
      <c r="Q1203" s="15">
        <f ca="1">STDEV(P1203:OFFSET(P1203,-$Q$5+1,0))</f>
        <v>0.90820373966308032</v>
      </c>
      <c r="R1203" s="15">
        <f ca="1">STDEV(P1203:OFFSET(P1203,-$R$5+1,0))</f>
        <v>1.0095043380182054</v>
      </c>
      <c r="S1203" s="18">
        <f t="shared" si="241"/>
        <v>142.26999999999953</v>
      </c>
      <c r="T1203" s="18">
        <f t="shared" si="242"/>
        <v>142.26999999999953</v>
      </c>
      <c r="U1203" s="18">
        <f t="shared" si="250"/>
        <v>103.10704527089544</v>
      </c>
      <c r="V1203" s="33">
        <f ca="1">AVERAGE(E1203:OFFSET(E1203,-V$5+1,0))</f>
        <v>7525.8664285714276</v>
      </c>
      <c r="W1203" s="33">
        <f t="shared" ca="1" si="243"/>
        <v>7680.5269964777708</v>
      </c>
      <c r="X1203" s="33">
        <f t="shared" ca="1" si="244"/>
        <v>7371.2058606650844</v>
      </c>
      <c r="Y1203" s="32">
        <f t="shared" ca="1" si="251"/>
        <v>0</v>
      </c>
    </row>
    <row r="1204" spans="1:25">
      <c r="A1204" s="5">
        <v>40135</v>
      </c>
      <c r="B1204" s="4">
        <v>7766.68</v>
      </c>
      <c r="C1204" s="4">
        <v>7803.36</v>
      </c>
      <c r="D1204" s="4">
        <v>7737.59</v>
      </c>
      <c r="E1204" s="4">
        <v>7766.69</v>
      </c>
      <c r="F1204" s="4">
        <v>4668200</v>
      </c>
      <c r="G1204" s="8">
        <f t="shared" si="253"/>
        <v>33.470000000000255</v>
      </c>
      <c r="H1204" s="8">
        <f t="shared" si="252"/>
        <v>9.999999999308784E-3</v>
      </c>
      <c r="I1204" s="20">
        <f t="shared" ca="1" si="245"/>
        <v>0</v>
      </c>
      <c r="J1204" s="8">
        <f t="shared" ca="1" si="246"/>
        <v>3</v>
      </c>
      <c r="K1204" s="8">
        <f t="shared" ca="1" si="247"/>
        <v>100.43999999999869</v>
      </c>
      <c r="L1204" s="8">
        <f t="shared" ca="1" si="248"/>
        <v>17874.220000000016</v>
      </c>
      <c r="M1204" s="9">
        <f ca="1">AVERAGE(E1204:OFFSET(E1204,-M$5+1,0))</f>
        <v>7630.7899999999991</v>
      </c>
      <c r="N1204" s="9">
        <f ca="1">AVERAGE(E1204:OFFSET(E1204,-N$5+1,0))</f>
        <v>7562.2860000000001</v>
      </c>
      <c r="O1204" s="9">
        <f t="shared" ca="1" si="249"/>
        <v>0</v>
      </c>
      <c r="P1204" s="14">
        <f t="shared" si="254"/>
        <v>0.43200345897604248</v>
      </c>
      <c r="Q1204" s="15">
        <f ca="1">STDEV(P1204:OFFSET(P1204,-$Q$5+1,0))</f>
        <v>0.7627375453852927</v>
      </c>
      <c r="R1204" s="15">
        <f ca="1">STDEV(P1204:OFFSET(P1204,-$R$5+1,0))</f>
        <v>0.98742116649478018</v>
      </c>
      <c r="S1204" s="18">
        <f t="shared" si="241"/>
        <v>65.769999999999527</v>
      </c>
      <c r="T1204" s="18">
        <f t="shared" si="242"/>
        <v>70.149999999999636</v>
      </c>
      <c r="U1204" s="18">
        <f t="shared" si="250"/>
        <v>98.71277256810933</v>
      </c>
      <c r="V1204" s="33">
        <f ca="1">AVERAGE(E1204:OFFSET(E1204,-V$5+1,0))</f>
        <v>7555.2235714285725</v>
      </c>
      <c r="W1204" s="33">
        <f t="shared" ca="1" si="243"/>
        <v>7703.2927302807366</v>
      </c>
      <c r="X1204" s="33">
        <f t="shared" ca="1" si="244"/>
        <v>7407.1544125764085</v>
      </c>
      <c r="Y1204" s="32">
        <f t="shared" ca="1" si="251"/>
        <v>0</v>
      </c>
    </row>
    <row r="1205" spans="1:25">
      <c r="A1205" s="5">
        <v>40136</v>
      </c>
      <c r="B1205" s="4">
        <v>7767.98</v>
      </c>
      <c r="C1205" s="4">
        <v>7797.41</v>
      </c>
      <c r="D1205" s="4">
        <v>7751.06</v>
      </c>
      <c r="E1205" s="4">
        <v>7759.98</v>
      </c>
      <c r="F1205" s="4">
        <v>4462200</v>
      </c>
      <c r="G1205" s="8">
        <f t="shared" si="253"/>
        <v>1.2899999999999636</v>
      </c>
      <c r="H1205" s="8">
        <f t="shared" si="252"/>
        <v>-8</v>
      </c>
      <c r="I1205" s="20">
        <f t="shared" ca="1" si="245"/>
        <v>0</v>
      </c>
      <c r="J1205" s="8">
        <f t="shared" ca="1" si="246"/>
        <v>3</v>
      </c>
      <c r="K1205" s="8">
        <f t="shared" ca="1" si="247"/>
        <v>-20.130000000000109</v>
      </c>
      <c r="L1205" s="8">
        <f t="shared" ca="1" si="248"/>
        <v>17854.090000000015</v>
      </c>
      <c r="M1205" s="9">
        <f ca="1">AVERAGE(E1205:OFFSET(E1205,-M$5+1,0))</f>
        <v>7665.0419999999986</v>
      </c>
      <c r="N1205" s="9">
        <f ca="1">AVERAGE(E1205:OFFSET(E1205,-N$5+1,0))</f>
        <v>7569.8885000000009</v>
      </c>
      <c r="O1205" s="9">
        <f t="shared" ca="1" si="249"/>
        <v>0</v>
      </c>
      <c r="P1205" s="14">
        <f t="shared" si="254"/>
        <v>-8.6431931865932732E-2</v>
      </c>
      <c r="Q1205" s="15">
        <f ca="1">STDEV(P1205:OFFSET(P1205,-$Q$5+1,0))</f>
        <v>0.69199633731055654</v>
      </c>
      <c r="R1205" s="15">
        <f ca="1">STDEV(P1205:OFFSET(P1205,-$R$5+1,0))</f>
        <v>0.97861587936315486</v>
      </c>
      <c r="S1205" s="18">
        <f t="shared" ref="S1205:S1268" si="255">C1205-D1205</f>
        <v>46.349999999999454</v>
      </c>
      <c r="T1205" s="18">
        <f t="shared" ref="T1205:T1268" si="256">MAX(C1205,E1204)-MIN(D1205,E1204)</f>
        <v>46.349999999999454</v>
      </c>
      <c r="U1205" s="18">
        <f t="shared" si="250"/>
        <v>91.731069559028015</v>
      </c>
      <c r="V1205" s="33">
        <f ca="1">AVERAGE(E1205:OFFSET(E1205,-V$5+1,0))</f>
        <v>7585.2164285714289</v>
      </c>
      <c r="W1205" s="33">
        <f t="shared" ref="W1205:W1268" ca="1" si="257">V1205+W$5*U1205</f>
        <v>7722.8130329099713</v>
      </c>
      <c r="X1205" s="33">
        <f t="shared" ref="X1205:X1268" ca="1" si="258">V1205-W$5*U1205</f>
        <v>7447.6198242328865</v>
      </c>
      <c r="Y1205" s="32">
        <f t="shared" ca="1" si="251"/>
        <v>0</v>
      </c>
    </row>
    <row r="1206" spans="1:25">
      <c r="A1206" s="5">
        <v>40137</v>
      </c>
      <c r="B1206" s="4">
        <v>7741.72</v>
      </c>
      <c r="C1206" s="4">
        <v>7741.72</v>
      </c>
      <c r="D1206" s="4">
        <v>7649.19</v>
      </c>
      <c r="E1206" s="4">
        <v>7682.97</v>
      </c>
      <c r="F1206" s="4">
        <v>4312200</v>
      </c>
      <c r="G1206" s="8">
        <f t="shared" si="253"/>
        <v>-18.259999999999309</v>
      </c>
      <c r="H1206" s="8">
        <f t="shared" si="252"/>
        <v>-58.75</v>
      </c>
      <c r="I1206" s="20">
        <f t="shared" ref="I1206:I1269" ca="1" si="259">Y1206</f>
        <v>0</v>
      </c>
      <c r="J1206" s="8">
        <f t="shared" ref="J1206:J1269" ca="1" si="260">IF((J1205+I1205)&gt;=J$5,J$5,IF((J1205+I1205)&lt;=J$7,J$7,J1205+I1205))</f>
        <v>3</v>
      </c>
      <c r="K1206" s="8">
        <f t="shared" ref="K1206:K1269" ca="1" si="261">J1205*G1206+J1206*H1206</f>
        <v>-231.02999999999793</v>
      </c>
      <c r="L1206" s="8">
        <f t="shared" ref="L1206:L1269" ca="1" si="262">L1205+K1206</f>
        <v>17623.060000000016</v>
      </c>
      <c r="M1206" s="9">
        <f ca="1">AVERAGE(E1206:OFFSET(E1206,-M$5+1,0))</f>
        <v>7687.0339999999997</v>
      </c>
      <c r="N1206" s="9">
        <f ca="1">AVERAGE(E1206:OFFSET(E1206,-N$5+1,0))</f>
        <v>7571.5730000000012</v>
      </c>
      <c r="O1206" s="9">
        <f t="shared" ref="O1206:O1269" ca="1" si="263">IF(AND(M1205&lt;=N1205,M1206&gt;N1206),1,IF(AND(M1205&gt;=N1205,M1206&lt;N1206),-1,0))</f>
        <v>0</v>
      </c>
      <c r="P1206" s="14">
        <f t="shared" si="254"/>
        <v>-0.99735657190608873</v>
      </c>
      <c r="Q1206" s="15">
        <f ca="1">STDEV(P1206:OFFSET(P1206,-$Q$5+1,0))</f>
        <v>0.82485332567504266</v>
      </c>
      <c r="R1206" s="15">
        <f ca="1">STDEV(P1206:OFFSET(P1206,-$R$5+1,0))</f>
        <v>0.99476011362788797</v>
      </c>
      <c r="S1206" s="18">
        <f t="shared" si="255"/>
        <v>92.530000000000655</v>
      </c>
      <c r="T1206" s="18">
        <f t="shared" si="256"/>
        <v>110.78999999999996</v>
      </c>
      <c r="U1206" s="18">
        <f t="shared" ref="U1206:U1269" si="264">$U$5*T1206+(1-$U$5)*U1205</f>
        <v>94.27226028449094</v>
      </c>
      <c r="V1206" s="33">
        <f ca="1">AVERAGE(E1206:OFFSET(E1206,-V$5+1,0))</f>
        <v>7610.0585714285717</v>
      </c>
      <c r="W1206" s="33">
        <f t="shared" ca="1" si="257"/>
        <v>7751.466961855308</v>
      </c>
      <c r="X1206" s="33">
        <f t="shared" ca="1" si="258"/>
        <v>7468.6501810018353</v>
      </c>
      <c r="Y1206" s="32">
        <f t="shared" ref="Y1206:Y1269" ca="1" si="265">IF(AND(E1205&gt;X1205,E1206&lt;X1206),-1,IF(AND(E1205&lt;W1205,E1206&gt;W1206),1,0))</f>
        <v>0</v>
      </c>
    </row>
    <row r="1207" spans="1:25">
      <c r="A1207" s="5">
        <v>40140</v>
      </c>
      <c r="B1207" s="4">
        <v>7694.9</v>
      </c>
      <c r="C1207" s="4">
        <v>7714.7</v>
      </c>
      <c r="D1207" s="4">
        <v>7671.54</v>
      </c>
      <c r="E1207" s="4">
        <v>7687.15</v>
      </c>
      <c r="F1207" s="4">
        <v>3229800</v>
      </c>
      <c r="G1207" s="8">
        <f t="shared" si="253"/>
        <v>11.929999999999382</v>
      </c>
      <c r="H1207" s="8">
        <f t="shared" si="252"/>
        <v>-7.75</v>
      </c>
      <c r="I1207" s="20">
        <f t="shared" ca="1" si="259"/>
        <v>0</v>
      </c>
      <c r="J1207" s="8">
        <f t="shared" ca="1" si="260"/>
        <v>3</v>
      </c>
      <c r="K1207" s="8">
        <f t="shared" ca="1" si="261"/>
        <v>12.539999999998145</v>
      </c>
      <c r="L1207" s="8">
        <f t="shared" ca="1" si="262"/>
        <v>17635.600000000013</v>
      </c>
      <c r="M1207" s="9">
        <f ca="1">AVERAGE(E1207:OFFSET(E1207,-M$5+1,0))</f>
        <v>7702.0789999999997</v>
      </c>
      <c r="N1207" s="9">
        <f ca="1">AVERAGE(E1207:OFFSET(E1207,-N$5+1,0))</f>
        <v>7572.5104999999994</v>
      </c>
      <c r="O1207" s="9">
        <f t="shared" ca="1" si="263"/>
        <v>0</v>
      </c>
      <c r="P1207" s="14">
        <f t="shared" si="254"/>
        <v>5.4391248774263171E-2</v>
      </c>
      <c r="Q1207" s="15">
        <f ca="1">STDEV(P1207:OFFSET(P1207,-$Q$5+1,0))</f>
        <v>0.78985161385772273</v>
      </c>
      <c r="R1207" s="15">
        <f ca="1">STDEV(P1207:OFFSET(P1207,-$R$5+1,0))</f>
        <v>0.98307204210569887</v>
      </c>
      <c r="S1207" s="18">
        <f t="shared" si="255"/>
        <v>43.159999999999854</v>
      </c>
      <c r="T1207" s="18">
        <f t="shared" si="256"/>
        <v>43.159999999999854</v>
      </c>
      <c r="U1207" s="18">
        <f t="shared" si="264"/>
        <v>87.457292246558808</v>
      </c>
      <c r="V1207" s="33">
        <f ca="1">AVERAGE(E1207:OFFSET(E1207,-V$5+1,0))</f>
        <v>7636.074285714285</v>
      </c>
      <c r="W1207" s="33">
        <f t="shared" ca="1" si="257"/>
        <v>7767.2602240841234</v>
      </c>
      <c r="X1207" s="33">
        <f t="shared" ca="1" si="258"/>
        <v>7504.8883473444466</v>
      </c>
      <c r="Y1207" s="32">
        <f t="shared" ca="1" si="265"/>
        <v>0</v>
      </c>
    </row>
    <row r="1208" spans="1:25">
      <c r="A1208" s="5">
        <v>40141</v>
      </c>
      <c r="B1208" s="4">
        <v>7723.13</v>
      </c>
      <c r="C1208" s="4">
        <v>7735.91</v>
      </c>
      <c r="D1208" s="4">
        <v>7696.1</v>
      </c>
      <c r="E1208" s="4">
        <v>7714.56</v>
      </c>
      <c r="F1208" s="4">
        <v>3854600</v>
      </c>
      <c r="G1208" s="8">
        <f t="shared" si="253"/>
        <v>35.980000000000473</v>
      </c>
      <c r="H1208" s="8">
        <f t="shared" si="252"/>
        <v>-8.569999999999709</v>
      </c>
      <c r="I1208" s="20">
        <f t="shared" ca="1" si="259"/>
        <v>0</v>
      </c>
      <c r="J1208" s="8">
        <f t="shared" ca="1" si="260"/>
        <v>3</v>
      </c>
      <c r="K1208" s="8">
        <f t="shared" ca="1" si="261"/>
        <v>82.230000000002292</v>
      </c>
      <c r="L1208" s="8">
        <f t="shared" ca="1" si="262"/>
        <v>17717.830000000016</v>
      </c>
      <c r="M1208" s="9">
        <f ca="1">AVERAGE(E1208:OFFSET(E1208,-M$5+1,0))</f>
        <v>7714.1859999999997</v>
      </c>
      <c r="N1208" s="9">
        <f ca="1">AVERAGE(E1208:OFFSET(E1208,-N$5+1,0))</f>
        <v>7575.3714999999993</v>
      </c>
      <c r="O1208" s="9">
        <f t="shared" ca="1" si="263"/>
        <v>0</v>
      </c>
      <c r="P1208" s="14">
        <f t="shared" si="254"/>
        <v>0.35593487915329225</v>
      </c>
      <c r="Q1208" s="15">
        <f ca="1">STDEV(P1208:OFFSET(P1208,-$Q$5+1,0))</f>
        <v>0.76872300406363903</v>
      </c>
      <c r="R1208" s="15">
        <f ca="1">STDEV(P1208:OFFSET(P1208,-$R$5+1,0))</f>
        <v>0.93758085215219711</v>
      </c>
      <c r="S1208" s="18">
        <f t="shared" si="255"/>
        <v>39.809999999999491</v>
      </c>
      <c r="T1208" s="18">
        <f t="shared" si="256"/>
        <v>48.760000000000218</v>
      </c>
      <c r="U1208" s="18">
        <f t="shared" si="264"/>
        <v>82.297653280351</v>
      </c>
      <c r="V1208" s="33">
        <f ca="1">AVERAGE(E1208:OFFSET(E1208,-V$5+1,0))</f>
        <v>7653.7542857142844</v>
      </c>
      <c r="W1208" s="33">
        <f t="shared" ca="1" si="257"/>
        <v>7777.2007656348105</v>
      </c>
      <c r="X1208" s="33">
        <f t="shared" ca="1" si="258"/>
        <v>7530.3078057937582</v>
      </c>
      <c r="Y1208" s="32">
        <f t="shared" ca="1" si="265"/>
        <v>0</v>
      </c>
    </row>
    <row r="1209" spans="1:25">
      <c r="A1209" s="5">
        <v>40142</v>
      </c>
      <c r="B1209" s="4">
        <v>7718.78</v>
      </c>
      <c r="C1209" s="4">
        <v>7784.28</v>
      </c>
      <c r="D1209" s="4">
        <v>7716.36</v>
      </c>
      <c r="E1209" s="4">
        <v>7756.31</v>
      </c>
      <c r="F1209" s="4">
        <v>4332400</v>
      </c>
      <c r="G1209" s="8">
        <f t="shared" si="253"/>
        <v>4.2199999999993452</v>
      </c>
      <c r="H1209" s="8">
        <f t="shared" si="252"/>
        <v>37.530000000000655</v>
      </c>
      <c r="I1209" s="20">
        <f t="shared" ca="1" si="259"/>
        <v>0</v>
      </c>
      <c r="J1209" s="8">
        <f t="shared" ca="1" si="260"/>
        <v>3</v>
      </c>
      <c r="K1209" s="8">
        <f t="shared" ca="1" si="261"/>
        <v>125.25</v>
      </c>
      <c r="L1209" s="8">
        <f t="shared" ca="1" si="262"/>
        <v>17843.080000000016</v>
      </c>
      <c r="M1209" s="9">
        <f ca="1">AVERAGE(E1209:OFFSET(E1209,-M$5+1,0))</f>
        <v>7723.0110000000004</v>
      </c>
      <c r="N1209" s="9">
        <f ca="1">AVERAGE(E1209:OFFSET(E1209,-N$5+1,0))</f>
        <v>7586.4894999999988</v>
      </c>
      <c r="O1209" s="9">
        <f t="shared" ca="1" si="263"/>
        <v>0</v>
      </c>
      <c r="P1209" s="14">
        <f t="shared" si="254"/>
        <v>0.5397253205445538</v>
      </c>
      <c r="Q1209" s="15">
        <f ca="1">STDEV(P1209:OFFSET(P1209,-$Q$5+1,0))</f>
        <v>0.72831627305959368</v>
      </c>
      <c r="R1209" s="15">
        <f ca="1">STDEV(P1209:OFFSET(P1209,-$R$5+1,0))</f>
        <v>0.92738426296286203</v>
      </c>
      <c r="S1209" s="18">
        <f t="shared" si="255"/>
        <v>67.920000000000073</v>
      </c>
      <c r="T1209" s="18">
        <f t="shared" si="256"/>
        <v>69.719999999999345</v>
      </c>
      <c r="U1209" s="18">
        <f t="shared" si="264"/>
        <v>80.620632842970778</v>
      </c>
      <c r="V1209" s="33">
        <f ca="1">AVERAGE(E1209:OFFSET(E1209,-V$5+1,0))</f>
        <v>7677.9578571428556</v>
      </c>
      <c r="W1209" s="33">
        <f t="shared" ca="1" si="257"/>
        <v>7798.8888064073117</v>
      </c>
      <c r="X1209" s="33">
        <f t="shared" ca="1" si="258"/>
        <v>7557.0269078783995</v>
      </c>
      <c r="Y1209" s="32">
        <f t="shared" ca="1" si="265"/>
        <v>0</v>
      </c>
    </row>
    <row r="1210" spans="1:25">
      <c r="A1210" s="5">
        <v>40143</v>
      </c>
      <c r="B1210" s="4">
        <v>7795.26</v>
      </c>
      <c r="C1210" s="4">
        <v>7818</v>
      </c>
      <c r="D1210" s="4">
        <v>7733.75</v>
      </c>
      <c r="E1210" s="4">
        <v>7739.16</v>
      </c>
      <c r="F1210" s="4">
        <v>4478000</v>
      </c>
      <c r="G1210" s="8">
        <f t="shared" si="253"/>
        <v>38.949999999999818</v>
      </c>
      <c r="H1210" s="8">
        <f t="shared" si="252"/>
        <v>-56.100000000000364</v>
      </c>
      <c r="I1210" s="20">
        <f t="shared" ca="1" si="259"/>
        <v>0</v>
      </c>
      <c r="J1210" s="8">
        <f t="shared" ca="1" si="260"/>
        <v>3</v>
      </c>
      <c r="K1210" s="8">
        <f t="shared" ca="1" si="261"/>
        <v>-51.450000000001637</v>
      </c>
      <c r="L1210" s="8">
        <f t="shared" ca="1" si="262"/>
        <v>17791.630000000016</v>
      </c>
      <c r="M1210" s="9">
        <f ca="1">AVERAGE(E1210:OFFSET(E1210,-M$5+1,0))</f>
        <v>7729.8340000000007</v>
      </c>
      <c r="N1210" s="9">
        <f ca="1">AVERAGE(E1210:OFFSET(E1210,-N$5+1,0))</f>
        <v>7605.6630000000005</v>
      </c>
      <c r="O1210" s="9">
        <f t="shared" ca="1" si="263"/>
        <v>0</v>
      </c>
      <c r="P1210" s="14">
        <f t="shared" si="254"/>
        <v>-0.22135510575210646</v>
      </c>
      <c r="Q1210" s="15">
        <f ca="1">STDEV(P1210:OFFSET(P1210,-$Q$5+1,0))</f>
        <v>0.73591412335887663</v>
      </c>
      <c r="R1210" s="15">
        <f ca="1">STDEV(P1210:OFFSET(P1210,-$R$5+1,0))</f>
        <v>0.92627729078323695</v>
      </c>
      <c r="S1210" s="18">
        <f t="shared" si="255"/>
        <v>84.25</v>
      </c>
      <c r="T1210" s="18">
        <f t="shared" si="256"/>
        <v>84.25</v>
      </c>
      <c r="U1210" s="18">
        <f t="shared" si="264"/>
        <v>81.104548463908017</v>
      </c>
      <c r="V1210" s="33">
        <f ca="1">AVERAGE(E1210:OFFSET(E1210,-V$5+1,0))</f>
        <v>7697.6799999999994</v>
      </c>
      <c r="W1210" s="33">
        <f t="shared" ca="1" si="257"/>
        <v>7819.336822695861</v>
      </c>
      <c r="X1210" s="33">
        <f t="shared" ca="1" si="258"/>
        <v>7576.0231773041378</v>
      </c>
      <c r="Y1210" s="32">
        <f t="shared" ca="1" si="265"/>
        <v>0</v>
      </c>
    </row>
    <row r="1211" spans="1:25">
      <c r="A1211" s="5">
        <v>40144</v>
      </c>
      <c r="B1211" s="4">
        <v>7614.41</v>
      </c>
      <c r="C1211" s="4">
        <v>7633.5</v>
      </c>
      <c r="D1211" s="4">
        <v>7490.91</v>
      </c>
      <c r="E1211" s="4">
        <v>7490.91</v>
      </c>
      <c r="F1211" s="4">
        <v>5113000</v>
      </c>
      <c r="G1211" s="8">
        <f t="shared" si="253"/>
        <v>-124.75</v>
      </c>
      <c r="H1211" s="8">
        <f t="shared" si="252"/>
        <v>-123.5</v>
      </c>
      <c r="I1211" s="20">
        <f t="shared" ca="1" si="259"/>
        <v>-1</v>
      </c>
      <c r="J1211" s="8">
        <f t="shared" ca="1" si="260"/>
        <v>3</v>
      </c>
      <c r="K1211" s="8">
        <f t="shared" ca="1" si="261"/>
        <v>-744.75</v>
      </c>
      <c r="L1211" s="8">
        <f t="shared" ca="1" si="262"/>
        <v>17046.880000000016</v>
      </c>
      <c r="M1211" s="9">
        <f ca="1">AVERAGE(E1211:OFFSET(E1211,-M$5+1,0))</f>
        <v>7712.3619999999992</v>
      </c>
      <c r="N1211" s="9">
        <f ca="1">AVERAGE(E1211:OFFSET(E1211,-N$5+1,0))</f>
        <v>7613.2044999999998</v>
      </c>
      <c r="O1211" s="9">
        <f t="shared" ca="1" si="263"/>
        <v>0</v>
      </c>
      <c r="P1211" s="14">
        <f t="shared" si="254"/>
        <v>-3.260286910408615</v>
      </c>
      <c r="Q1211" s="15">
        <f ca="1">STDEV(P1211:OFFSET(P1211,-$Q$5+1,0))</f>
        <v>1.2929569069069275</v>
      </c>
      <c r="R1211" s="15">
        <f ca="1">STDEV(P1211:OFFSET(P1211,-$R$5+1,0))</f>
        <v>1.0258380249974752</v>
      </c>
      <c r="S1211" s="18">
        <f t="shared" si="255"/>
        <v>142.59000000000015</v>
      </c>
      <c r="T1211" s="18">
        <f t="shared" si="256"/>
        <v>248.25</v>
      </c>
      <c r="U1211" s="18">
        <f t="shared" si="264"/>
        <v>103.39060866872029</v>
      </c>
      <c r="V1211" s="33">
        <f ca="1">AVERAGE(E1211:OFFSET(E1211,-V$5+1,0))</f>
        <v>7694.409285714285</v>
      </c>
      <c r="W1211" s="33">
        <f t="shared" ca="1" si="257"/>
        <v>7849.4951987173654</v>
      </c>
      <c r="X1211" s="33">
        <f t="shared" ca="1" si="258"/>
        <v>7539.3233727112047</v>
      </c>
      <c r="Y1211" s="32">
        <f t="shared" ca="1" si="265"/>
        <v>-1</v>
      </c>
    </row>
    <row r="1212" spans="1:25">
      <c r="A1212" s="5">
        <v>40147</v>
      </c>
      <c r="B1212" s="4">
        <v>7582.69</v>
      </c>
      <c r="C1212" s="4">
        <v>7604.55</v>
      </c>
      <c r="D1212" s="4">
        <v>7569.24</v>
      </c>
      <c r="E1212" s="4">
        <v>7582.21</v>
      </c>
      <c r="F1212" s="4">
        <v>3368600</v>
      </c>
      <c r="G1212" s="8">
        <f t="shared" si="253"/>
        <v>91.779999999999745</v>
      </c>
      <c r="H1212" s="8">
        <f t="shared" si="252"/>
        <v>-0.47999999999956344</v>
      </c>
      <c r="I1212" s="20">
        <f t="shared" ca="1" si="259"/>
        <v>0</v>
      </c>
      <c r="J1212" s="8">
        <f t="shared" ca="1" si="260"/>
        <v>2</v>
      </c>
      <c r="K1212" s="8">
        <f t="shared" ca="1" si="261"/>
        <v>274.38000000000011</v>
      </c>
      <c r="L1212" s="8">
        <f t="shared" ca="1" si="262"/>
        <v>17321.260000000017</v>
      </c>
      <c r="M1212" s="9">
        <f ca="1">AVERAGE(E1212:OFFSET(E1212,-M$5+1,0))</f>
        <v>7691.3150000000005</v>
      </c>
      <c r="N1212" s="9">
        <f ca="1">AVERAGE(E1212:OFFSET(E1212,-N$5+1,0))</f>
        <v>7625.5559999999996</v>
      </c>
      <c r="O1212" s="9">
        <f t="shared" ca="1" si="263"/>
        <v>0</v>
      </c>
      <c r="P1212" s="14">
        <f t="shared" si="254"/>
        <v>1.2114428411837608</v>
      </c>
      <c r="Q1212" s="15">
        <f ca="1">STDEV(P1212:OFFSET(P1212,-$Q$5+1,0))</f>
        <v>1.2289579066156231</v>
      </c>
      <c r="R1212" s="15">
        <f ca="1">STDEV(P1212:OFFSET(P1212,-$R$5+1,0))</f>
        <v>1.0417113820627975</v>
      </c>
      <c r="S1212" s="18">
        <f t="shared" si="255"/>
        <v>35.3100000000004</v>
      </c>
      <c r="T1212" s="18">
        <f t="shared" si="256"/>
        <v>113.64000000000033</v>
      </c>
      <c r="U1212" s="18">
        <f t="shared" si="264"/>
        <v>104.75719417955763</v>
      </c>
      <c r="V1212" s="33">
        <f ca="1">AVERAGE(E1212:OFFSET(E1212,-V$5+1,0))</f>
        <v>7693.6035714285726</v>
      </c>
      <c r="W1212" s="33">
        <f t="shared" ca="1" si="257"/>
        <v>7850.7393626979092</v>
      </c>
      <c r="X1212" s="33">
        <f t="shared" ca="1" si="258"/>
        <v>7536.4677801592361</v>
      </c>
      <c r="Y1212" s="32">
        <f t="shared" ca="1" si="265"/>
        <v>0</v>
      </c>
    </row>
    <row r="1213" spans="1:25">
      <c r="A1213" s="5">
        <v>40148</v>
      </c>
      <c r="B1213" s="4">
        <v>7615.95</v>
      </c>
      <c r="C1213" s="4">
        <v>7659.82</v>
      </c>
      <c r="D1213" s="4">
        <v>7549.01</v>
      </c>
      <c r="E1213" s="4">
        <v>7649.23</v>
      </c>
      <c r="F1213" s="4">
        <v>4044400</v>
      </c>
      <c r="G1213" s="8">
        <f t="shared" si="253"/>
        <v>33.739999999999782</v>
      </c>
      <c r="H1213" s="8">
        <f t="shared" si="252"/>
        <v>33.279999999999745</v>
      </c>
      <c r="I1213" s="20">
        <f t="shared" ca="1" si="259"/>
        <v>0</v>
      </c>
      <c r="J1213" s="8">
        <f t="shared" ca="1" si="260"/>
        <v>2</v>
      </c>
      <c r="K1213" s="8">
        <f t="shared" ca="1" si="261"/>
        <v>134.03999999999905</v>
      </c>
      <c r="L1213" s="8">
        <f t="shared" ca="1" si="262"/>
        <v>17455.300000000017</v>
      </c>
      <c r="M1213" s="9">
        <f ca="1">AVERAGE(E1213:OFFSET(E1213,-M$5+1,0))</f>
        <v>7682.9169999999995</v>
      </c>
      <c r="N1213" s="9">
        <f ca="1">AVERAGE(E1213:OFFSET(E1213,-N$5+1,0))</f>
        <v>7641.8709999999992</v>
      </c>
      <c r="O1213" s="9">
        <f t="shared" ca="1" si="263"/>
        <v>0</v>
      </c>
      <c r="P1213" s="14">
        <f t="shared" si="254"/>
        <v>0.88002752896509995</v>
      </c>
      <c r="Q1213" s="15">
        <f ca="1">STDEV(P1213:OFFSET(P1213,-$Q$5+1,0))</f>
        <v>1.2653964855643589</v>
      </c>
      <c r="R1213" s="15">
        <f ca="1">STDEV(P1213:OFFSET(P1213,-$R$5+1,0))</f>
        <v>1.0305169954916005</v>
      </c>
      <c r="S1213" s="18">
        <f t="shared" si="255"/>
        <v>110.80999999999949</v>
      </c>
      <c r="T1213" s="18">
        <f t="shared" si="256"/>
        <v>110.80999999999949</v>
      </c>
      <c r="U1213" s="18">
        <f t="shared" si="264"/>
        <v>105.56423495561656</v>
      </c>
      <c r="V1213" s="33">
        <f ca="1">AVERAGE(E1213:OFFSET(E1213,-V$5+1,0))</f>
        <v>7692.2585714285724</v>
      </c>
      <c r="W1213" s="33">
        <f t="shared" ca="1" si="257"/>
        <v>7850.6049238619971</v>
      </c>
      <c r="X1213" s="33">
        <f t="shared" ca="1" si="258"/>
        <v>7533.9122189951477</v>
      </c>
      <c r="Y1213" s="32">
        <f t="shared" ca="1" si="265"/>
        <v>0</v>
      </c>
    </row>
    <row r="1214" spans="1:25">
      <c r="A1214" s="5">
        <v>40149</v>
      </c>
      <c r="B1214" s="4">
        <v>7715.64</v>
      </c>
      <c r="C1214" s="4">
        <v>7741.85</v>
      </c>
      <c r="D1214" s="4">
        <v>7671.99</v>
      </c>
      <c r="E1214" s="4">
        <v>7677.62</v>
      </c>
      <c r="F1214" s="4">
        <v>4569600</v>
      </c>
      <c r="G1214" s="8">
        <f t="shared" si="253"/>
        <v>66.410000000000764</v>
      </c>
      <c r="H1214" s="8">
        <f t="shared" si="252"/>
        <v>-38.020000000000437</v>
      </c>
      <c r="I1214" s="20">
        <f t="shared" ca="1" si="259"/>
        <v>0</v>
      </c>
      <c r="J1214" s="8">
        <f t="shared" ca="1" si="260"/>
        <v>2</v>
      </c>
      <c r="K1214" s="8">
        <f t="shared" ca="1" si="261"/>
        <v>56.780000000000655</v>
      </c>
      <c r="L1214" s="8">
        <f t="shared" ca="1" si="262"/>
        <v>17512.080000000016</v>
      </c>
      <c r="M1214" s="9">
        <f ca="1">AVERAGE(E1214:OFFSET(E1214,-M$5+1,0))</f>
        <v>7674.01</v>
      </c>
      <c r="N1214" s="9">
        <f ca="1">AVERAGE(E1214:OFFSET(E1214,-N$5+1,0))</f>
        <v>7652.4</v>
      </c>
      <c r="O1214" s="9">
        <f t="shared" ca="1" si="263"/>
        <v>0</v>
      </c>
      <c r="P1214" s="14">
        <f t="shared" si="254"/>
        <v>0.37046141208509548</v>
      </c>
      <c r="Q1214" s="15">
        <f ca="1">STDEV(P1214:OFFSET(P1214,-$Q$5+1,0))</f>
        <v>1.2626185621471171</v>
      </c>
      <c r="R1214" s="15">
        <f ca="1">STDEV(P1214:OFFSET(P1214,-$R$5+1,0))</f>
        <v>1.0211810559506114</v>
      </c>
      <c r="S1214" s="18">
        <f t="shared" si="255"/>
        <v>69.860000000000582</v>
      </c>
      <c r="T1214" s="18">
        <f t="shared" si="256"/>
        <v>92.6200000000008</v>
      </c>
      <c r="U1214" s="18">
        <f t="shared" si="264"/>
        <v>103.83833696153445</v>
      </c>
      <c r="V1214" s="33">
        <f ca="1">AVERAGE(E1214:OFFSET(E1214,-V$5+1,0))</f>
        <v>7692.7364285714293</v>
      </c>
      <c r="W1214" s="33">
        <f t="shared" ca="1" si="257"/>
        <v>7848.4939340137307</v>
      </c>
      <c r="X1214" s="33">
        <f t="shared" ca="1" si="258"/>
        <v>7536.9789231291279</v>
      </c>
      <c r="Y1214" s="32">
        <f t="shared" ca="1" si="265"/>
        <v>0</v>
      </c>
    </row>
    <row r="1215" spans="1:25">
      <c r="A1215" s="5">
        <v>40150</v>
      </c>
      <c r="B1215" s="4">
        <v>7733.51</v>
      </c>
      <c r="C1215" s="4">
        <v>7738.03</v>
      </c>
      <c r="D1215" s="4">
        <v>7658.51</v>
      </c>
      <c r="E1215" s="4">
        <v>7684.67</v>
      </c>
      <c r="F1215" s="4">
        <v>3625600</v>
      </c>
      <c r="G1215" s="8">
        <f t="shared" si="253"/>
        <v>55.890000000000327</v>
      </c>
      <c r="H1215" s="8">
        <f t="shared" si="252"/>
        <v>-48.840000000000146</v>
      </c>
      <c r="I1215" s="20">
        <f t="shared" ca="1" si="259"/>
        <v>0</v>
      </c>
      <c r="J1215" s="8">
        <f t="shared" ca="1" si="260"/>
        <v>2</v>
      </c>
      <c r="K1215" s="8">
        <f t="shared" ca="1" si="261"/>
        <v>14.100000000000364</v>
      </c>
      <c r="L1215" s="8">
        <f t="shared" ca="1" si="262"/>
        <v>17526.180000000015</v>
      </c>
      <c r="M1215" s="9">
        <f ca="1">AVERAGE(E1215:OFFSET(E1215,-M$5+1,0))</f>
        <v>7666.4789999999994</v>
      </c>
      <c r="N1215" s="9">
        <f ca="1">AVERAGE(E1215:OFFSET(E1215,-N$5+1,0))</f>
        <v>7665.7604999999994</v>
      </c>
      <c r="O1215" s="9">
        <f t="shared" ca="1" si="263"/>
        <v>0</v>
      </c>
      <c r="P1215" s="14">
        <f t="shared" si="254"/>
        <v>9.178319762116996E-2</v>
      </c>
      <c r="Q1215" s="15">
        <f ca="1">STDEV(P1215:OFFSET(P1215,-$Q$5+1,0))</f>
        <v>1.2643285730725475</v>
      </c>
      <c r="R1215" s="15">
        <f ca="1">STDEV(P1215:OFFSET(P1215,-$R$5+1,0))</f>
        <v>0.99501027202812864</v>
      </c>
      <c r="S1215" s="18">
        <f t="shared" si="255"/>
        <v>79.519999999999527</v>
      </c>
      <c r="T1215" s="18">
        <f t="shared" si="256"/>
        <v>79.519999999999527</v>
      </c>
      <c r="U1215" s="18">
        <f t="shared" si="264"/>
        <v>100.5958920333298</v>
      </c>
      <c r="V1215" s="33">
        <f ca="1">AVERAGE(E1215:OFFSET(E1215,-V$5+1,0))</f>
        <v>7694.0964285714281</v>
      </c>
      <c r="W1215" s="33">
        <f t="shared" ca="1" si="257"/>
        <v>7844.990266621423</v>
      </c>
      <c r="X1215" s="33">
        <f t="shared" ca="1" si="258"/>
        <v>7543.2025905214332</v>
      </c>
      <c r="Y1215" s="32">
        <f t="shared" ca="1" si="265"/>
        <v>0</v>
      </c>
    </row>
    <row r="1216" spans="1:25">
      <c r="A1216" s="5">
        <v>40151</v>
      </c>
      <c r="B1216" s="4">
        <v>7685.14</v>
      </c>
      <c r="C1216" s="4">
        <v>7707.11</v>
      </c>
      <c r="D1216" s="4">
        <v>7650.77</v>
      </c>
      <c r="E1216" s="4">
        <v>7650.91</v>
      </c>
      <c r="F1216" s="4">
        <v>3648400</v>
      </c>
      <c r="G1216" s="8">
        <f t="shared" si="253"/>
        <v>0.47000000000025466</v>
      </c>
      <c r="H1216" s="8">
        <f t="shared" si="252"/>
        <v>-34.230000000000473</v>
      </c>
      <c r="I1216" s="20">
        <f t="shared" ca="1" si="259"/>
        <v>0</v>
      </c>
      <c r="J1216" s="8">
        <f t="shared" ca="1" si="260"/>
        <v>2</v>
      </c>
      <c r="K1216" s="8">
        <f t="shared" ca="1" si="261"/>
        <v>-67.520000000000437</v>
      </c>
      <c r="L1216" s="8">
        <f t="shared" ca="1" si="262"/>
        <v>17458.660000000014</v>
      </c>
      <c r="M1216" s="9">
        <f ca="1">AVERAGE(E1216:OFFSET(E1216,-M$5+1,0))</f>
        <v>7663.273000000001</v>
      </c>
      <c r="N1216" s="9">
        <f ca="1">AVERAGE(E1216:OFFSET(E1216,-N$5+1,0))</f>
        <v>7675.1535000000003</v>
      </c>
      <c r="O1216" s="9">
        <f t="shared" ca="1" si="263"/>
        <v>-1</v>
      </c>
      <c r="P1216" s="14">
        <f t="shared" si="254"/>
        <v>-0.44028402625079388</v>
      </c>
      <c r="Q1216" s="15">
        <f ca="1">STDEV(P1216:OFFSET(P1216,-$Q$5+1,0))</f>
        <v>1.2321387272494135</v>
      </c>
      <c r="R1216" s="15">
        <f ca="1">STDEV(P1216:OFFSET(P1216,-$R$5+1,0))</f>
        <v>0.98828814602960047</v>
      </c>
      <c r="S1216" s="18">
        <f t="shared" si="255"/>
        <v>56.339999999999236</v>
      </c>
      <c r="T1216" s="18">
        <f t="shared" si="256"/>
        <v>56.339999999999236</v>
      </c>
      <c r="U1216" s="18">
        <f t="shared" si="264"/>
        <v>94.695106428885737</v>
      </c>
      <c r="V1216" s="33">
        <f ca="1">AVERAGE(E1216:OFFSET(E1216,-V$5+1,0))</f>
        <v>7683.97</v>
      </c>
      <c r="W1216" s="33">
        <f t="shared" ca="1" si="257"/>
        <v>7826.0126596433292</v>
      </c>
      <c r="X1216" s="33">
        <f t="shared" ca="1" si="258"/>
        <v>7541.9273403566713</v>
      </c>
      <c r="Y1216" s="32">
        <f t="shared" ca="1" si="265"/>
        <v>0</v>
      </c>
    </row>
    <row r="1217" spans="1:25">
      <c r="A1217" s="5">
        <v>40154</v>
      </c>
      <c r="B1217" s="4">
        <v>7704.69</v>
      </c>
      <c r="C1217" s="4">
        <v>7783.2</v>
      </c>
      <c r="D1217" s="4">
        <v>7704.69</v>
      </c>
      <c r="E1217" s="4">
        <v>7775.64</v>
      </c>
      <c r="F1217" s="4">
        <v>4278400</v>
      </c>
      <c r="G1217" s="8">
        <f t="shared" si="253"/>
        <v>53.779999999999745</v>
      </c>
      <c r="H1217" s="8">
        <f t="shared" si="252"/>
        <v>70.950000000000728</v>
      </c>
      <c r="I1217" s="20">
        <f t="shared" ca="1" si="259"/>
        <v>0</v>
      </c>
      <c r="J1217" s="8">
        <f t="shared" ca="1" si="260"/>
        <v>2</v>
      </c>
      <c r="K1217" s="8">
        <f t="shared" ca="1" si="261"/>
        <v>249.46000000000095</v>
      </c>
      <c r="L1217" s="8">
        <f t="shared" ca="1" si="262"/>
        <v>17708.120000000017</v>
      </c>
      <c r="M1217" s="9">
        <f ca="1">AVERAGE(E1217:OFFSET(E1217,-M$5+1,0))</f>
        <v>7672.1220000000003</v>
      </c>
      <c r="N1217" s="9">
        <f ca="1">AVERAGE(E1217:OFFSET(E1217,-N$5+1,0))</f>
        <v>7687.1005000000005</v>
      </c>
      <c r="O1217" s="9">
        <f t="shared" ca="1" si="263"/>
        <v>0</v>
      </c>
      <c r="P1217" s="14">
        <f t="shared" si="254"/>
        <v>1.6171174777820132</v>
      </c>
      <c r="Q1217" s="15">
        <f ca="1">STDEV(P1217:OFFSET(P1217,-$Q$5+1,0))</f>
        <v>1.340069881692761</v>
      </c>
      <c r="R1217" s="15">
        <f ca="1">STDEV(P1217:OFFSET(P1217,-$R$5+1,0))</f>
        <v>1.0186422300616862</v>
      </c>
      <c r="S1217" s="18">
        <f t="shared" si="255"/>
        <v>78.510000000000218</v>
      </c>
      <c r="T1217" s="18">
        <f t="shared" si="256"/>
        <v>132.28999999999996</v>
      </c>
      <c r="U1217" s="18">
        <f t="shared" si="264"/>
        <v>99.707758905034311</v>
      </c>
      <c r="V1217" s="33">
        <f ca="1">AVERAGE(E1217:OFFSET(E1217,-V$5+1,0))</f>
        <v>7687.0007142857139</v>
      </c>
      <c r="W1217" s="33">
        <f t="shared" ca="1" si="257"/>
        <v>7836.5623526432655</v>
      </c>
      <c r="X1217" s="33">
        <f t="shared" ca="1" si="258"/>
        <v>7537.4390759281623</v>
      </c>
      <c r="Y1217" s="32">
        <f t="shared" ca="1" si="265"/>
        <v>0</v>
      </c>
    </row>
    <row r="1218" spans="1:25">
      <c r="A1218" s="5">
        <v>40155</v>
      </c>
      <c r="B1218" s="4">
        <v>7802.27</v>
      </c>
      <c r="C1218" s="4">
        <v>7802.27</v>
      </c>
      <c r="D1218" s="4">
        <v>7731.01</v>
      </c>
      <c r="E1218" s="4">
        <v>7768.71</v>
      </c>
      <c r="F1218" s="4">
        <v>4230200</v>
      </c>
      <c r="G1218" s="8">
        <f t="shared" si="253"/>
        <v>26.630000000000109</v>
      </c>
      <c r="H1218" s="8">
        <f t="shared" si="252"/>
        <v>-33.5600000000004</v>
      </c>
      <c r="I1218" s="20">
        <f t="shared" ca="1" si="259"/>
        <v>0</v>
      </c>
      <c r="J1218" s="8">
        <f t="shared" ca="1" si="260"/>
        <v>2</v>
      </c>
      <c r="K1218" s="8">
        <f t="shared" ca="1" si="261"/>
        <v>-13.860000000000582</v>
      </c>
      <c r="L1218" s="8">
        <f t="shared" ca="1" si="262"/>
        <v>17694.260000000017</v>
      </c>
      <c r="M1218" s="9">
        <f ca="1">AVERAGE(E1218:OFFSET(E1218,-M$5+1,0))</f>
        <v>7677.5370000000012</v>
      </c>
      <c r="N1218" s="9">
        <f ca="1">AVERAGE(E1218:OFFSET(E1218,-N$5+1,0))</f>
        <v>7695.8615000000009</v>
      </c>
      <c r="O1218" s="9">
        <f t="shared" ca="1" si="263"/>
        <v>0</v>
      </c>
      <c r="P1218" s="14">
        <f t="shared" si="254"/>
        <v>-8.9164235997355859E-2</v>
      </c>
      <c r="Q1218" s="15">
        <f ca="1">STDEV(P1218:OFFSET(P1218,-$Q$5+1,0))</f>
        <v>1.3385491319766698</v>
      </c>
      <c r="R1218" s="15">
        <f ca="1">STDEV(P1218:OFFSET(P1218,-$R$5+1,0))</f>
        <v>1.0187843405321912</v>
      </c>
      <c r="S1218" s="18">
        <f t="shared" si="255"/>
        <v>71.260000000000218</v>
      </c>
      <c r="T1218" s="18">
        <f t="shared" si="256"/>
        <v>71.260000000000218</v>
      </c>
      <c r="U1218" s="18">
        <f t="shared" si="264"/>
        <v>95.914724384363097</v>
      </c>
      <c r="V1218" s="33">
        <f ca="1">AVERAGE(E1218:OFFSET(E1218,-V$5+1,0))</f>
        <v>7687.1450000000013</v>
      </c>
      <c r="W1218" s="33">
        <f t="shared" ca="1" si="257"/>
        <v>7831.0170865765458</v>
      </c>
      <c r="X1218" s="33">
        <f t="shared" ca="1" si="258"/>
        <v>7543.2729134234569</v>
      </c>
      <c r="Y1218" s="32">
        <f t="shared" ca="1" si="265"/>
        <v>0</v>
      </c>
    </row>
    <row r="1219" spans="1:25">
      <c r="A1219" s="5">
        <v>40156</v>
      </c>
      <c r="B1219" s="4">
        <v>7747.6</v>
      </c>
      <c r="C1219" s="4">
        <v>7797.42</v>
      </c>
      <c r="D1219" s="4">
        <v>7742.92</v>
      </c>
      <c r="E1219" s="4">
        <v>7797.42</v>
      </c>
      <c r="F1219" s="4">
        <v>4522800</v>
      </c>
      <c r="G1219" s="8">
        <f t="shared" si="253"/>
        <v>-21.109999999999673</v>
      </c>
      <c r="H1219" s="8">
        <f t="shared" si="252"/>
        <v>49.819999999999709</v>
      </c>
      <c r="I1219" s="20">
        <f t="shared" ca="1" si="259"/>
        <v>0</v>
      </c>
      <c r="J1219" s="8">
        <f t="shared" ca="1" si="260"/>
        <v>2</v>
      </c>
      <c r="K1219" s="8">
        <f t="shared" ca="1" si="261"/>
        <v>57.420000000000073</v>
      </c>
      <c r="L1219" s="8">
        <f t="shared" ca="1" si="262"/>
        <v>17751.680000000015</v>
      </c>
      <c r="M1219" s="9">
        <f ca="1">AVERAGE(E1219:OFFSET(E1219,-M$5+1,0))</f>
        <v>7681.6479999999992</v>
      </c>
      <c r="N1219" s="9">
        <f ca="1">AVERAGE(E1219:OFFSET(E1219,-N$5+1,0))</f>
        <v>7702.3295000000016</v>
      </c>
      <c r="O1219" s="9">
        <f t="shared" ca="1" si="263"/>
        <v>0</v>
      </c>
      <c r="P1219" s="14">
        <f t="shared" si="254"/>
        <v>0.36887823184073426</v>
      </c>
      <c r="Q1219" s="15">
        <f ca="1">STDEV(P1219:OFFSET(P1219,-$Q$5+1,0))</f>
        <v>1.3329655018105084</v>
      </c>
      <c r="R1219" s="15">
        <f ca="1">STDEV(P1219:OFFSET(P1219,-$R$5+1,0))</f>
        <v>1.0002035255058457</v>
      </c>
      <c r="S1219" s="18">
        <f t="shared" si="255"/>
        <v>54.5</v>
      </c>
      <c r="T1219" s="18">
        <f t="shared" si="256"/>
        <v>54.5</v>
      </c>
      <c r="U1219" s="18">
        <f t="shared" si="264"/>
        <v>90.392761133114689</v>
      </c>
      <c r="V1219" s="33">
        <f ca="1">AVERAGE(E1219:OFFSET(E1219,-V$5+1,0))</f>
        <v>7689.8192857142858</v>
      </c>
      <c r="W1219" s="33">
        <f t="shared" ca="1" si="257"/>
        <v>7825.4084274139577</v>
      </c>
      <c r="X1219" s="33">
        <f t="shared" ca="1" si="258"/>
        <v>7554.2301440146139</v>
      </c>
      <c r="Y1219" s="32">
        <f t="shared" ca="1" si="265"/>
        <v>0</v>
      </c>
    </row>
    <row r="1220" spans="1:25">
      <c r="A1220" s="5">
        <v>40157</v>
      </c>
      <c r="B1220" s="4">
        <v>7822.66</v>
      </c>
      <c r="C1220" s="4">
        <v>7829.41</v>
      </c>
      <c r="D1220" s="4">
        <v>7631.06</v>
      </c>
      <c r="E1220" s="4">
        <v>7677.91</v>
      </c>
      <c r="F1220" s="4">
        <v>5702200</v>
      </c>
      <c r="G1220" s="8">
        <f t="shared" si="253"/>
        <v>25.239999999999782</v>
      </c>
      <c r="H1220" s="8">
        <f t="shared" ref="H1220:H1283" si="266">E1220-B1220</f>
        <v>-144.75</v>
      </c>
      <c r="I1220" s="20">
        <f t="shared" ca="1" si="259"/>
        <v>0</v>
      </c>
      <c r="J1220" s="8">
        <f t="shared" ca="1" si="260"/>
        <v>2</v>
      </c>
      <c r="K1220" s="8">
        <f t="shared" ca="1" si="261"/>
        <v>-239.02000000000044</v>
      </c>
      <c r="L1220" s="8">
        <f t="shared" ca="1" si="262"/>
        <v>17512.660000000014</v>
      </c>
      <c r="M1220" s="9">
        <f ca="1">AVERAGE(E1220:OFFSET(E1220,-M$5+1,0))</f>
        <v>7675.523000000001</v>
      </c>
      <c r="N1220" s="9">
        <f ca="1">AVERAGE(E1220:OFFSET(E1220,-N$5+1,0))</f>
        <v>7702.6785000000018</v>
      </c>
      <c r="O1220" s="9">
        <f t="shared" ca="1" si="263"/>
        <v>0</v>
      </c>
      <c r="P1220" s="14">
        <f t="shared" si="254"/>
        <v>-1.5445535041216552</v>
      </c>
      <c r="Q1220" s="15">
        <f ca="1">STDEV(P1220:OFFSET(P1220,-$Q$5+1,0))</f>
        <v>1.4256627792603083</v>
      </c>
      <c r="R1220" s="15">
        <f ca="1">STDEV(P1220:OFFSET(P1220,-$R$5+1,0))</f>
        <v>1.030359145361234</v>
      </c>
      <c r="S1220" s="18">
        <f t="shared" si="255"/>
        <v>198.34999999999945</v>
      </c>
      <c r="T1220" s="18">
        <f t="shared" si="256"/>
        <v>198.34999999999945</v>
      </c>
      <c r="U1220" s="18">
        <f t="shared" si="264"/>
        <v>104.78705964869934</v>
      </c>
      <c r="V1220" s="33">
        <f ca="1">AVERAGE(E1220:OFFSET(E1220,-V$5+1,0))</f>
        <v>7689.4578571428583</v>
      </c>
      <c r="W1220" s="33">
        <f t="shared" ca="1" si="257"/>
        <v>7846.638446615907</v>
      </c>
      <c r="X1220" s="33">
        <f t="shared" ca="1" si="258"/>
        <v>7532.2772676698096</v>
      </c>
      <c r="Y1220" s="32">
        <f t="shared" ca="1" si="265"/>
        <v>0</v>
      </c>
    </row>
    <row r="1221" spans="1:25">
      <c r="A1221" s="5">
        <v>40158</v>
      </c>
      <c r="B1221" s="4">
        <v>7709.96</v>
      </c>
      <c r="C1221" s="4">
        <v>7795.07</v>
      </c>
      <c r="D1221" s="4">
        <v>7700.76</v>
      </c>
      <c r="E1221" s="4">
        <v>7795.07</v>
      </c>
      <c r="F1221" s="4">
        <v>4659000</v>
      </c>
      <c r="G1221" s="8">
        <f t="shared" ref="G1221:G1284" si="267">B1221-E1220</f>
        <v>32.050000000000182</v>
      </c>
      <c r="H1221" s="8">
        <f t="shared" si="266"/>
        <v>85.109999999999673</v>
      </c>
      <c r="I1221" s="20">
        <f t="shared" ca="1" si="259"/>
        <v>0</v>
      </c>
      <c r="J1221" s="8">
        <f t="shared" ca="1" si="260"/>
        <v>2</v>
      </c>
      <c r="K1221" s="8">
        <f t="shared" ca="1" si="261"/>
        <v>234.31999999999971</v>
      </c>
      <c r="L1221" s="8">
        <f t="shared" ca="1" si="262"/>
        <v>17746.980000000014</v>
      </c>
      <c r="M1221" s="9">
        <f ca="1">AVERAGE(E1221:OFFSET(E1221,-M$5+1,0))</f>
        <v>7705.9389999999985</v>
      </c>
      <c r="N1221" s="9">
        <f ca="1">AVERAGE(E1221:OFFSET(E1221,-N$5+1,0))</f>
        <v>7709.1505000000006</v>
      </c>
      <c r="O1221" s="9">
        <f t="shared" ca="1" si="263"/>
        <v>0</v>
      </c>
      <c r="P1221" s="14">
        <f t="shared" ref="P1221:P1284" si="268">100*LN(E1221/E1220)</f>
        <v>1.5144107877525141</v>
      </c>
      <c r="Q1221" s="15">
        <f ca="1">STDEV(P1221:OFFSET(P1221,-$Q$5+1,0))</f>
        <v>0.96813673643445652</v>
      </c>
      <c r="R1221" s="15">
        <f ca="1">STDEV(P1221:OFFSET(P1221,-$R$5+1,0))</f>
        <v>1.0581982585459297</v>
      </c>
      <c r="S1221" s="18">
        <f t="shared" si="255"/>
        <v>94.309999999999491</v>
      </c>
      <c r="T1221" s="18">
        <f t="shared" si="256"/>
        <v>117.15999999999985</v>
      </c>
      <c r="U1221" s="18">
        <f t="shared" si="264"/>
        <v>106.43678502887275</v>
      </c>
      <c r="V1221" s="33">
        <f ca="1">AVERAGE(E1221:OFFSET(E1221,-V$5+1,0))</f>
        <v>7697.1664285714296</v>
      </c>
      <c r="W1221" s="33">
        <f t="shared" ca="1" si="257"/>
        <v>7856.8216061147386</v>
      </c>
      <c r="X1221" s="33">
        <f t="shared" ca="1" si="258"/>
        <v>7537.5112510281206</v>
      </c>
      <c r="Y1221" s="32">
        <f t="shared" ca="1" si="265"/>
        <v>0</v>
      </c>
    </row>
    <row r="1222" spans="1:25">
      <c r="A1222" s="5">
        <v>40161</v>
      </c>
      <c r="B1222" s="4">
        <v>7793.14</v>
      </c>
      <c r="C1222" s="4">
        <v>7841.51</v>
      </c>
      <c r="D1222" s="4">
        <v>7770.2</v>
      </c>
      <c r="E1222" s="4">
        <v>7819.13</v>
      </c>
      <c r="F1222" s="4">
        <v>4857800</v>
      </c>
      <c r="G1222" s="8">
        <f t="shared" si="267"/>
        <v>-1.9299999999993815</v>
      </c>
      <c r="H1222" s="8">
        <f t="shared" si="266"/>
        <v>25.989999999999782</v>
      </c>
      <c r="I1222" s="20">
        <f t="shared" ca="1" si="259"/>
        <v>0</v>
      </c>
      <c r="J1222" s="8">
        <f t="shared" ca="1" si="260"/>
        <v>2</v>
      </c>
      <c r="K1222" s="8">
        <f t="shared" ca="1" si="261"/>
        <v>48.1200000000008</v>
      </c>
      <c r="L1222" s="8">
        <f t="shared" ca="1" si="262"/>
        <v>17795.100000000013</v>
      </c>
      <c r="M1222" s="9">
        <f ca="1">AVERAGE(E1222:OFFSET(E1222,-M$5+1,0))</f>
        <v>7729.6309999999994</v>
      </c>
      <c r="N1222" s="9">
        <f ca="1">AVERAGE(E1222:OFFSET(E1222,-N$5+1,0))</f>
        <v>7710.4730000000009</v>
      </c>
      <c r="O1222" s="9">
        <f t="shared" ca="1" si="263"/>
        <v>1</v>
      </c>
      <c r="P1222" s="14">
        <f t="shared" si="268"/>
        <v>0.30818125863153439</v>
      </c>
      <c r="Q1222" s="15">
        <f ca="1">STDEV(P1222:OFFSET(P1222,-$Q$5+1,0))</f>
        <v>0.9249871045183008</v>
      </c>
      <c r="R1222" s="15">
        <f ca="1">STDEV(P1222:OFFSET(P1222,-$R$5+1,0))</f>
        <v>1.056782506170352</v>
      </c>
      <c r="S1222" s="18">
        <f t="shared" si="255"/>
        <v>71.3100000000004</v>
      </c>
      <c r="T1222" s="18">
        <f t="shared" si="256"/>
        <v>71.3100000000004</v>
      </c>
      <c r="U1222" s="18">
        <f t="shared" si="264"/>
        <v>101.75321369168977</v>
      </c>
      <c r="V1222" s="33">
        <f ca="1">AVERAGE(E1222:OFFSET(E1222,-V$5+1,0))</f>
        <v>7704.6357142857159</v>
      </c>
      <c r="W1222" s="33">
        <f t="shared" ca="1" si="257"/>
        <v>7857.2655348232502</v>
      </c>
      <c r="X1222" s="33">
        <f t="shared" ca="1" si="258"/>
        <v>7552.0058937481817</v>
      </c>
      <c r="Y1222" s="32">
        <f t="shared" ca="1" si="265"/>
        <v>0</v>
      </c>
    </row>
    <row r="1223" spans="1:25">
      <c r="A1223" s="5">
        <v>40162</v>
      </c>
      <c r="B1223" s="4">
        <v>7838.53</v>
      </c>
      <c r="C1223" s="4">
        <v>7846.78</v>
      </c>
      <c r="D1223" s="4">
        <v>7792.56</v>
      </c>
      <c r="E1223" s="4">
        <v>7807.62</v>
      </c>
      <c r="F1223" s="4">
        <v>4637400</v>
      </c>
      <c r="G1223" s="8">
        <f t="shared" si="267"/>
        <v>19.399999999999636</v>
      </c>
      <c r="H1223" s="8">
        <f t="shared" si="266"/>
        <v>-30.909999999999854</v>
      </c>
      <c r="I1223" s="20">
        <f t="shared" ca="1" si="259"/>
        <v>0</v>
      </c>
      <c r="J1223" s="8">
        <f t="shared" ca="1" si="260"/>
        <v>2</v>
      </c>
      <c r="K1223" s="8">
        <f t="shared" ca="1" si="261"/>
        <v>-23.020000000000437</v>
      </c>
      <c r="L1223" s="8">
        <f t="shared" ca="1" si="262"/>
        <v>17772.080000000013</v>
      </c>
      <c r="M1223" s="9">
        <f ca="1">AVERAGE(E1223:OFFSET(E1223,-M$5+1,0))</f>
        <v>7745.4699999999993</v>
      </c>
      <c r="N1223" s="9">
        <f ca="1">AVERAGE(E1223:OFFSET(E1223,-N$5+1,0))</f>
        <v>7714.1934999999994</v>
      </c>
      <c r="O1223" s="9">
        <f t="shared" ca="1" si="263"/>
        <v>0</v>
      </c>
      <c r="P1223" s="14">
        <f t="shared" si="268"/>
        <v>-0.14731152775155348</v>
      </c>
      <c r="Q1223" s="15">
        <f ca="1">STDEV(P1223:OFFSET(P1223,-$Q$5+1,0))</f>
        <v>0.91130646619079148</v>
      </c>
      <c r="R1223" s="15">
        <f ca="1">STDEV(P1223:OFFSET(P1223,-$R$5+1,0))</f>
        <v>1.0571194102509143</v>
      </c>
      <c r="S1223" s="18">
        <f t="shared" si="255"/>
        <v>54.219999999999345</v>
      </c>
      <c r="T1223" s="18">
        <f t="shared" si="256"/>
        <v>54.219999999999345</v>
      </c>
      <c r="U1223" s="18">
        <f t="shared" si="264"/>
        <v>95.41545186613105</v>
      </c>
      <c r="V1223" s="33">
        <f ca="1">AVERAGE(E1223:OFFSET(E1223,-V$5+1,0))</f>
        <v>7708.3007142857141</v>
      </c>
      <c r="W1223" s="33">
        <f t="shared" ca="1" si="257"/>
        <v>7851.4238920849111</v>
      </c>
      <c r="X1223" s="33">
        <f t="shared" ca="1" si="258"/>
        <v>7565.1775364865171</v>
      </c>
      <c r="Y1223" s="32">
        <f t="shared" ca="1" si="265"/>
        <v>0</v>
      </c>
    </row>
    <row r="1224" spans="1:25">
      <c r="A1224" s="5">
        <v>40163</v>
      </c>
      <c r="B1224" s="4">
        <v>7801.3</v>
      </c>
      <c r="C1224" s="4">
        <v>7801.3</v>
      </c>
      <c r="D1224" s="4">
        <v>7724.58</v>
      </c>
      <c r="E1224" s="4">
        <v>7751.6</v>
      </c>
      <c r="F1224" s="4">
        <v>3958400</v>
      </c>
      <c r="G1224" s="8">
        <f t="shared" si="267"/>
        <v>-6.319999999999709</v>
      </c>
      <c r="H1224" s="8">
        <f t="shared" si="266"/>
        <v>-49.699999999999818</v>
      </c>
      <c r="I1224" s="20">
        <f t="shared" ca="1" si="259"/>
        <v>0</v>
      </c>
      <c r="J1224" s="8">
        <f t="shared" ca="1" si="260"/>
        <v>2</v>
      </c>
      <c r="K1224" s="8">
        <f t="shared" ca="1" si="261"/>
        <v>-112.03999999999905</v>
      </c>
      <c r="L1224" s="8">
        <f t="shared" ca="1" si="262"/>
        <v>17660.040000000015</v>
      </c>
      <c r="M1224" s="9">
        <f ca="1">AVERAGE(E1224:OFFSET(E1224,-M$5+1,0))</f>
        <v>7752.8679999999995</v>
      </c>
      <c r="N1224" s="9">
        <f ca="1">AVERAGE(E1224:OFFSET(E1224,-N$5+1,0))</f>
        <v>7713.4390000000012</v>
      </c>
      <c r="O1224" s="9">
        <f t="shared" ca="1" si="263"/>
        <v>0</v>
      </c>
      <c r="P1224" s="14">
        <f t="shared" si="268"/>
        <v>-0.72009062237199939</v>
      </c>
      <c r="Q1224" s="15">
        <f ca="1">STDEV(P1224:OFFSET(P1224,-$Q$5+1,0))</f>
        <v>0.95357195085548863</v>
      </c>
      <c r="R1224" s="15">
        <f ca="1">STDEV(P1224:OFFSET(P1224,-$R$5+1,0))</f>
        <v>1.057930841559672</v>
      </c>
      <c r="S1224" s="18">
        <f t="shared" si="255"/>
        <v>76.720000000000255</v>
      </c>
      <c r="T1224" s="18">
        <f t="shared" si="256"/>
        <v>83.039999999999964</v>
      </c>
      <c r="U1224" s="18">
        <f t="shared" si="264"/>
        <v>93.765391617313583</v>
      </c>
      <c r="V1224" s="33">
        <f ca="1">AVERAGE(E1224:OFFSET(E1224,-V$5+1,0))</f>
        <v>7709.1892857142875</v>
      </c>
      <c r="W1224" s="33">
        <f t="shared" ca="1" si="257"/>
        <v>7849.837373140258</v>
      </c>
      <c r="X1224" s="33">
        <f t="shared" ca="1" si="258"/>
        <v>7568.541198288317</v>
      </c>
      <c r="Y1224" s="32">
        <f t="shared" ca="1" si="265"/>
        <v>0</v>
      </c>
    </row>
    <row r="1225" spans="1:25">
      <c r="A1225" s="5">
        <v>40164</v>
      </c>
      <c r="B1225" s="4">
        <v>7804.7</v>
      </c>
      <c r="C1225" s="4">
        <v>7836.43</v>
      </c>
      <c r="D1225" s="4">
        <v>7728.88</v>
      </c>
      <c r="E1225" s="4">
        <v>7742.17</v>
      </c>
      <c r="F1225" s="4">
        <v>4446200</v>
      </c>
      <c r="G1225" s="8">
        <f t="shared" si="267"/>
        <v>53.099999999999454</v>
      </c>
      <c r="H1225" s="8">
        <f t="shared" si="266"/>
        <v>-62.529999999999745</v>
      </c>
      <c r="I1225" s="20">
        <f t="shared" ca="1" si="259"/>
        <v>0</v>
      </c>
      <c r="J1225" s="8">
        <f t="shared" ca="1" si="260"/>
        <v>2</v>
      </c>
      <c r="K1225" s="8">
        <f t="shared" ca="1" si="261"/>
        <v>-18.860000000000582</v>
      </c>
      <c r="L1225" s="8">
        <f t="shared" ca="1" si="262"/>
        <v>17641.180000000015</v>
      </c>
      <c r="M1225" s="9">
        <f ca="1">AVERAGE(E1225:OFFSET(E1225,-M$5+1,0))</f>
        <v>7758.6179999999995</v>
      </c>
      <c r="N1225" s="9">
        <f ca="1">AVERAGE(E1225:OFFSET(E1225,-N$5+1,0))</f>
        <v>7712.5485000000017</v>
      </c>
      <c r="O1225" s="9">
        <f t="shared" ca="1" si="263"/>
        <v>0</v>
      </c>
      <c r="P1225" s="14">
        <f t="shared" si="268"/>
        <v>-0.12172636052289419</v>
      </c>
      <c r="Q1225" s="15">
        <f ca="1">STDEV(P1225:OFFSET(P1225,-$Q$5+1,0))</f>
        <v>0.95606133189702636</v>
      </c>
      <c r="R1225" s="15">
        <f ca="1">STDEV(P1225:OFFSET(P1225,-$R$5+1,0))</f>
        <v>1.0390340074613829</v>
      </c>
      <c r="S1225" s="18">
        <f t="shared" si="255"/>
        <v>107.55000000000018</v>
      </c>
      <c r="T1225" s="18">
        <f t="shared" si="256"/>
        <v>107.55000000000018</v>
      </c>
      <c r="U1225" s="18">
        <f t="shared" si="264"/>
        <v>95.603339401671803</v>
      </c>
      <c r="V1225" s="33">
        <f ca="1">AVERAGE(E1225:OFFSET(E1225,-V$5+1,0))</f>
        <v>7727.136428571428</v>
      </c>
      <c r="W1225" s="33">
        <f t="shared" ca="1" si="257"/>
        <v>7870.5414376739354</v>
      </c>
      <c r="X1225" s="33">
        <f t="shared" ca="1" si="258"/>
        <v>7583.7314194689206</v>
      </c>
      <c r="Y1225" s="32">
        <f t="shared" ca="1" si="265"/>
        <v>0</v>
      </c>
    </row>
    <row r="1226" spans="1:25">
      <c r="A1226" s="5">
        <v>40165</v>
      </c>
      <c r="B1226" s="4">
        <v>7690.44</v>
      </c>
      <c r="C1226" s="4">
        <v>7753.63</v>
      </c>
      <c r="D1226" s="4">
        <v>7688</v>
      </c>
      <c r="E1226" s="4">
        <v>7753.63</v>
      </c>
      <c r="F1226" s="4">
        <v>3473600</v>
      </c>
      <c r="G1226" s="8">
        <f t="shared" si="267"/>
        <v>-51.730000000000473</v>
      </c>
      <c r="H1226" s="8">
        <f t="shared" si="266"/>
        <v>63.190000000000509</v>
      </c>
      <c r="I1226" s="20">
        <f t="shared" ca="1" si="259"/>
        <v>0</v>
      </c>
      <c r="J1226" s="8">
        <f t="shared" ca="1" si="260"/>
        <v>2</v>
      </c>
      <c r="K1226" s="8">
        <f t="shared" ca="1" si="261"/>
        <v>22.920000000000073</v>
      </c>
      <c r="L1226" s="8">
        <f t="shared" ca="1" si="262"/>
        <v>17664.100000000013</v>
      </c>
      <c r="M1226" s="9">
        <f ca="1">AVERAGE(E1226:OFFSET(E1226,-M$5+1,0))</f>
        <v>7768.8900000000012</v>
      </c>
      <c r="N1226" s="9">
        <f ca="1">AVERAGE(E1226:OFFSET(E1226,-N$5+1,0))</f>
        <v>7716.0815000000021</v>
      </c>
      <c r="O1226" s="9">
        <f t="shared" ca="1" si="263"/>
        <v>0</v>
      </c>
      <c r="P1226" s="14">
        <f t="shared" si="268"/>
        <v>0.14791107383056457</v>
      </c>
      <c r="Q1226" s="15">
        <f ca="1">STDEV(P1226:OFFSET(P1226,-$Q$5+1,0))</f>
        <v>0.93880626685999047</v>
      </c>
      <c r="R1226" s="15">
        <f ca="1">STDEV(P1226:OFFSET(P1226,-$R$5+1,0))</f>
        <v>1.0360518022287086</v>
      </c>
      <c r="S1226" s="18">
        <f t="shared" si="255"/>
        <v>65.630000000000109</v>
      </c>
      <c r="T1226" s="18">
        <f t="shared" si="256"/>
        <v>65.630000000000109</v>
      </c>
      <c r="U1226" s="18">
        <f t="shared" si="264"/>
        <v>91.606894148115572</v>
      </c>
      <c r="V1226" s="33">
        <f ca="1">AVERAGE(E1226:OFFSET(E1226,-V$5+1,0))</f>
        <v>7739.380714285714</v>
      </c>
      <c r="W1226" s="33">
        <f t="shared" ca="1" si="257"/>
        <v>7876.791055507887</v>
      </c>
      <c r="X1226" s="33">
        <f t="shared" ca="1" si="258"/>
        <v>7601.970373063541</v>
      </c>
      <c r="Y1226" s="32">
        <f t="shared" ca="1" si="265"/>
        <v>0</v>
      </c>
    </row>
    <row r="1227" spans="1:25">
      <c r="A1227" s="5">
        <v>40168</v>
      </c>
      <c r="B1227" s="4">
        <v>7797.65</v>
      </c>
      <c r="C1227" s="4">
        <v>7827.14</v>
      </c>
      <c r="D1227" s="4">
        <v>7787.27</v>
      </c>
      <c r="E1227" s="4">
        <v>7787.27</v>
      </c>
      <c r="F1227" s="4">
        <v>3749600</v>
      </c>
      <c r="G1227" s="8">
        <f t="shared" si="267"/>
        <v>44.019999999999527</v>
      </c>
      <c r="H1227" s="8">
        <f t="shared" si="266"/>
        <v>-10.3799999999992</v>
      </c>
      <c r="I1227" s="20">
        <f t="shared" ca="1" si="259"/>
        <v>0</v>
      </c>
      <c r="J1227" s="8">
        <f t="shared" ca="1" si="260"/>
        <v>2</v>
      </c>
      <c r="K1227" s="8">
        <f t="shared" ca="1" si="261"/>
        <v>67.280000000000655</v>
      </c>
      <c r="L1227" s="8">
        <f t="shared" ca="1" si="262"/>
        <v>17731.380000000012</v>
      </c>
      <c r="M1227" s="9">
        <f ca="1">AVERAGE(E1227:OFFSET(E1227,-M$5+1,0))</f>
        <v>7770.0529999999999</v>
      </c>
      <c r="N1227" s="9">
        <f ca="1">AVERAGE(E1227:OFFSET(E1227,-N$5+1,0))</f>
        <v>7721.0875000000015</v>
      </c>
      <c r="O1227" s="9">
        <f t="shared" ca="1" si="263"/>
        <v>0</v>
      </c>
      <c r="P1227" s="14">
        <f t="shared" si="268"/>
        <v>0.43292283639518087</v>
      </c>
      <c r="Q1227" s="15">
        <f ca="1">STDEV(P1227:OFFSET(P1227,-$Q$5+1,0))</f>
        <v>0.79443881368740898</v>
      </c>
      <c r="R1227" s="15">
        <f ca="1">STDEV(P1227:OFFSET(P1227,-$R$5+1,0))</f>
        <v>1.0374348626943211</v>
      </c>
      <c r="S1227" s="18">
        <f t="shared" si="255"/>
        <v>39.869999999999891</v>
      </c>
      <c r="T1227" s="18">
        <f t="shared" si="256"/>
        <v>73.510000000000218</v>
      </c>
      <c r="U1227" s="18">
        <f t="shared" si="264"/>
        <v>89.193974928366856</v>
      </c>
      <c r="V1227" s="33">
        <f ca="1">AVERAGE(E1227:OFFSET(E1227,-V$5+1,0))</f>
        <v>7749.2407142857146</v>
      </c>
      <c r="W1227" s="33">
        <f t="shared" ca="1" si="257"/>
        <v>7883.0316766782653</v>
      </c>
      <c r="X1227" s="33">
        <f t="shared" ca="1" si="258"/>
        <v>7615.4497518931639</v>
      </c>
      <c r="Y1227" s="32">
        <f t="shared" ca="1" si="265"/>
        <v>0</v>
      </c>
    </row>
    <row r="1228" spans="1:25">
      <c r="A1228" s="5">
        <v>40169</v>
      </c>
      <c r="B1228" s="4">
        <v>7850.05</v>
      </c>
      <c r="C1228" s="4">
        <v>7871.59</v>
      </c>
      <c r="D1228" s="4">
        <v>7823.34</v>
      </c>
      <c r="E1228" s="4">
        <v>7856</v>
      </c>
      <c r="F1228" s="4">
        <v>3844600</v>
      </c>
      <c r="G1228" s="8">
        <f t="shared" si="267"/>
        <v>62.779999999999745</v>
      </c>
      <c r="H1228" s="8">
        <f t="shared" si="266"/>
        <v>5.9499999999998181</v>
      </c>
      <c r="I1228" s="20">
        <f t="shared" ca="1" si="259"/>
        <v>0</v>
      </c>
      <c r="J1228" s="8">
        <f t="shared" ca="1" si="260"/>
        <v>2</v>
      </c>
      <c r="K1228" s="8">
        <f t="shared" ca="1" si="261"/>
        <v>137.45999999999913</v>
      </c>
      <c r="L1228" s="8">
        <f t="shared" ca="1" si="262"/>
        <v>17868.840000000011</v>
      </c>
      <c r="M1228" s="9">
        <f ca="1">AVERAGE(E1228:OFFSET(E1228,-M$5+1,0))</f>
        <v>7778.7819999999992</v>
      </c>
      <c r="N1228" s="9">
        <f ca="1">AVERAGE(E1228:OFFSET(E1228,-N$5+1,0))</f>
        <v>7728.1595000000016</v>
      </c>
      <c r="O1228" s="9">
        <f t="shared" ca="1" si="263"/>
        <v>0</v>
      </c>
      <c r="P1228" s="14">
        <f t="shared" si="268"/>
        <v>0.8787221885178772</v>
      </c>
      <c r="Q1228" s="15">
        <f ca="1">STDEV(P1228:OFFSET(P1228,-$Q$5+1,0))</f>
        <v>0.83810550959953078</v>
      </c>
      <c r="R1228" s="15">
        <f ca="1">STDEV(P1228:OFFSET(P1228,-$R$5+1,0))</f>
        <v>1.0453933445022092</v>
      </c>
      <c r="S1228" s="18">
        <f t="shared" si="255"/>
        <v>48.25</v>
      </c>
      <c r="T1228" s="18">
        <f t="shared" si="256"/>
        <v>84.319999999999709</v>
      </c>
      <c r="U1228" s="18">
        <f t="shared" si="264"/>
        <v>88.544111604584572</v>
      </c>
      <c r="V1228" s="33">
        <f ca="1">AVERAGE(E1228:OFFSET(E1228,-V$5+1,0))</f>
        <v>7761.9821428571431</v>
      </c>
      <c r="W1228" s="33">
        <f t="shared" ca="1" si="257"/>
        <v>7894.7983102640201</v>
      </c>
      <c r="X1228" s="33">
        <f t="shared" ca="1" si="258"/>
        <v>7629.1659754502662</v>
      </c>
      <c r="Y1228" s="32">
        <f t="shared" ca="1" si="265"/>
        <v>0</v>
      </c>
    </row>
    <row r="1229" spans="1:25">
      <c r="A1229" s="5">
        <v>40170</v>
      </c>
      <c r="B1229" s="4">
        <v>7892.75</v>
      </c>
      <c r="C1229" s="4">
        <v>7910.88</v>
      </c>
      <c r="D1229" s="4">
        <v>7873.22</v>
      </c>
      <c r="E1229" s="4">
        <v>7901.5</v>
      </c>
      <c r="F1229" s="4">
        <v>4158200</v>
      </c>
      <c r="G1229" s="8">
        <f t="shared" si="267"/>
        <v>36.75</v>
      </c>
      <c r="H1229" s="8">
        <f t="shared" si="266"/>
        <v>8.75</v>
      </c>
      <c r="I1229" s="20">
        <f t="shared" ca="1" si="259"/>
        <v>0</v>
      </c>
      <c r="J1229" s="8">
        <f t="shared" ca="1" si="260"/>
        <v>2</v>
      </c>
      <c r="K1229" s="8">
        <f t="shared" ca="1" si="261"/>
        <v>91</v>
      </c>
      <c r="L1229" s="8">
        <f t="shared" ca="1" si="262"/>
        <v>17959.840000000011</v>
      </c>
      <c r="M1229" s="9">
        <f ca="1">AVERAGE(E1229:OFFSET(E1229,-M$5+1,0))</f>
        <v>7789.19</v>
      </c>
      <c r="N1229" s="9">
        <f ca="1">AVERAGE(E1229:OFFSET(E1229,-N$5+1,0))</f>
        <v>7735.418999999999</v>
      </c>
      <c r="O1229" s="9">
        <f t="shared" ca="1" si="263"/>
        <v>0</v>
      </c>
      <c r="P1229" s="14">
        <f t="shared" si="268"/>
        <v>0.57750438148567229</v>
      </c>
      <c r="Q1229" s="15">
        <f ca="1">STDEV(P1229:OFFSET(P1229,-$Q$5+1,0))</f>
        <v>0.84775873338302854</v>
      </c>
      <c r="R1229" s="15">
        <f ca="1">STDEV(P1229:OFFSET(P1229,-$R$5+1,0))</f>
        <v>1.0116281280602812</v>
      </c>
      <c r="S1229" s="18">
        <f t="shared" si="255"/>
        <v>37.659999999999854</v>
      </c>
      <c r="T1229" s="18">
        <f t="shared" si="256"/>
        <v>54.880000000000109</v>
      </c>
      <c r="U1229" s="18">
        <f t="shared" si="264"/>
        <v>84.055563390639989</v>
      </c>
      <c r="V1229" s="33">
        <f ca="1">AVERAGE(E1229:OFFSET(E1229,-V$5+1,0))</f>
        <v>7777.47</v>
      </c>
      <c r="W1229" s="33">
        <f t="shared" ca="1" si="257"/>
        <v>7903.5533450859602</v>
      </c>
      <c r="X1229" s="33">
        <f t="shared" ca="1" si="258"/>
        <v>7651.3866549140403</v>
      </c>
      <c r="Y1229" s="32">
        <f t="shared" ca="1" si="265"/>
        <v>0</v>
      </c>
    </row>
    <row r="1230" spans="1:25">
      <c r="A1230" s="5">
        <v>40171</v>
      </c>
      <c r="B1230" s="4">
        <v>7935.34</v>
      </c>
      <c r="C1230" s="4">
        <v>7988.15</v>
      </c>
      <c r="D1230" s="4">
        <v>7928.09</v>
      </c>
      <c r="E1230" s="4">
        <v>7963.54</v>
      </c>
      <c r="F1230" s="4">
        <v>4802600</v>
      </c>
      <c r="G1230" s="8">
        <f t="shared" si="267"/>
        <v>33.840000000000146</v>
      </c>
      <c r="H1230" s="8">
        <f t="shared" si="266"/>
        <v>28.199999999999818</v>
      </c>
      <c r="I1230" s="20">
        <f t="shared" ca="1" si="259"/>
        <v>1</v>
      </c>
      <c r="J1230" s="8">
        <f t="shared" ca="1" si="260"/>
        <v>2</v>
      </c>
      <c r="K1230" s="8">
        <f t="shared" ca="1" si="261"/>
        <v>124.07999999999993</v>
      </c>
      <c r="L1230" s="8">
        <f t="shared" ca="1" si="262"/>
        <v>18083.920000000013</v>
      </c>
      <c r="M1230" s="9">
        <f ca="1">AVERAGE(E1230:OFFSET(E1230,-M$5+1,0))</f>
        <v>7817.7529999999988</v>
      </c>
      <c r="N1230" s="9">
        <f ca="1">AVERAGE(E1230:OFFSET(E1230,-N$5+1,0))</f>
        <v>7746.6380000000017</v>
      </c>
      <c r="O1230" s="9">
        <f t="shared" ca="1" si="263"/>
        <v>0</v>
      </c>
      <c r="P1230" s="14">
        <f t="shared" si="268"/>
        <v>0.78210097471217344</v>
      </c>
      <c r="Q1230" s="15">
        <f ca="1">STDEV(P1230:OFFSET(P1230,-$Q$5+1,0))</f>
        <v>0.62680345008720473</v>
      </c>
      <c r="R1230" s="15">
        <f ca="1">STDEV(P1230:OFFSET(P1230,-$R$5+1,0))</f>
        <v>0.93069220622829496</v>
      </c>
      <c r="S1230" s="18">
        <f t="shared" si="255"/>
        <v>60.059999999999491</v>
      </c>
      <c r="T1230" s="18">
        <f t="shared" si="256"/>
        <v>86.649999999999636</v>
      </c>
      <c r="U1230" s="18">
        <f t="shared" si="264"/>
        <v>84.401488271887942</v>
      </c>
      <c r="V1230" s="33">
        <f ca="1">AVERAGE(E1230:OFFSET(E1230,-V$5+1,0))</f>
        <v>7799.800714285715</v>
      </c>
      <c r="W1230" s="33">
        <f t="shared" ca="1" si="257"/>
        <v>7926.4029466935472</v>
      </c>
      <c r="X1230" s="33">
        <f t="shared" ca="1" si="258"/>
        <v>7673.1984818778828</v>
      </c>
      <c r="Y1230" s="32">
        <f t="shared" ca="1" si="265"/>
        <v>1</v>
      </c>
    </row>
    <row r="1231" spans="1:25">
      <c r="A1231" s="5">
        <v>40172</v>
      </c>
      <c r="B1231" s="4">
        <v>8007.5</v>
      </c>
      <c r="C1231" s="4">
        <v>8009</v>
      </c>
      <c r="D1231" s="4">
        <v>7965.37</v>
      </c>
      <c r="E1231" s="4">
        <v>7972.59</v>
      </c>
      <c r="F1231" s="4">
        <v>4429400</v>
      </c>
      <c r="G1231" s="8">
        <f t="shared" si="267"/>
        <v>43.960000000000036</v>
      </c>
      <c r="H1231" s="8">
        <f t="shared" si="266"/>
        <v>-34.909999999999854</v>
      </c>
      <c r="I1231" s="20">
        <f t="shared" ca="1" si="259"/>
        <v>0</v>
      </c>
      <c r="J1231" s="8">
        <f t="shared" ca="1" si="260"/>
        <v>3</v>
      </c>
      <c r="K1231" s="8">
        <f t="shared" ca="1" si="261"/>
        <v>-16.809999999999491</v>
      </c>
      <c r="L1231" s="8">
        <f t="shared" ca="1" si="262"/>
        <v>18067.110000000015</v>
      </c>
      <c r="M1231" s="9">
        <f ca="1">AVERAGE(E1231:OFFSET(E1231,-M$5+1,0))</f>
        <v>7835.5049999999992</v>
      </c>
      <c r="N1231" s="9">
        <f ca="1">AVERAGE(E1231:OFFSET(E1231,-N$5+1,0))</f>
        <v>7770.7219999999998</v>
      </c>
      <c r="O1231" s="9">
        <f t="shared" ca="1" si="263"/>
        <v>0</v>
      </c>
      <c r="P1231" s="14">
        <f t="shared" si="268"/>
        <v>0.11357840294825708</v>
      </c>
      <c r="Q1231" s="15">
        <f ca="1">STDEV(P1231:OFFSET(P1231,-$Q$5+1,0))</f>
        <v>0.48103049605244741</v>
      </c>
      <c r="R1231" s="15">
        <f ca="1">STDEV(P1231:OFFSET(P1231,-$R$5+1,0))</f>
        <v>0.92842592438148008</v>
      </c>
      <c r="S1231" s="18">
        <f t="shared" si="255"/>
        <v>43.630000000000109</v>
      </c>
      <c r="T1231" s="18">
        <f t="shared" si="256"/>
        <v>45.460000000000036</v>
      </c>
      <c r="U1231" s="18">
        <f t="shared" si="264"/>
        <v>79.209289835636227</v>
      </c>
      <c r="V1231" s="33">
        <f ca="1">AVERAGE(E1231:OFFSET(E1231,-V$5+1,0))</f>
        <v>7813.8685714285702</v>
      </c>
      <c r="W1231" s="33">
        <f t="shared" ca="1" si="257"/>
        <v>7932.6825061820246</v>
      </c>
      <c r="X1231" s="33">
        <f t="shared" ca="1" si="258"/>
        <v>7695.0546366751159</v>
      </c>
      <c r="Y1231" s="32">
        <f t="shared" ca="1" si="265"/>
        <v>0</v>
      </c>
    </row>
    <row r="1232" spans="1:25">
      <c r="A1232" s="5">
        <v>40175</v>
      </c>
      <c r="B1232" s="4">
        <v>8007.54</v>
      </c>
      <c r="C1232" s="4">
        <v>8079.62</v>
      </c>
      <c r="D1232" s="4">
        <v>8007.54</v>
      </c>
      <c r="E1232" s="4">
        <v>8057.49</v>
      </c>
      <c r="F1232" s="4">
        <v>5306400</v>
      </c>
      <c r="G1232" s="8">
        <f t="shared" si="267"/>
        <v>34.949999999999818</v>
      </c>
      <c r="H1232" s="8">
        <f t="shared" si="266"/>
        <v>49.949999999999818</v>
      </c>
      <c r="I1232" s="20">
        <f t="shared" ca="1" si="259"/>
        <v>0</v>
      </c>
      <c r="J1232" s="8">
        <f t="shared" ca="1" si="260"/>
        <v>3</v>
      </c>
      <c r="K1232" s="8">
        <f t="shared" ca="1" si="261"/>
        <v>254.69999999999891</v>
      </c>
      <c r="L1232" s="8">
        <f t="shared" ca="1" si="262"/>
        <v>18321.810000000012</v>
      </c>
      <c r="M1232" s="9">
        <f ca="1">AVERAGE(E1232:OFFSET(E1232,-M$5+1,0))</f>
        <v>7859.3410000000003</v>
      </c>
      <c r="N1232" s="9">
        <f ca="1">AVERAGE(E1232:OFFSET(E1232,-N$5+1,0))</f>
        <v>7794.4859999999999</v>
      </c>
      <c r="O1232" s="9">
        <f t="shared" ca="1" si="263"/>
        <v>0</v>
      </c>
      <c r="P1232" s="14">
        <f t="shared" si="268"/>
        <v>1.0592684983320562</v>
      </c>
      <c r="Q1232" s="15">
        <f ca="1">STDEV(P1232:OFFSET(P1232,-$Q$5+1,0))</f>
        <v>0.549233340805375</v>
      </c>
      <c r="R1232" s="15">
        <f ca="1">STDEV(P1232:OFFSET(P1232,-$R$5+1,0))</f>
        <v>0.93695511122398956</v>
      </c>
      <c r="S1232" s="18">
        <f t="shared" si="255"/>
        <v>72.079999999999927</v>
      </c>
      <c r="T1232" s="18">
        <f t="shared" si="256"/>
        <v>107.02999999999975</v>
      </c>
      <c r="U1232" s="18">
        <f t="shared" si="264"/>
        <v>82.918717857551357</v>
      </c>
      <c r="V1232" s="33">
        <f ca="1">AVERAGE(E1232:OFFSET(E1232,-V$5+1,0))</f>
        <v>7834.4957142857138</v>
      </c>
      <c r="W1232" s="33">
        <f t="shared" ca="1" si="257"/>
        <v>7958.8737910720411</v>
      </c>
      <c r="X1232" s="33">
        <f t="shared" ca="1" si="258"/>
        <v>7710.1176374993865</v>
      </c>
      <c r="Y1232" s="32">
        <f t="shared" ca="1" si="265"/>
        <v>0</v>
      </c>
    </row>
    <row r="1233" spans="1:25">
      <c r="A1233" s="5">
        <v>40176</v>
      </c>
      <c r="B1233" s="4">
        <v>8088.01</v>
      </c>
      <c r="C1233" s="4">
        <v>8088.01</v>
      </c>
      <c r="D1233" s="4">
        <v>8031.49</v>
      </c>
      <c r="E1233" s="4">
        <v>8053.83</v>
      </c>
      <c r="F1233" s="4">
        <v>4764000</v>
      </c>
      <c r="G1233" s="8">
        <f t="shared" si="267"/>
        <v>30.520000000000437</v>
      </c>
      <c r="H1233" s="8">
        <f t="shared" si="266"/>
        <v>-34.180000000000291</v>
      </c>
      <c r="I1233" s="20">
        <f t="shared" ca="1" si="259"/>
        <v>0</v>
      </c>
      <c r="J1233" s="8">
        <f t="shared" ca="1" si="260"/>
        <v>3</v>
      </c>
      <c r="K1233" s="8">
        <f t="shared" ca="1" si="261"/>
        <v>-10.979999999999563</v>
      </c>
      <c r="L1233" s="8">
        <f t="shared" ca="1" si="262"/>
        <v>18310.830000000013</v>
      </c>
      <c r="M1233" s="9">
        <f ca="1">AVERAGE(E1233:OFFSET(E1233,-M$5+1,0))</f>
        <v>7883.9620000000014</v>
      </c>
      <c r="N1233" s="9">
        <f ca="1">AVERAGE(E1233:OFFSET(E1233,-N$5+1,0))</f>
        <v>7814.7159999999985</v>
      </c>
      <c r="O1233" s="9">
        <f t="shared" ca="1" si="263"/>
        <v>0</v>
      </c>
      <c r="P1233" s="14">
        <f t="shared" si="268"/>
        <v>-4.5433894466237482E-2</v>
      </c>
      <c r="Q1233" s="15">
        <f ca="1">STDEV(P1233:OFFSET(P1233,-$Q$5+1,0))</f>
        <v>0.54088977649693215</v>
      </c>
      <c r="R1233" s="15">
        <f ca="1">STDEV(P1233:OFFSET(P1233,-$R$5+1,0))</f>
        <v>0.93581327277402626</v>
      </c>
      <c r="S1233" s="18">
        <f t="shared" si="255"/>
        <v>56.520000000000437</v>
      </c>
      <c r="T1233" s="18">
        <f t="shared" si="256"/>
        <v>56.520000000000437</v>
      </c>
      <c r="U1233" s="18">
        <f t="shared" si="264"/>
        <v>79.398888809877903</v>
      </c>
      <c r="V1233" s="33">
        <f ca="1">AVERAGE(E1233:OFFSET(E1233,-V$5+1,0))</f>
        <v>7852.8107142857134</v>
      </c>
      <c r="W1233" s="33">
        <f t="shared" ca="1" si="257"/>
        <v>7971.9090475005305</v>
      </c>
      <c r="X1233" s="33">
        <f t="shared" ca="1" si="258"/>
        <v>7733.7123810708963</v>
      </c>
      <c r="Y1233" s="32">
        <f t="shared" ca="1" si="265"/>
        <v>0</v>
      </c>
    </row>
    <row r="1234" spans="1:25">
      <c r="A1234" s="5">
        <v>40177</v>
      </c>
      <c r="B1234" s="4">
        <v>8078.91</v>
      </c>
      <c r="C1234" s="4">
        <v>8118.63</v>
      </c>
      <c r="D1234" s="4">
        <v>8060.33</v>
      </c>
      <c r="E1234" s="4">
        <v>8112.28</v>
      </c>
      <c r="F1234" s="4">
        <v>5184200</v>
      </c>
      <c r="G1234" s="8">
        <f t="shared" si="267"/>
        <v>25.079999999999927</v>
      </c>
      <c r="H1234" s="8">
        <f t="shared" si="266"/>
        <v>33.369999999999891</v>
      </c>
      <c r="I1234" s="20">
        <f t="shared" ca="1" si="259"/>
        <v>0</v>
      </c>
      <c r="J1234" s="8">
        <f t="shared" ca="1" si="260"/>
        <v>3</v>
      </c>
      <c r="K1234" s="8">
        <f t="shared" ca="1" si="261"/>
        <v>175.34999999999945</v>
      </c>
      <c r="L1234" s="8">
        <f t="shared" ca="1" si="262"/>
        <v>18486.180000000011</v>
      </c>
      <c r="M1234" s="9">
        <f ca="1">AVERAGE(E1234:OFFSET(E1234,-M$5+1,0))</f>
        <v>7920.0299999999988</v>
      </c>
      <c r="N1234" s="9">
        <f ca="1">AVERAGE(E1234:OFFSET(E1234,-N$5+1,0))</f>
        <v>7836.4489999999987</v>
      </c>
      <c r="O1234" s="9">
        <f t="shared" ca="1" si="263"/>
        <v>0</v>
      </c>
      <c r="P1234" s="14">
        <f t="shared" si="268"/>
        <v>0.72312083361395052</v>
      </c>
      <c r="Q1234" s="15">
        <f ca="1">STDEV(P1234:OFFSET(P1234,-$Q$5+1,0))</f>
        <v>0.41271172956296626</v>
      </c>
      <c r="R1234" s="15">
        <f ca="1">STDEV(P1234:OFFSET(P1234,-$R$5+1,0))</f>
        <v>0.89764113917916288</v>
      </c>
      <c r="S1234" s="18">
        <f t="shared" si="255"/>
        <v>58.300000000000182</v>
      </c>
      <c r="T1234" s="18">
        <f t="shared" si="256"/>
        <v>64.800000000000182</v>
      </c>
      <c r="U1234" s="18">
        <f t="shared" si="264"/>
        <v>77.45237030189422</v>
      </c>
      <c r="V1234" s="33">
        <f ca="1">AVERAGE(E1234:OFFSET(E1234,-V$5+1,0))</f>
        <v>7883.8371428571418</v>
      </c>
      <c r="W1234" s="33">
        <f t="shared" ca="1" si="257"/>
        <v>8000.0156983099832</v>
      </c>
      <c r="X1234" s="33">
        <f t="shared" ca="1" si="258"/>
        <v>7767.6585874043003</v>
      </c>
      <c r="Y1234" s="32">
        <f t="shared" ca="1" si="265"/>
        <v>0</v>
      </c>
    </row>
    <row r="1235" spans="1:25">
      <c r="A1235" s="5">
        <v>40178</v>
      </c>
      <c r="B1235" s="4">
        <v>8155.17</v>
      </c>
      <c r="C1235" s="4">
        <v>8188.8</v>
      </c>
      <c r="D1235" s="4">
        <v>8138.58</v>
      </c>
      <c r="E1235" s="4">
        <v>8188.11</v>
      </c>
      <c r="F1235" s="4">
        <v>5857800</v>
      </c>
      <c r="G1235" s="8">
        <f t="shared" si="267"/>
        <v>42.890000000000327</v>
      </c>
      <c r="H1235" s="8">
        <f t="shared" si="266"/>
        <v>32.9399999999996</v>
      </c>
      <c r="I1235" s="20">
        <f t="shared" ca="1" si="259"/>
        <v>0</v>
      </c>
      <c r="J1235" s="8">
        <f t="shared" ca="1" si="260"/>
        <v>3</v>
      </c>
      <c r="K1235" s="8">
        <f t="shared" ca="1" si="261"/>
        <v>227.48999999999978</v>
      </c>
      <c r="L1235" s="8">
        <f t="shared" ca="1" si="262"/>
        <v>18713.670000000013</v>
      </c>
      <c r="M1235" s="9">
        <f ca="1">AVERAGE(E1235:OFFSET(E1235,-M$5+1,0))</f>
        <v>7964.6240000000007</v>
      </c>
      <c r="N1235" s="9">
        <f ca="1">AVERAGE(E1235:OFFSET(E1235,-N$5+1,0))</f>
        <v>7861.6209999999974</v>
      </c>
      <c r="O1235" s="9">
        <f t="shared" ca="1" si="263"/>
        <v>0</v>
      </c>
      <c r="P1235" s="14">
        <f t="shared" si="268"/>
        <v>0.9304138984469138</v>
      </c>
      <c r="Q1235" s="15">
        <f ca="1">STDEV(P1235:OFFSET(P1235,-$Q$5+1,0))</f>
        <v>0.38240631474519288</v>
      </c>
      <c r="R1235" s="15">
        <f ca="1">STDEV(P1235:OFFSET(P1235,-$R$5+1,0))</f>
        <v>0.89329562864115453</v>
      </c>
      <c r="S1235" s="18">
        <f t="shared" si="255"/>
        <v>50.220000000000255</v>
      </c>
      <c r="T1235" s="18">
        <f t="shared" si="256"/>
        <v>76.520000000000437</v>
      </c>
      <c r="U1235" s="18">
        <f t="shared" si="264"/>
        <v>77.328054261641725</v>
      </c>
      <c r="V1235" s="33">
        <f ca="1">AVERAGE(E1235:OFFSET(E1235,-V$5+1,0))</f>
        <v>7911.9114285714286</v>
      </c>
      <c r="W1235" s="33">
        <f t="shared" ca="1" si="257"/>
        <v>8027.9035099638913</v>
      </c>
      <c r="X1235" s="33">
        <f t="shared" ca="1" si="258"/>
        <v>7795.9193471789658</v>
      </c>
      <c r="Y1235" s="32">
        <f t="shared" ca="1" si="265"/>
        <v>0</v>
      </c>
    </row>
    <row r="1236" spans="1:25">
      <c r="A1236" s="5">
        <v>40182</v>
      </c>
      <c r="B1236" s="4">
        <v>8222.42</v>
      </c>
      <c r="C1236" s="4">
        <v>8240.4500000000007</v>
      </c>
      <c r="D1236" s="4">
        <v>8143.45</v>
      </c>
      <c r="E1236" s="4">
        <v>8207.85</v>
      </c>
      <c r="F1236" s="4">
        <v>6429400</v>
      </c>
      <c r="G1236" s="8">
        <f t="shared" si="267"/>
        <v>34.3100000000004</v>
      </c>
      <c r="H1236" s="8">
        <f t="shared" si="266"/>
        <v>-14.569999999999709</v>
      </c>
      <c r="I1236" s="20">
        <f t="shared" ca="1" si="259"/>
        <v>0</v>
      </c>
      <c r="J1236" s="8">
        <f t="shared" ca="1" si="260"/>
        <v>3</v>
      </c>
      <c r="K1236" s="8">
        <f t="shared" ca="1" si="261"/>
        <v>59.220000000002074</v>
      </c>
      <c r="L1236" s="8">
        <f t="shared" ca="1" si="262"/>
        <v>18772.890000000014</v>
      </c>
      <c r="M1236" s="9">
        <f ca="1">AVERAGE(E1236:OFFSET(E1236,-M$5+1,0))</f>
        <v>8010.0460000000003</v>
      </c>
      <c r="N1236" s="9">
        <f ca="1">AVERAGE(E1236:OFFSET(E1236,-N$5+1,0))</f>
        <v>7889.4679999999989</v>
      </c>
      <c r="O1236" s="9">
        <f t="shared" ca="1" si="263"/>
        <v>0</v>
      </c>
      <c r="P1236" s="14">
        <f t="shared" si="268"/>
        <v>0.24079114047327121</v>
      </c>
      <c r="Q1236" s="15">
        <f ca="1">STDEV(P1236:OFFSET(P1236,-$Q$5+1,0))</f>
        <v>0.37227881126890894</v>
      </c>
      <c r="R1236" s="15">
        <f ca="1">STDEV(P1236:OFFSET(P1236,-$R$5+1,0))</f>
        <v>0.89132570974280834</v>
      </c>
      <c r="S1236" s="18">
        <f t="shared" si="255"/>
        <v>97.000000000000909</v>
      </c>
      <c r="T1236" s="18">
        <f t="shared" si="256"/>
        <v>97.000000000000909</v>
      </c>
      <c r="U1236" s="18">
        <f t="shared" si="264"/>
        <v>79.950980360089616</v>
      </c>
      <c r="V1236" s="33">
        <f ca="1">AVERAGE(E1236:OFFSET(E1236,-V$5+1,0))</f>
        <v>7939.6771428571437</v>
      </c>
      <c r="W1236" s="33">
        <f t="shared" ca="1" si="257"/>
        <v>8059.6036133972784</v>
      </c>
      <c r="X1236" s="33">
        <f t="shared" ca="1" si="258"/>
        <v>7819.750672317009</v>
      </c>
      <c r="Y1236" s="32">
        <f t="shared" ca="1" si="265"/>
        <v>0</v>
      </c>
    </row>
    <row r="1237" spans="1:25">
      <c r="A1237" s="5">
        <v>40183</v>
      </c>
      <c r="B1237" s="4">
        <v>8277.7099999999991</v>
      </c>
      <c r="C1237" s="4">
        <v>8283.64</v>
      </c>
      <c r="D1237" s="4">
        <v>8162.54</v>
      </c>
      <c r="E1237" s="4">
        <v>8211.4</v>
      </c>
      <c r="F1237" s="4">
        <v>6762000</v>
      </c>
      <c r="G1237" s="8">
        <f t="shared" si="267"/>
        <v>69.859999999998763</v>
      </c>
      <c r="H1237" s="8">
        <f t="shared" si="266"/>
        <v>-66.309999999999491</v>
      </c>
      <c r="I1237" s="20">
        <f t="shared" ca="1" si="259"/>
        <v>0</v>
      </c>
      <c r="J1237" s="8">
        <f t="shared" ca="1" si="260"/>
        <v>3</v>
      </c>
      <c r="K1237" s="8">
        <f t="shared" ca="1" si="261"/>
        <v>10.649999999997817</v>
      </c>
      <c r="L1237" s="8">
        <f t="shared" ca="1" si="262"/>
        <v>18783.540000000012</v>
      </c>
      <c r="M1237" s="9">
        <f ca="1">AVERAGE(E1237:OFFSET(E1237,-M$5+1,0))</f>
        <v>8052.4589999999998</v>
      </c>
      <c r="N1237" s="9">
        <f ca="1">AVERAGE(E1237:OFFSET(E1237,-N$5+1,0))</f>
        <v>7911.2559999999994</v>
      </c>
      <c r="O1237" s="9">
        <f t="shared" ca="1" si="263"/>
        <v>0</v>
      </c>
      <c r="P1237" s="14">
        <f t="shared" si="268"/>
        <v>4.3241927071169584E-2</v>
      </c>
      <c r="Q1237" s="15">
        <f ca="1">STDEV(P1237:OFFSET(P1237,-$Q$5+1,0))</f>
        <v>0.40692287381583686</v>
      </c>
      <c r="R1237" s="15">
        <f ca="1">STDEV(P1237:OFFSET(P1237,-$R$5+1,0))</f>
        <v>0.88355316599226308</v>
      </c>
      <c r="S1237" s="18">
        <f t="shared" si="255"/>
        <v>121.09999999999945</v>
      </c>
      <c r="T1237" s="18">
        <f t="shared" si="256"/>
        <v>121.09999999999945</v>
      </c>
      <c r="U1237" s="18">
        <f t="shared" si="264"/>
        <v>85.437516312077591</v>
      </c>
      <c r="V1237" s="33">
        <f ca="1">AVERAGE(E1237:OFFSET(E1237,-V$5+1,0))</f>
        <v>7968.5185714285717</v>
      </c>
      <c r="W1237" s="33">
        <f t="shared" ca="1" si="257"/>
        <v>8096.6748458966877</v>
      </c>
      <c r="X1237" s="33">
        <f t="shared" ca="1" si="258"/>
        <v>7840.3622969604558</v>
      </c>
      <c r="Y1237" s="32">
        <f t="shared" ca="1" si="265"/>
        <v>0</v>
      </c>
    </row>
    <row r="1238" spans="1:25">
      <c r="A1238" s="5">
        <v>40184</v>
      </c>
      <c r="B1238" s="4">
        <v>8237.1</v>
      </c>
      <c r="C1238" s="4">
        <v>8327.8700000000008</v>
      </c>
      <c r="D1238" s="4">
        <v>8216.92</v>
      </c>
      <c r="E1238" s="4">
        <v>8327.6200000000008</v>
      </c>
      <c r="F1238" s="4">
        <v>6421600</v>
      </c>
      <c r="G1238" s="8">
        <f t="shared" si="267"/>
        <v>25.700000000000728</v>
      </c>
      <c r="H1238" s="8">
        <f t="shared" si="266"/>
        <v>90.520000000000437</v>
      </c>
      <c r="I1238" s="20">
        <f t="shared" ca="1" si="259"/>
        <v>0</v>
      </c>
      <c r="J1238" s="8">
        <f t="shared" ca="1" si="260"/>
        <v>3</v>
      </c>
      <c r="K1238" s="8">
        <f t="shared" ca="1" si="261"/>
        <v>348.66000000000349</v>
      </c>
      <c r="L1238" s="8">
        <f t="shared" ca="1" si="262"/>
        <v>19132.200000000015</v>
      </c>
      <c r="M1238" s="9">
        <f ca="1">AVERAGE(E1238:OFFSET(E1238,-M$5+1,0))</f>
        <v>8099.6209999999992</v>
      </c>
      <c r="N1238" s="9">
        <f ca="1">AVERAGE(E1238:OFFSET(E1238,-N$5+1,0))</f>
        <v>7939.2014999999983</v>
      </c>
      <c r="O1238" s="9">
        <f t="shared" ca="1" si="263"/>
        <v>0</v>
      </c>
      <c r="P1238" s="14">
        <f t="shared" si="268"/>
        <v>1.4054268390597384</v>
      </c>
      <c r="Q1238" s="15">
        <f ca="1">STDEV(P1238:OFFSET(P1238,-$Q$5+1,0))</f>
        <v>0.48384464095367818</v>
      </c>
      <c r="R1238" s="15">
        <f ca="1">STDEV(P1238:OFFSET(P1238,-$R$5+1,0))</f>
        <v>0.89966195000753602</v>
      </c>
      <c r="S1238" s="18">
        <f t="shared" si="255"/>
        <v>110.95000000000073</v>
      </c>
      <c r="T1238" s="18">
        <f t="shared" si="256"/>
        <v>116.47000000000116</v>
      </c>
      <c r="U1238" s="18">
        <f t="shared" si="264"/>
        <v>89.575180803800734</v>
      </c>
      <c r="V1238" s="33">
        <f ca="1">AVERAGE(E1238:OFFSET(E1238,-V$5+1,0))</f>
        <v>8009.6628571428564</v>
      </c>
      <c r="W1238" s="33">
        <f t="shared" ca="1" si="257"/>
        <v>8144.0256283485578</v>
      </c>
      <c r="X1238" s="33">
        <f t="shared" ca="1" si="258"/>
        <v>7875.300085937155</v>
      </c>
      <c r="Y1238" s="32">
        <f t="shared" ca="1" si="265"/>
        <v>0</v>
      </c>
    </row>
    <row r="1239" spans="1:25">
      <c r="A1239" s="5">
        <v>40185</v>
      </c>
      <c r="B1239" s="4">
        <v>8344.56</v>
      </c>
      <c r="C1239" s="4">
        <v>8369.5499999999993</v>
      </c>
      <c r="D1239" s="4">
        <v>8233.59</v>
      </c>
      <c r="E1239" s="4">
        <v>8237.42</v>
      </c>
      <c r="F1239" s="4">
        <v>7133000</v>
      </c>
      <c r="G1239" s="8">
        <f t="shared" si="267"/>
        <v>16.93999999999869</v>
      </c>
      <c r="H1239" s="8">
        <f t="shared" si="266"/>
        <v>-107.13999999999942</v>
      </c>
      <c r="I1239" s="20">
        <f t="shared" ca="1" si="259"/>
        <v>0</v>
      </c>
      <c r="J1239" s="8">
        <f t="shared" ca="1" si="260"/>
        <v>3</v>
      </c>
      <c r="K1239" s="8">
        <f t="shared" ca="1" si="261"/>
        <v>-270.60000000000218</v>
      </c>
      <c r="L1239" s="8">
        <f t="shared" ca="1" si="262"/>
        <v>18861.600000000013</v>
      </c>
      <c r="M1239" s="9">
        <f ca="1">AVERAGE(E1239:OFFSET(E1239,-M$5+1,0))</f>
        <v>8133.2130000000006</v>
      </c>
      <c r="N1239" s="9">
        <f ca="1">AVERAGE(E1239:OFFSET(E1239,-N$5+1,0))</f>
        <v>7961.2015000000001</v>
      </c>
      <c r="O1239" s="9">
        <f t="shared" ca="1" si="263"/>
        <v>0</v>
      </c>
      <c r="P1239" s="14">
        <f t="shared" si="268"/>
        <v>-1.0890512971837778</v>
      </c>
      <c r="Q1239" s="15">
        <f ca="1">STDEV(P1239:OFFSET(P1239,-$Q$5+1,0))</f>
        <v>0.71685575942604451</v>
      </c>
      <c r="R1239" s="15">
        <f ca="1">STDEV(P1239:OFFSET(P1239,-$R$5+1,0))</f>
        <v>0.91489147727444553</v>
      </c>
      <c r="S1239" s="18">
        <f t="shared" si="255"/>
        <v>135.95999999999913</v>
      </c>
      <c r="T1239" s="18">
        <f t="shared" si="256"/>
        <v>135.95999999999913</v>
      </c>
      <c r="U1239" s="18">
        <f t="shared" si="264"/>
        <v>95.759823363293862</v>
      </c>
      <c r="V1239" s="33">
        <f ca="1">AVERAGE(E1239:OFFSET(E1239,-V$5+1,0))</f>
        <v>8045.0378571428573</v>
      </c>
      <c r="W1239" s="33">
        <f t="shared" ca="1" si="257"/>
        <v>8188.6775921877979</v>
      </c>
      <c r="X1239" s="33">
        <f t="shared" ca="1" si="258"/>
        <v>7901.3981220979167</v>
      </c>
      <c r="Y1239" s="32">
        <f t="shared" ca="1" si="265"/>
        <v>0</v>
      </c>
    </row>
    <row r="1240" spans="1:25">
      <c r="A1240" s="5">
        <v>40186</v>
      </c>
      <c r="B1240" s="4">
        <v>8266.8700000000008</v>
      </c>
      <c r="C1240" s="4">
        <v>8290.66</v>
      </c>
      <c r="D1240" s="4">
        <v>8178.93</v>
      </c>
      <c r="E1240" s="4">
        <v>8280.9</v>
      </c>
      <c r="F1240" s="4">
        <v>5764400</v>
      </c>
      <c r="G1240" s="8">
        <f t="shared" si="267"/>
        <v>29.450000000000728</v>
      </c>
      <c r="H1240" s="8">
        <f t="shared" si="266"/>
        <v>14.029999999998836</v>
      </c>
      <c r="I1240" s="20">
        <f t="shared" ca="1" si="259"/>
        <v>0</v>
      </c>
      <c r="J1240" s="8">
        <f t="shared" ca="1" si="260"/>
        <v>3</v>
      </c>
      <c r="K1240" s="8">
        <f t="shared" ca="1" si="261"/>
        <v>130.43999999999869</v>
      </c>
      <c r="L1240" s="8">
        <f t="shared" ca="1" si="262"/>
        <v>18992.040000000012</v>
      </c>
      <c r="M1240" s="9">
        <f ca="1">AVERAGE(E1240:OFFSET(E1240,-M$5+1,0))</f>
        <v>8164.9489999999987</v>
      </c>
      <c r="N1240" s="9">
        <f ca="1">AVERAGE(E1240:OFFSET(E1240,-N$5+1,0))</f>
        <v>7991.3509999999997</v>
      </c>
      <c r="O1240" s="9">
        <f t="shared" ca="1" si="263"/>
        <v>0</v>
      </c>
      <c r="P1240" s="14">
        <f t="shared" si="268"/>
        <v>0.52644700453011983</v>
      </c>
      <c r="Q1240" s="15">
        <f ca="1">STDEV(P1240:OFFSET(P1240,-$Q$5+1,0))</f>
        <v>0.70685132146793717</v>
      </c>
      <c r="R1240" s="15">
        <f ca="1">STDEV(P1240:OFFSET(P1240,-$R$5+1,0))</f>
        <v>0.91621670231571295</v>
      </c>
      <c r="S1240" s="18">
        <f t="shared" si="255"/>
        <v>111.72999999999956</v>
      </c>
      <c r="T1240" s="18">
        <f t="shared" si="256"/>
        <v>111.72999999999956</v>
      </c>
      <c r="U1240" s="18">
        <f t="shared" si="264"/>
        <v>97.889180248187955</v>
      </c>
      <c r="V1240" s="33">
        <f ca="1">AVERAGE(E1240:OFFSET(E1240,-V$5+1,0))</f>
        <v>8082.6999999999989</v>
      </c>
      <c r="W1240" s="33">
        <f t="shared" ca="1" si="257"/>
        <v>8229.5337703722817</v>
      </c>
      <c r="X1240" s="33">
        <f t="shared" ca="1" si="258"/>
        <v>7935.8662296277171</v>
      </c>
      <c r="Y1240" s="32">
        <f t="shared" ca="1" si="265"/>
        <v>0</v>
      </c>
    </row>
    <row r="1241" spans="1:25">
      <c r="A1241" s="5">
        <v>40189</v>
      </c>
      <c r="B1241" s="4">
        <v>8291.52</v>
      </c>
      <c r="C1241" s="4">
        <v>8357.9</v>
      </c>
      <c r="D1241" s="4">
        <v>8281.7199999999993</v>
      </c>
      <c r="E1241" s="4">
        <v>8323.82</v>
      </c>
      <c r="F1241" s="4">
        <v>5857000</v>
      </c>
      <c r="G1241" s="8">
        <f t="shared" si="267"/>
        <v>10.6200000000008</v>
      </c>
      <c r="H1241" s="8">
        <f t="shared" si="266"/>
        <v>32.299999999999272</v>
      </c>
      <c r="I1241" s="20">
        <f t="shared" ca="1" si="259"/>
        <v>0</v>
      </c>
      <c r="J1241" s="8">
        <f t="shared" ca="1" si="260"/>
        <v>3</v>
      </c>
      <c r="K1241" s="8">
        <f t="shared" ca="1" si="261"/>
        <v>128.76000000000022</v>
      </c>
      <c r="L1241" s="8">
        <f t="shared" ca="1" si="262"/>
        <v>19120.80000000001</v>
      </c>
      <c r="M1241" s="9">
        <f ca="1">AVERAGE(E1241:OFFSET(E1241,-M$5+1,0))</f>
        <v>8200.0720000000001</v>
      </c>
      <c r="N1241" s="9">
        <f ca="1">AVERAGE(E1241:OFFSET(E1241,-N$5+1,0))</f>
        <v>8017.7885000000006</v>
      </c>
      <c r="O1241" s="9">
        <f t="shared" ca="1" si="263"/>
        <v>0</v>
      </c>
      <c r="P1241" s="14">
        <f t="shared" si="268"/>
        <v>0.51696259360578101</v>
      </c>
      <c r="Q1241" s="15">
        <f ca="1">STDEV(P1241:OFFSET(P1241,-$Q$5+1,0))</f>
        <v>0.7007581835608222</v>
      </c>
      <c r="R1241" s="15">
        <f ca="1">STDEV(P1241:OFFSET(P1241,-$R$5+1,0))</f>
        <v>0.91663178636229614</v>
      </c>
      <c r="S1241" s="18">
        <f t="shared" si="255"/>
        <v>76.180000000000291</v>
      </c>
      <c r="T1241" s="18">
        <f t="shared" si="256"/>
        <v>77</v>
      </c>
      <c r="U1241" s="18">
        <f t="shared" si="264"/>
        <v>95.103956215096233</v>
      </c>
      <c r="V1241" s="33">
        <f ca="1">AVERAGE(E1241:OFFSET(E1241,-V$5+1,0))</f>
        <v>8121.0249999999987</v>
      </c>
      <c r="W1241" s="33">
        <f t="shared" ca="1" si="257"/>
        <v>8263.6809343226432</v>
      </c>
      <c r="X1241" s="33">
        <f t="shared" ca="1" si="258"/>
        <v>7978.3690656773542</v>
      </c>
      <c r="Y1241" s="32">
        <f t="shared" ca="1" si="265"/>
        <v>0</v>
      </c>
    </row>
    <row r="1242" spans="1:25">
      <c r="A1242" s="5">
        <v>40190</v>
      </c>
      <c r="B1242" s="4">
        <v>8343.73</v>
      </c>
      <c r="C1242" s="4">
        <v>8356.9699999999993</v>
      </c>
      <c r="D1242" s="4">
        <v>8262.58</v>
      </c>
      <c r="E1242" s="4">
        <v>8309.3700000000008</v>
      </c>
      <c r="F1242" s="4">
        <v>5246000</v>
      </c>
      <c r="G1242" s="8">
        <f t="shared" si="267"/>
        <v>19.909999999999854</v>
      </c>
      <c r="H1242" s="8">
        <f t="shared" si="266"/>
        <v>-34.359999999998763</v>
      </c>
      <c r="I1242" s="20">
        <f t="shared" ca="1" si="259"/>
        <v>0</v>
      </c>
      <c r="J1242" s="8">
        <f t="shared" ca="1" si="260"/>
        <v>3</v>
      </c>
      <c r="K1242" s="8">
        <f t="shared" ca="1" si="261"/>
        <v>-43.349999999996726</v>
      </c>
      <c r="L1242" s="8">
        <f t="shared" ca="1" si="262"/>
        <v>19077.450000000012</v>
      </c>
      <c r="M1242" s="9">
        <f ca="1">AVERAGE(E1242:OFFSET(E1242,-M$5+1,0))</f>
        <v>8225.26</v>
      </c>
      <c r="N1242" s="9">
        <f ca="1">AVERAGE(E1242:OFFSET(E1242,-N$5+1,0))</f>
        <v>8042.3005000000003</v>
      </c>
      <c r="O1242" s="9">
        <f t="shared" ca="1" si="263"/>
        <v>0</v>
      </c>
      <c r="P1242" s="14">
        <f t="shared" si="268"/>
        <v>-0.17374903593627658</v>
      </c>
      <c r="Q1242" s="15">
        <f ca="1">STDEV(P1242:OFFSET(P1242,-$Q$5+1,0))</f>
        <v>0.68627966483729719</v>
      </c>
      <c r="R1242" s="15">
        <f ca="1">STDEV(P1242:OFFSET(P1242,-$R$5+1,0))</f>
        <v>0.88813291673409323</v>
      </c>
      <c r="S1242" s="18">
        <f t="shared" si="255"/>
        <v>94.389999999999418</v>
      </c>
      <c r="T1242" s="18">
        <f t="shared" si="256"/>
        <v>94.389999999999418</v>
      </c>
      <c r="U1242" s="18">
        <f t="shared" si="264"/>
        <v>95.008762053083331</v>
      </c>
      <c r="V1242" s="33">
        <f ca="1">AVERAGE(E1242:OFFSET(E1242,-V$5+1,0))</f>
        <v>8153.4085714285693</v>
      </c>
      <c r="W1242" s="33">
        <f t="shared" ca="1" si="257"/>
        <v>8295.9217145081948</v>
      </c>
      <c r="X1242" s="33">
        <f t="shared" ca="1" si="258"/>
        <v>8010.8954283489447</v>
      </c>
      <c r="Y1242" s="32">
        <f t="shared" ca="1" si="265"/>
        <v>0</v>
      </c>
    </row>
    <row r="1243" spans="1:25">
      <c r="A1243" s="5">
        <v>40191</v>
      </c>
      <c r="B1243" s="4">
        <v>8229.25</v>
      </c>
      <c r="C1243" s="4">
        <v>8257.83</v>
      </c>
      <c r="D1243" s="4">
        <v>8194.81</v>
      </c>
      <c r="E1243" s="4">
        <v>8196.56</v>
      </c>
      <c r="F1243" s="4">
        <v>4925600</v>
      </c>
      <c r="G1243" s="8">
        <f t="shared" si="267"/>
        <v>-80.1200000000008</v>
      </c>
      <c r="H1243" s="8">
        <f t="shared" si="266"/>
        <v>-32.690000000000509</v>
      </c>
      <c r="I1243" s="20">
        <f t="shared" ca="1" si="259"/>
        <v>0</v>
      </c>
      <c r="J1243" s="8">
        <f t="shared" ca="1" si="260"/>
        <v>3</v>
      </c>
      <c r="K1243" s="8">
        <f t="shared" ca="1" si="261"/>
        <v>-338.43000000000393</v>
      </c>
      <c r="L1243" s="8">
        <f t="shared" ca="1" si="262"/>
        <v>18739.020000000008</v>
      </c>
      <c r="M1243" s="9">
        <f ca="1">AVERAGE(E1243:OFFSET(E1243,-M$5+1,0))</f>
        <v>8239.5329999999994</v>
      </c>
      <c r="N1243" s="9">
        <f ca="1">AVERAGE(E1243:OFFSET(E1243,-N$5+1,0))</f>
        <v>8061.7475000000004</v>
      </c>
      <c r="O1243" s="9">
        <f t="shared" ca="1" si="263"/>
        <v>0</v>
      </c>
      <c r="P1243" s="14">
        <f t="shared" si="268"/>
        <v>-1.3669239663866266</v>
      </c>
      <c r="Q1243" s="15">
        <f ca="1">STDEV(P1243:OFFSET(P1243,-$Q$5+1,0))</f>
        <v>0.86565039881981554</v>
      </c>
      <c r="R1243" s="15">
        <f ca="1">STDEV(P1243:OFFSET(P1243,-$R$5+1,0))</f>
        <v>0.90904105422666437</v>
      </c>
      <c r="S1243" s="18">
        <f t="shared" si="255"/>
        <v>63.020000000000437</v>
      </c>
      <c r="T1243" s="18">
        <f t="shared" si="256"/>
        <v>114.56000000000131</v>
      </c>
      <c r="U1243" s="18">
        <f t="shared" si="264"/>
        <v>97.615593779339065</v>
      </c>
      <c r="V1243" s="33">
        <f ca="1">AVERAGE(E1243:OFFSET(E1243,-V$5+1,0))</f>
        <v>8174.4842857142858</v>
      </c>
      <c r="W1243" s="33">
        <f t="shared" ca="1" si="257"/>
        <v>8320.9076763832945</v>
      </c>
      <c r="X1243" s="33">
        <f t="shared" ca="1" si="258"/>
        <v>8028.060895045277</v>
      </c>
      <c r="Y1243" s="32">
        <f t="shared" ca="1" si="265"/>
        <v>0</v>
      </c>
    </row>
    <row r="1244" spans="1:25">
      <c r="A1244" s="5">
        <v>40192</v>
      </c>
      <c r="B1244" s="4">
        <v>8245.86</v>
      </c>
      <c r="C1244" s="4">
        <v>8313.94</v>
      </c>
      <c r="D1244" s="4">
        <v>8237.67</v>
      </c>
      <c r="E1244" s="4">
        <v>8289.98</v>
      </c>
      <c r="F1244" s="4">
        <v>4837200</v>
      </c>
      <c r="G1244" s="8">
        <f t="shared" si="267"/>
        <v>49.300000000001091</v>
      </c>
      <c r="H1244" s="8">
        <f t="shared" si="266"/>
        <v>44.119999999998981</v>
      </c>
      <c r="I1244" s="20">
        <f t="shared" ca="1" si="259"/>
        <v>0</v>
      </c>
      <c r="J1244" s="8">
        <f t="shared" ca="1" si="260"/>
        <v>3</v>
      </c>
      <c r="K1244" s="8">
        <f t="shared" ca="1" si="261"/>
        <v>280.26000000000022</v>
      </c>
      <c r="L1244" s="8">
        <f t="shared" ca="1" si="262"/>
        <v>19019.280000000006</v>
      </c>
      <c r="M1244" s="9">
        <f ca="1">AVERAGE(E1244:OFFSET(E1244,-M$5+1,0))</f>
        <v>8257.3029999999999</v>
      </c>
      <c r="N1244" s="9">
        <f ca="1">AVERAGE(E1244:OFFSET(E1244,-N$5+1,0))</f>
        <v>8088.6664999999994</v>
      </c>
      <c r="O1244" s="9">
        <f t="shared" ca="1" si="263"/>
        <v>0</v>
      </c>
      <c r="P1244" s="14">
        <f t="shared" si="268"/>
        <v>1.133300254383151</v>
      </c>
      <c r="Q1244" s="15">
        <f ca="1">STDEV(P1244:OFFSET(P1244,-$Q$5+1,0))</f>
        <v>0.90336935572807575</v>
      </c>
      <c r="R1244" s="15">
        <f ca="1">STDEV(P1244:OFFSET(P1244,-$R$5+1,0))</f>
        <v>0.92138792800571767</v>
      </c>
      <c r="S1244" s="18">
        <f t="shared" si="255"/>
        <v>76.270000000000437</v>
      </c>
      <c r="T1244" s="18">
        <f t="shared" si="256"/>
        <v>117.38000000000102</v>
      </c>
      <c r="U1244" s="18">
        <f t="shared" si="264"/>
        <v>100.250847942094</v>
      </c>
      <c r="V1244" s="33">
        <f ca="1">AVERAGE(E1244:OFFSET(E1244,-V$5+1,0))</f>
        <v>8197.8014285714271</v>
      </c>
      <c r="W1244" s="33">
        <f t="shared" ca="1" si="257"/>
        <v>8348.177700484568</v>
      </c>
      <c r="X1244" s="33">
        <f t="shared" ca="1" si="258"/>
        <v>8047.4251566582861</v>
      </c>
      <c r="Y1244" s="32">
        <f t="shared" ca="1" si="265"/>
        <v>0</v>
      </c>
    </row>
    <row r="1245" spans="1:25">
      <c r="A1245" s="5">
        <v>40193</v>
      </c>
      <c r="B1245" s="4">
        <v>8340.6</v>
      </c>
      <c r="C1245" s="4">
        <v>8380.23</v>
      </c>
      <c r="D1245" s="4">
        <v>8325.82</v>
      </c>
      <c r="E1245" s="4">
        <v>8356.89</v>
      </c>
      <c r="F1245" s="4">
        <v>5643400</v>
      </c>
      <c r="G1245" s="8">
        <f t="shared" si="267"/>
        <v>50.6200000000008</v>
      </c>
      <c r="H1245" s="8">
        <f t="shared" si="266"/>
        <v>16.289999999999054</v>
      </c>
      <c r="I1245" s="20">
        <f t="shared" ca="1" si="259"/>
        <v>0</v>
      </c>
      <c r="J1245" s="8">
        <f t="shared" ca="1" si="260"/>
        <v>3</v>
      </c>
      <c r="K1245" s="8">
        <f t="shared" ca="1" si="261"/>
        <v>200.72999999999956</v>
      </c>
      <c r="L1245" s="8">
        <f t="shared" ca="1" si="262"/>
        <v>19220.010000000006</v>
      </c>
      <c r="M1245" s="9">
        <f ca="1">AVERAGE(E1245:OFFSET(E1245,-M$5+1,0))</f>
        <v>8274.1810000000005</v>
      </c>
      <c r="N1245" s="9">
        <f ca="1">AVERAGE(E1245:OFFSET(E1245,-N$5+1,0))</f>
        <v>8119.4024999999992</v>
      </c>
      <c r="O1245" s="9">
        <f t="shared" ca="1" si="263"/>
        <v>0</v>
      </c>
      <c r="P1245" s="14">
        <f t="shared" si="268"/>
        <v>0.80387917154485611</v>
      </c>
      <c r="Q1245" s="15">
        <f ca="1">STDEV(P1245:OFFSET(P1245,-$Q$5+1,0))</f>
        <v>0.89308907876897914</v>
      </c>
      <c r="R1245" s="15">
        <f ca="1">STDEV(P1245:OFFSET(P1245,-$R$5+1,0))</f>
        <v>0.92594997407715829</v>
      </c>
      <c r="S1245" s="18">
        <f t="shared" si="255"/>
        <v>54.409999999999854</v>
      </c>
      <c r="T1245" s="18">
        <f t="shared" si="256"/>
        <v>90.25</v>
      </c>
      <c r="U1245" s="18">
        <f t="shared" si="264"/>
        <v>98.917401549814798</v>
      </c>
      <c r="V1245" s="33">
        <f ca="1">AVERAGE(E1245:OFFSET(E1245,-V$5+1,0))</f>
        <v>8225.2514285714278</v>
      </c>
      <c r="W1245" s="33">
        <f t="shared" ca="1" si="257"/>
        <v>8373.6275308961503</v>
      </c>
      <c r="X1245" s="33">
        <f t="shared" ca="1" si="258"/>
        <v>8076.8753262467053</v>
      </c>
      <c r="Y1245" s="32">
        <f t="shared" ca="1" si="265"/>
        <v>0</v>
      </c>
    </row>
    <row r="1246" spans="1:25">
      <c r="A1246" s="5">
        <v>40196</v>
      </c>
      <c r="B1246" s="4">
        <v>8290.3799999999992</v>
      </c>
      <c r="C1246" s="4">
        <v>8367.65</v>
      </c>
      <c r="D1246" s="4">
        <v>8290.3799999999992</v>
      </c>
      <c r="E1246" s="4">
        <v>8337.82</v>
      </c>
      <c r="F1246" s="4">
        <v>5100400</v>
      </c>
      <c r="G1246" s="8">
        <f t="shared" si="267"/>
        <v>-66.510000000000218</v>
      </c>
      <c r="H1246" s="8">
        <f t="shared" si="266"/>
        <v>47.440000000000509</v>
      </c>
      <c r="I1246" s="20">
        <f t="shared" ca="1" si="259"/>
        <v>0</v>
      </c>
      <c r="J1246" s="8">
        <f t="shared" ca="1" si="260"/>
        <v>3</v>
      </c>
      <c r="K1246" s="8">
        <f t="shared" ca="1" si="261"/>
        <v>-57.209999999999127</v>
      </c>
      <c r="L1246" s="8">
        <f t="shared" ca="1" si="262"/>
        <v>19162.800000000007</v>
      </c>
      <c r="M1246" s="9">
        <f ca="1">AVERAGE(E1246:OFFSET(E1246,-M$5+1,0))</f>
        <v>8287.1779999999999</v>
      </c>
      <c r="N1246" s="9">
        <f ca="1">AVERAGE(E1246:OFFSET(E1246,-N$5+1,0))</f>
        <v>8148.6119999999992</v>
      </c>
      <c r="O1246" s="9">
        <f t="shared" ca="1" si="263"/>
        <v>0</v>
      </c>
      <c r="P1246" s="14">
        <f t="shared" si="268"/>
        <v>-0.22845569996937659</v>
      </c>
      <c r="Q1246" s="15">
        <f ca="1">STDEV(P1246:OFFSET(P1246,-$Q$5+1,0))</f>
        <v>0.90321330535109867</v>
      </c>
      <c r="R1246" s="15">
        <f ca="1">STDEV(P1246:OFFSET(P1246,-$R$5+1,0))</f>
        <v>0.90858779366264786</v>
      </c>
      <c r="S1246" s="18">
        <f t="shared" si="255"/>
        <v>77.270000000000437</v>
      </c>
      <c r="T1246" s="18">
        <f t="shared" si="256"/>
        <v>77.270000000000437</v>
      </c>
      <c r="U1246" s="18">
        <f t="shared" si="264"/>
        <v>96.031081343172886</v>
      </c>
      <c r="V1246" s="33">
        <f ca="1">AVERAGE(E1246:OFFSET(E1246,-V$5+1,0))</f>
        <v>8245.2749999999996</v>
      </c>
      <c r="W1246" s="33">
        <f t="shared" ca="1" si="257"/>
        <v>8389.3216220147588</v>
      </c>
      <c r="X1246" s="33">
        <f t="shared" ca="1" si="258"/>
        <v>8101.2283779852405</v>
      </c>
      <c r="Y1246" s="32">
        <f t="shared" ca="1" si="265"/>
        <v>0</v>
      </c>
    </row>
    <row r="1247" spans="1:25">
      <c r="A1247" s="5">
        <v>40197</v>
      </c>
      <c r="B1247" s="4">
        <v>8387.66</v>
      </c>
      <c r="C1247" s="4">
        <v>8395.39</v>
      </c>
      <c r="D1247" s="4">
        <v>8227.2999999999993</v>
      </c>
      <c r="E1247" s="4">
        <v>8249</v>
      </c>
      <c r="F1247" s="4">
        <v>5582400</v>
      </c>
      <c r="G1247" s="8">
        <f t="shared" si="267"/>
        <v>49.840000000000146</v>
      </c>
      <c r="H1247" s="8">
        <f t="shared" si="266"/>
        <v>-138.65999999999985</v>
      </c>
      <c r="I1247" s="20">
        <f t="shared" ca="1" si="259"/>
        <v>0</v>
      </c>
      <c r="J1247" s="8">
        <f t="shared" ca="1" si="260"/>
        <v>3</v>
      </c>
      <c r="K1247" s="8">
        <f t="shared" ca="1" si="261"/>
        <v>-266.45999999999913</v>
      </c>
      <c r="L1247" s="8">
        <f t="shared" ca="1" si="262"/>
        <v>18896.340000000007</v>
      </c>
      <c r="M1247" s="9">
        <f ca="1">AVERAGE(E1247:OFFSET(E1247,-M$5+1,0))</f>
        <v>8290.9380000000001</v>
      </c>
      <c r="N1247" s="9">
        <f ca="1">AVERAGE(E1247:OFFSET(E1247,-N$5+1,0))</f>
        <v>8171.6984999999986</v>
      </c>
      <c r="O1247" s="9">
        <f t="shared" ca="1" si="263"/>
        <v>0</v>
      </c>
      <c r="P1247" s="14">
        <f t="shared" si="268"/>
        <v>-1.0709810436218163</v>
      </c>
      <c r="Q1247" s="15">
        <f ca="1">STDEV(P1247:OFFSET(P1247,-$Q$5+1,0))</f>
        <v>0.98393969530661418</v>
      </c>
      <c r="R1247" s="15">
        <f ca="1">STDEV(P1247:OFFSET(P1247,-$R$5+1,0))</f>
        <v>0.93051367535891749</v>
      </c>
      <c r="S1247" s="18">
        <f t="shared" si="255"/>
        <v>168.09000000000015</v>
      </c>
      <c r="T1247" s="18">
        <f t="shared" si="256"/>
        <v>168.09000000000015</v>
      </c>
      <c r="U1247" s="18">
        <f t="shared" si="264"/>
        <v>105.63893716408319</v>
      </c>
      <c r="V1247" s="33">
        <f ca="1">AVERAGE(E1247:OFFSET(E1247,-V$5+1,0))</f>
        <v>8259.2157142857141</v>
      </c>
      <c r="W1247" s="33">
        <f t="shared" ca="1" si="257"/>
        <v>8417.6741200318393</v>
      </c>
      <c r="X1247" s="33">
        <f t="shared" ca="1" si="258"/>
        <v>8100.7573085395888</v>
      </c>
      <c r="Y1247" s="32">
        <f t="shared" ca="1" si="265"/>
        <v>0</v>
      </c>
    </row>
    <row r="1248" spans="1:25">
      <c r="A1248" s="5">
        <v>40198</v>
      </c>
      <c r="B1248" s="4">
        <v>8309.19</v>
      </c>
      <c r="C1248" s="4">
        <v>8309.19</v>
      </c>
      <c r="D1248" s="4">
        <v>8191.44</v>
      </c>
      <c r="E1248" s="4">
        <v>8220.93</v>
      </c>
      <c r="F1248" s="4">
        <v>5009800</v>
      </c>
      <c r="G1248" s="8">
        <f t="shared" si="267"/>
        <v>60.190000000000509</v>
      </c>
      <c r="H1248" s="8">
        <f t="shared" si="266"/>
        <v>-88.260000000000218</v>
      </c>
      <c r="I1248" s="20">
        <f t="shared" ca="1" si="259"/>
        <v>0</v>
      </c>
      <c r="J1248" s="8">
        <f t="shared" ca="1" si="260"/>
        <v>3</v>
      </c>
      <c r="K1248" s="8">
        <f t="shared" ca="1" si="261"/>
        <v>-84.209999999999127</v>
      </c>
      <c r="L1248" s="8">
        <f t="shared" ca="1" si="262"/>
        <v>18812.130000000008</v>
      </c>
      <c r="M1248" s="9">
        <f ca="1">AVERAGE(E1248:OFFSET(E1248,-M$5+1,0))</f>
        <v>8280.2690000000002</v>
      </c>
      <c r="N1248" s="9">
        <f ca="1">AVERAGE(E1248:OFFSET(E1248,-N$5+1,0))</f>
        <v>8189.9449999999979</v>
      </c>
      <c r="O1248" s="9">
        <f t="shared" ca="1" si="263"/>
        <v>0</v>
      </c>
      <c r="P1248" s="14">
        <f t="shared" si="268"/>
        <v>-0.34086395240731182</v>
      </c>
      <c r="Q1248" s="15">
        <f ca="1">STDEV(P1248:OFFSET(P1248,-$Q$5+1,0))</f>
        <v>0.86337880641603193</v>
      </c>
      <c r="R1248" s="15">
        <f ca="1">STDEV(P1248:OFFSET(P1248,-$R$5+1,0))</f>
        <v>0.93358284444043593</v>
      </c>
      <c r="S1248" s="18">
        <f t="shared" si="255"/>
        <v>117.75000000000091</v>
      </c>
      <c r="T1248" s="18">
        <f t="shared" si="256"/>
        <v>117.75000000000091</v>
      </c>
      <c r="U1248" s="18">
        <f t="shared" si="264"/>
        <v>107.25374554220555</v>
      </c>
      <c r="V1248" s="33">
        <f ca="1">AVERAGE(E1248:OFFSET(E1248,-V$5+1,0))</f>
        <v>8266.9764285714282</v>
      </c>
      <c r="W1248" s="33">
        <f t="shared" ca="1" si="257"/>
        <v>8427.8570468847356</v>
      </c>
      <c r="X1248" s="33">
        <f t="shared" ca="1" si="258"/>
        <v>8106.0958102581199</v>
      </c>
      <c r="Y1248" s="32">
        <f t="shared" ca="1" si="265"/>
        <v>0</v>
      </c>
    </row>
    <row r="1249" spans="1:25">
      <c r="A1249" s="5">
        <v>40199</v>
      </c>
      <c r="B1249" s="4">
        <v>8189.5</v>
      </c>
      <c r="C1249" s="4">
        <v>8208.2099999999991</v>
      </c>
      <c r="D1249" s="4">
        <v>8107.55</v>
      </c>
      <c r="E1249" s="4">
        <v>8127.87</v>
      </c>
      <c r="F1249" s="4">
        <v>4596800</v>
      </c>
      <c r="G1249" s="8">
        <f t="shared" si="267"/>
        <v>-31.430000000000291</v>
      </c>
      <c r="H1249" s="8">
        <f t="shared" si="266"/>
        <v>-61.630000000000109</v>
      </c>
      <c r="I1249" s="20">
        <f t="shared" ca="1" si="259"/>
        <v>0</v>
      </c>
      <c r="J1249" s="8">
        <f t="shared" ca="1" si="260"/>
        <v>3</v>
      </c>
      <c r="K1249" s="8">
        <f t="shared" ca="1" si="261"/>
        <v>-279.1800000000012</v>
      </c>
      <c r="L1249" s="8">
        <f t="shared" ca="1" si="262"/>
        <v>18532.950000000008</v>
      </c>
      <c r="M1249" s="9">
        <f ca="1">AVERAGE(E1249:OFFSET(E1249,-M$5+1,0))</f>
        <v>8269.3139999999985</v>
      </c>
      <c r="N1249" s="9">
        <f ca="1">AVERAGE(E1249:OFFSET(E1249,-N$5+1,0))</f>
        <v>8201.2634999999991</v>
      </c>
      <c r="O1249" s="9">
        <f t="shared" ca="1" si="263"/>
        <v>0</v>
      </c>
      <c r="P1249" s="14">
        <f t="shared" si="268"/>
        <v>-1.1384444740790522</v>
      </c>
      <c r="Q1249" s="15">
        <f ca="1">STDEV(P1249:OFFSET(P1249,-$Q$5+1,0))</f>
        <v>0.86960066994888352</v>
      </c>
      <c r="R1249" s="15">
        <f ca="1">STDEV(P1249:OFFSET(P1249,-$R$5+1,0))</f>
        <v>0.95352631796360365</v>
      </c>
      <c r="S1249" s="18">
        <f t="shared" si="255"/>
        <v>100.65999999999894</v>
      </c>
      <c r="T1249" s="18">
        <f t="shared" si="256"/>
        <v>113.38000000000011</v>
      </c>
      <c r="U1249" s="18">
        <f t="shared" si="264"/>
        <v>108.07057946991149</v>
      </c>
      <c r="V1249" s="33">
        <f ca="1">AVERAGE(E1249:OFFSET(E1249,-V$5+1,0))</f>
        <v>8262.6735714285714</v>
      </c>
      <c r="W1249" s="33">
        <f t="shared" ca="1" si="257"/>
        <v>8424.7794406334378</v>
      </c>
      <c r="X1249" s="33">
        <f t="shared" ca="1" si="258"/>
        <v>8100.5677022237041</v>
      </c>
      <c r="Y1249" s="32">
        <f t="shared" ca="1" si="265"/>
        <v>0</v>
      </c>
    </row>
    <row r="1250" spans="1:25">
      <c r="A1250" s="5">
        <v>40200</v>
      </c>
      <c r="B1250" s="4">
        <v>7986.43</v>
      </c>
      <c r="C1250" s="4">
        <v>8015.95</v>
      </c>
      <c r="D1250" s="4">
        <v>7912.85</v>
      </c>
      <c r="E1250" s="4">
        <v>7927.31</v>
      </c>
      <c r="F1250" s="4">
        <v>4907200</v>
      </c>
      <c r="G1250" s="8">
        <f t="shared" si="267"/>
        <v>-141.4399999999996</v>
      </c>
      <c r="H1250" s="8">
        <f t="shared" si="266"/>
        <v>-59.119999999999891</v>
      </c>
      <c r="I1250" s="20">
        <f t="shared" ca="1" si="259"/>
        <v>-1</v>
      </c>
      <c r="J1250" s="8">
        <f t="shared" ca="1" si="260"/>
        <v>3</v>
      </c>
      <c r="K1250" s="8">
        <f t="shared" ca="1" si="261"/>
        <v>-601.67999999999847</v>
      </c>
      <c r="L1250" s="8">
        <f t="shared" ca="1" si="262"/>
        <v>17931.270000000011</v>
      </c>
      <c r="M1250" s="9">
        <f ca="1">AVERAGE(E1250:OFFSET(E1250,-M$5+1,0))</f>
        <v>8233.9549999999981</v>
      </c>
      <c r="N1250" s="9">
        <f ca="1">AVERAGE(E1250:OFFSET(E1250,-N$5+1,0))</f>
        <v>8199.4519999999993</v>
      </c>
      <c r="O1250" s="9">
        <f t="shared" ca="1" si="263"/>
        <v>0</v>
      </c>
      <c r="P1250" s="14">
        <f t="shared" si="268"/>
        <v>-2.4985136673358768</v>
      </c>
      <c r="Q1250" s="15">
        <f ca="1">STDEV(P1250:OFFSET(P1250,-$Q$5+1,0))</f>
        <v>1.107863419842124</v>
      </c>
      <c r="R1250" s="15">
        <f ca="1">STDEV(P1250:OFFSET(P1250,-$R$5+1,0))</f>
        <v>1.0384404912342242</v>
      </c>
      <c r="S1250" s="18">
        <f t="shared" si="255"/>
        <v>103.09999999999945</v>
      </c>
      <c r="T1250" s="18">
        <f t="shared" si="256"/>
        <v>215.01999999999953</v>
      </c>
      <c r="U1250" s="18">
        <f t="shared" si="264"/>
        <v>122.33050220725657</v>
      </c>
      <c r="V1250" s="33">
        <f ca="1">AVERAGE(E1250:OFFSET(E1250,-V$5+1,0))</f>
        <v>8242.6349999999984</v>
      </c>
      <c r="W1250" s="33">
        <f t="shared" ca="1" si="257"/>
        <v>8426.1307533108829</v>
      </c>
      <c r="X1250" s="33">
        <f t="shared" ca="1" si="258"/>
        <v>8059.1392466891139</v>
      </c>
      <c r="Y1250" s="32">
        <f t="shared" ca="1" si="265"/>
        <v>-1</v>
      </c>
    </row>
    <row r="1251" spans="1:25">
      <c r="A1251" s="5">
        <v>40203</v>
      </c>
      <c r="B1251" s="4">
        <v>7845.3</v>
      </c>
      <c r="C1251" s="4">
        <v>7938.14</v>
      </c>
      <c r="D1251" s="4">
        <v>7828.34</v>
      </c>
      <c r="E1251" s="4">
        <v>7872.99</v>
      </c>
      <c r="F1251" s="4">
        <v>3663800</v>
      </c>
      <c r="G1251" s="8">
        <f t="shared" si="267"/>
        <v>-82.010000000000218</v>
      </c>
      <c r="H1251" s="8">
        <f t="shared" si="266"/>
        <v>27.6899999999996</v>
      </c>
      <c r="I1251" s="20">
        <f t="shared" ca="1" si="259"/>
        <v>0</v>
      </c>
      <c r="J1251" s="8">
        <f t="shared" ca="1" si="260"/>
        <v>2</v>
      </c>
      <c r="K1251" s="8">
        <f t="shared" ca="1" si="261"/>
        <v>-190.65000000000146</v>
      </c>
      <c r="L1251" s="8">
        <f t="shared" ca="1" si="262"/>
        <v>17740.62000000001</v>
      </c>
      <c r="M1251" s="9">
        <f ca="1">AVERAGE(E1251:OFFSET(E1251,-M$5+1,0))</f>
        <v>8188.8720000000003</v>
      </c>
      <c r="N1251" s="9">
        <f ca="1">AVERAGE(E1251:OFFSET(E1251,-N$5+1,0))</f>
        <v>8194.4719999999979</v>
      </c>
      <c r="O1251" s="9">
        <f t="shared" ca="1" si="263"/>
        <v>-1</v>
      </c>
      <c r="P1251" s="14">
        <f t="shared" si="268"/>
        <v>-0.6875845902699883</v>
      </c>
      <c r="Q1251" s="15">
        <f ca="1">STDEV(P1251:OFFSET(P1251,-$Q$5+1,0))</f>
        <v>1.0570085103830242</v>
      </c>
      <c r="R1251" s="15">
        <f ca="1">STDEV(P1251:OFFSET(P1251,-$R$5+1,0))</f>
        <v>0.89764406834189125</v>
      </c>
      <c r="S1251" s="18">
        <f t="shared" si="255"/>
        <v>109.80000000000018</v>
      </c>
      <c r="T1251" s="18">
        <f t="shared" si="256"/>
        <v>109.80000000000018</v>
      </c>
      <c r="U1251" s="18">
        <f t="shared" si="264"/>
        <v>120.65976857962239</v>
      </c>
      <c r="V1251" s="33">
        <f ca="1">AVERAGE(E1251:OFFSET(E1251,-V$5+1,0))</f>
        <v>8218.4628571428566</v>
      </c>
      <c r="W1251" s="33">
        <f t="shared" ca="1" si="257"/>
        <v>8399.4525100122901</v>
      </c>
      <c r="X1251" s="33">
        <f t="shared" ca="1" si="258"/>
        <v>8037.4732042734231</v>
      </c>
      <c r="Y1251" s="32">
        <f t="shared" ca="1" si="265"/>
        <v>0</v>
      </c>
    </row>
    <row r="1252" spans="1:25">
      <c r="A1252" s="5">
        <v>40204</v>
      </c>
      <c r="B1252" s="4">
        <v>7903.03</v>
      </c>
      <c r="C1252" s="4">
        <v>7922.07</v>
      </c>
      <c r="D1252" s="4">
        <v>7572.58</v>
      </c>
      <c r="E1252" s="4">
        <v>7598.81</v>
      </c>
      <c r="F1252" s="4">
        <v>5680000</v>
      </c>
      <c r="G1252" s="8">
        <f t="shared" si="267"/>
        <v>30.039999999999964</v>
      </c>
      <c r="H1252" s="8">
        <f t="shared" si="266"/>
        <v>-304.21999999999935</v>
      </c>
      <c r="I1252" s="20">
        <f t="shared" ca="1" si="259"/>
        <v>0</v>
      </c>
      <c r="J1252" s="8">
        <f t="shared" ca="1" si="260"/>
        <v>2</v>
      </c>
      <c r="K1252" s="8">
        <f t="shared" ca="1" si="261"/>
        <v>-548.35999999999876</v>
      </c>
      <c r="L1252" s="8">
        <f t="shared" ca="1" si="262"/>
        <v>17192.260000000009</v>
      </c>
      <c r="M1252" s="9">
        <f ca="1">AVERAGE(E1252:OFFSET(E1252,-M$5+1,0))</f>
        <v>8117.8160000000007</v>
      </c>
      <c r="N1252" s="9">
        <f ca="1">AVERAGE(E1252:OFFSET(E1252,-N$5+1,0))</f>
        <v>8171.5379999999986</v>
      </c>
      <c r="O1252" s="9">
        <f t="shared" ca="1" si="263"/>
        <v>0</v>
      </c>
      <c r="P1252" s="14">
        <f t="shared" si="268"/>
        <v>-3.544625795251847</v>
      </c>
      <c r="Q1252" s="15">
        <f ca="1">STDEV(P1252:OFFSET(P1252,-$Q$5+1,0))</f>
        <v>1.4023499978571279</v>
      </c>
      <c r="R1252" s="15">
        <f ca="1">STDEV(P1252:OFFSET(P1252,-$R$5+1,0))</f>
        <v>1.0517277518016792</v>
      </c>
      <c r="S1252" s="18">
        <f t="shared" si="255"/>
        <v>349.48999999999978</v>
      </c>
      <c r="T1252" s="18">
        <f t="shared" si="256"/>
        <v>349.48999999999978</v>
      </c>
      <c r="U1252" s="18">
        <f t="shared" si="264"/>
        <v>151.17046610233939</v>
      </c>
      <c r="V1252" s="33">
        <f ca="1">AVERAGE(E1252:OFFSET(E1252,-V$5+1,0))</f>
        <v>8166.4049999999997</v>
      </c>
      <c r="W1252" s="33">
        <f t="shared" ca="1" si="257"/>
        <v>8393.1606991535082</v>
      </c>
      <c r="X1252" s="33">
        <f t="shared" ca="1" si="258"/>
        <v>7939.6493008464904</v>
      </c>
      <c r="Y1252" s="32">
        <f t="shared" ca="1" si="265"/>
        <v>0</v>
      </c>
    </row>
    <row r="1253" spans="1:25">
      <c r="A1253" s="5">
        <v>40205</v>
      </c>
      <c r="B1253" s="4">
        <v>7639.72</v>
      </c>
      <c r="C1253" s="4">
        <v>7656.95</v>
      </c>
      <c r="D1253" s="4">
        <v>7530.41</v>
      </c>
      <c r="E1253" s="4">
        <v>7560.03</v>
      </c>
      <c r="F1253" s="4">
        <v>3986200</v>
      </c>
      <c r="G1253" s="8">
        <f t="shared" si="267"/>
        <v>40.909999999999854</v>
      </c>
      <c r="H1253" s="8">
        <f t="shared" si="266"/>
        <v>-79.690000000000509</v>
      </c>
      <c r="I1253" s="20">
        <f t="shared" ca="1" si="259"/>
        <v>0</v>
      </c>
      <c r="J1253" s="8">
        <f t="shared" ca="1" si="260"/>
        <v>2</v>
      </c>
      <c r="K1253" s="8">
        <f t="shared" ca="1" si="261"/>
        <v>-77.56000000000131</v>
      </c>
      <c r="L1253" s="8">
        <f t="shared" ca="1" si="262"/>
        <v>17114.700000000008</v>
      </c>
      <c r="M1253" s="9">
        <f ca="1">AVERAGE(E1253:OFFSET(E1253,-M$5+1,0))</f>
        <v>8054.1630000000005</v>
      </c>
      <c r="N1253" s="9">
        <f ca="1">AVERAGE(E1253:OFFSET(E1253,-N$5+1,0))</f>
        <v>8146.8479999999981</v>
      </c>
      <c r="O1253" s="9">
        <f t="shared" ca="1" si="263"/>
        <v>0</v>
      </c>
      <c r="P1253" s="14">
        <f t="shared" si="268"/>
        <v>-0.51164976476175172</v>
      </c>
      <c r="Q1253" s="15">
        <f ca="1">STDEV(P1253:OFFSET(P1253,-$Q$5+1,0))</f>
        <v>1.3963651379858129</v>
      </c>
      <c r="R1253" s="15">
        <f ca="1">STDEV(P1253:OFFSET(P1253,-$R$5+1,0))</f>
        <v>1.0450525047449226</v>
      </c>
      <c r="S1253" s="18">
        <f t="shared" si="255"/>
        <v>126.53999999999996</v>
      </c>
      <c r="T1253" s="18">
        <f t="shared" si="256"/>
        <v>126.53999999999996</v>
      </c>
      <c r="U1253" s="18">
        <f t="shared" si="264"/>
        <v>147.88640395536081</v>
      </c>
      <c r="V1253" s="33">
        <f ca="1">AVERAGE(E1253:OFFSET(E1253,-V$5+1,0))</f>
        <v>8118.0199999999986</v>
      </c>
      <c r="W1253" s="33">
        <f t="shared" ca="1" si="257"/>
        <v>8339.8496059330391</v>
      </c>
      <c r="X1253" s="33">
        <f t="shared" ca="1" si="258"/>
        <v>7896.1903940669572</v>
      </c>
      <c r="Y1253" s="32">
        <f t="shared" ca="1" si="265"/>
        <v>0</v>
      </c>
    </row>
    <row r="1254" spans="1:25">
      <c r="A1254" s="5">
        <v>40206</v>
      </c>
      <c r="B1254" s="4">
        <v>7630.16</v>
      </c>
      <c r="C1254" s="4">
        <v>7756.77</v>
      </c>
      <c r="D1254" s="4">
        <v>7607.56</v>
      </c>
      <c r="E1254" s="4">
        <v>7694.58</v>
      </c>
      <c r="F1254" s="4">
        <v>3931200</v>
      </c>
      <c r="G1254" s="8">
        <f t="shared" si="267"/>
        <v>70.130000000000109</v>
      </c>
      <c r="H1254" s="8">
        <f t="shared" si="266"/>
        <v>64.420000000000073</v>
      </c>
      <c r="I1254" s="20">
        <f t="shared" ca="1" si="259"/>
        <v>0</v>
      </c>
      <c r="J1254" s="8">
        <f t="shared" ca="1" si="260"/>
        <v>2</v>
      </c>
      <c r="K1254" s="8">
        <f t="shared" ca="1" si="261"/>
        <v>269.10000000000036</v>
      </c>
      <c r="L1254" s="8">
        <f t="shared" ca="1" si="262"/>
        <v>17383.80000000001</v>
      </c>
      <c r="M1254" s="9">
        <f ca="1">AVERAGE(E1254:OFFSET(E1254,-M$5+1,0))</f>
        <v>7994.6229999999996</v>
      </c>
      <c r="N1254" s="9">
        <f ca="1">AVERAGE(E1254:OFFSET(E1254,-N$5+1,0))</f>
        <v>8125.9629999999979</v>
      </c>
      <c r="O1254" s="9">
        <f t="shared" ca="1" si="263"/>
        <v>0</v>
      </c>
      <c r="P1254" s="14">
        <f t="shared" si="268"/>
        <v>1.7641026467028631</v>
      </c>
      <c r="Q1254" s="15">
        <f ca="1">STDEV(P1254:OFFSET(P1254,-$Q$5+1,0))</f>
        <v>1.5039315729827427</v>
      </c>
      <c r="R1254" s="15">
        <f ca="1">STDEV(P1254:OFFSET(P1254,-$R$5+1,0))</f>
        <v>1.0813245823245416</v>
      </c>
      <c r="S1254" s="18">
        <f t="shared" si="255"/>
        <v>149.21000000000004</v>
      </c>
      <c r="T1254" s="18">
        <f t="shared" si="256"/>
        <v>196.74000000000069</v>
      </c>
      <c r="U1254" s="18">
        <f t="shared" si="264"/>
        <v>154.40021676131278</v>
      </c>
      <c r="V1254" s="33">
        <f ca="1">AVERAGE(E1254:OFFSET(E1254,-V$5+1,0))</f>
        <v>8076.1399999999994</v>
      </c>
      <c r="W1254" s="33">
        <f t="shared" ca="1" si="257"/>
        <v>8307.7403251419692</v>
      </c>
      <c r="X1254" s="33">
        <f t="shared" ca="1" si="258"/>
        <v>7844.5396748580306</v>
      </c>
      <c r="Y1254" s="32">
        <f t="shared" ca="1" si="265"/>
        <v>0</v>
      </c>
    </row>
    <row r="1255" spans="1:25">
      <c r="A1255" s="5">
        <v>40207</v>
      </c>
      <c r="B1255" s="4">
        <v>7593.38</v>
      </c>
      <c r="C1255" s="4">
        <v>7649.73</v>
      </c>
      <c r="D1255" s="4">
        <v>7481.9</v>
      </c>
      <c r="E1255" s="4">
        <v>7640.44</v>
      </c>
      <c r="F1255" s="4">
        <v>3949400</v>
      </c>
      <c r="G1255" s="8">
        <f t="shared" si="267"/>
        <v>-101.19999999999982</v>
      </c>
      <c r="H1255" s="8">
        <f t="shared" si="266"/>
        <v>47.059999999999491</v>
      </c>
      <c r="I1255" s="20">
        <f t="shared" ca="1" si="259"/>
        <v>0</v>
      </c>
      <c r="J1255" s="8">
        <f t="shared" ca="1" si="260"/>
        <v>2</v>
      </c>
      <c r="K1255" s="8">
        <f t="shared" ca="1" si="261"/>
        <v>-108.28000000000065</v>
      </c>
      <c r="L1255" s="8">
        <f t="shared" ca="1" si="262"/>
        <v>17275.520000000011</v>
      </c>
      <c r="M1255" s="9">
        <f ca="1">AVERAGE(E1255:OFFSET(E1255,-M$5+1,0))</f>
        <v>7922.9780000000001</v>
      </c>
      <c r="N1255" s="9">
        <f ca="1">AVERAGE(E1255:OFFSET(E1255,-N$5+1,0))</f>
        <v>8098.579499999998</v>
      </c>
      <c r="O1255" s="9">
        <f t="shared" ca="1" si="263"/>
        <v>0</v>
      </c>
      <c r="P1255" s="14">
        <f t="shared" si="268"/>
        <v>-0.70609917614331197</v>
      </c>
      <c r="Q1255" s="15">
        <f ca="1">STDEV(P1255:OFFSET(P1255,-$Q$5+1,0))</f>
        <v>1.4035600489605533</v>
      </c>
      <c r="R1255" s="15">
        <f ca="1">STDEV(P1255:OFFSET(P1255,-$R$5+1,0))</f>
        <v>1.0870365583478916</v>
      </c>
      <c r="S1255" s="18">
        <f t="shared" si="255"/>
        <v>167.82999999999993</v>
      </c>
      <c r="T1255" s="18">
        <f t="shared" si="256"/>
        <v>212.68000000000029</v>
      </c>
      <c r="U1255" s="18">
        <f t="shared" si="264"/>
        <v>162.17085452647112</v>
      </c>
      <c r="V1255" s="33">
        <f ca="1">AVERAGE(E1255:OFFSET(E1255,-V$5+1,0))</f>
        <v>8027.3271428571434</v>
      </c>
      <c r="W1255" s="33">
        <f t="shared" ca="1" si="257"/>
        <v>8270.5834246468494</v>
      </c>
      <c r="X1255" s="33">
        <f t="shared" ca="1" si="258"/>
        <v>7784.0708610674365</v>
      </c>
      <c r="Y1255" s="32">
        <f t="shared" ca="1" si="265"/>
        <v>0</v>
      </c>
    </row>
    <row r="1256" spans="1:25">
      <c r="A1256" s="5">
        <v>40210</v>
      </c>
      <c r="B1256" s="4">
        <v>7653.89</v>
      </c>
      <c r="C1256" s="4">
        <v>7661.7</v>
      </c>
      <c r="D1256" s="4">
        <v>7493.81</v>
      </c>
      <c r="E1256" s="4">
        <v>7524.67</v>
      </c>
      <c r="F1256" s="4">
        <v>3222400</v>
      </c>
      <c r="G1256" s="8">
        <f t="shared" si="267"/>
        <v>13.450000000000728</v>
      </c>
      <c r="H1256" s="8">
        <f t="shared" si="266"/>
        <v>-129.22000000000025</v>
      </c>
      <c r="I1256" s="20">
        <f t="shared" ca="1" si="259"/>
        <v>0</v>
      </c>
      <c r="J1256" s="8">
        <f t="shared" ca="1" si="260"/>
        <v>2</v>
      </c>
      <c r="K1256" s="8">
        <f t="shared" ca="1" si="261"/>
        <v>-231.53999999999905</v>
      </c>
      <c r="L1256" s="8">
        <f t="shared" ca="1" si="262"/>
        <v>17043.98000000001</v>
      </c>
      <c r="M1256" s="9">
        <f ca="1">AVERAGE(E1256:OFFSET(E1256,-M$5+1,0))</f>
        <v>7841.6629999999986</v>
      </c>
      <c r="N1256" s="9">
        <f ca="1">AVERAGE(E1256:OFFSET(E1256,-N$5+1,0))</f>
        <v>8064.4205000000002</v>
      </c>
      <c r="O1256" s="9">
        <f t="shared" ca="1" si="263"/>
        <v>0</v>
      </c>
      <c r="P1256" s="14">
        <f t="shared" si="268"/>
        <v>-1.5268237290397288</v>
      </c>
      <c r="Q1256" s="15">
        <f ca="1">STDEV(P1256:OFFSET(P1256,-$Q$5+1,0))</f>
        <v>1.3949418750335607</v>
      </c>
      <c r="R1256" s="15">
        <f ca="1">STDEV(P1256:OFFSET(P1256,-$R$5+1,0))</f>
        <v>1.1112566033330515</v>
      </c>
      <c r="S1256" s="18">
        <f t="shared" si="255"/>
        <v>167.88999999999942</v>
      </c>
      <c r="T1256" s="18">
        <f t="shared" si="256"/>
        <v>167.88999999999942</v>
      </c>
      <c r="U1256" s="18">
        <f t="shared" si="264"/>
        <v>162.9334072562749</v>
      </c>
      <c r="V1256" s="33">
        <f ca="1">AVERAGE(E1256:OFFSET(E1256,-V$5+1,0))</f>
        <v>7971.2771428571432</v>
      </c>
      <c r="W1256" s="33">
        <f t="shared" ca="1" si="257"/>
        <v>8215.6772537415563</v>
      </c>
      <c r="X1256" s="33">
        <f t="shared" ca="1" si="258"/>
        <v>7726.8770319727309</v>
      </c>
      <c r="Y1256" s="32">
        <f t="shared" ca="1" si="265"/>
        <v>0</v>
      </c>
    </row>
    <row r="1257" spans="1:25">
      <c r="A1257" s="5">
        <v>40211</v>
      </c>
      <c r="B1257" s="4">
        <v>7633.74</v>
      </c>
      <c r="C1257" s="4">
        <v>7635.73</v>
      </c>
      <c r="D1257" s="4">
        <v>7398.8</v>
      </c>
      <c r="E1257" s="4">
        <v>7429.61</v>
      </c>
      <c r="F1257" s="4">
        <v>3759800</v>
      </c>
      <c r="G1257" s="8">
        <f t="shared" si="267"/>
        <v>109.06999999999971</v>
      </c>
      <c r="H1257" s="8">
        <f t="shared" si="266"/>
        <v>-204.13000000000011</v>
      </c>
      <c r="I1257" s="20">
        <f t="shared" ca="1" si="259"/>
        <v>0</v>
      </c>
      <c r="J1257" s="8">
        <f t="shared" ca="1" si="260"/>
        <v>2</v>
      </c>
      <c r="K1257" s="8">
        <f t="shared" ca="1" si="261"/>
        <v>-190.1200000000008</v>
      </c>
      <c r="L1257" s="8">
        <f t="shared" ca="1" si="262"/>
        <v>16853.860000000008</v>
      </c>
      <c r="M1257" s="9">
        <f ca="1">AVERAGE(E1257:OFFSET(E1257,-M$5+1,0))</f>
        <v>7759.7240000000002</v>
      </c>
      <c r="N1257" s="9">
        <f ca="1">AVERAGE(E1257:OFFSET(E1257,-N$5+1,0))</f>
        <v>8025.3310000000001</v>
      </c>
      <c r="O1257" s="9">
        <f t="shared" ca="1" si="263"/>
        <v>0</v>
      </c>
      <c r="P1257" s="14">
        <f t="shared" si="268"/>
        <v>-1.2713588406497385</v>
      </c>
      <c r="Q1257" s="15">
        <f ca="1">STDEV(P1257:OFFSET(P1257,-$Q$5+1,0))</f>
        <v>1.3970949462207733</v>
      </c>
      <c r="R1257" s="15">
        <f ca="1">STDEV(P1257:OFFSET(P1257,-$R$5+1,0))</f>
        <v>1.0944284674561995</v>
      </c>
      <c r="S1257" s="18">
        <f t="shared" si="255"/>
        <v>236.92999999999938</v>
      </c>
      <c r="T1257" s="18">
        <f t="shared" si="256"/>
        <v>236.92999999999938</v>
      </c>
      <c r="U1257" s="18">
        <f t="shared" si="264"/>
        <v>172.79961962210484</v>
      </c>
      <c r="V1257" s="33">
        <f ca="1">AVERAGE(E1257:OFFSET(E1257,-V$5+1,0))</f>
        <v>7916.4950000000008</v>
      </c>
      <c r="W1257" s="33">
        <f t="shared" ca="1" si="257"/>
        <v>8175.6944294331579</v>
      </c>
      <c r="X1257" s="33">
        <f t="shared" ca="1" si="258"/>
        <v>7657.2955705668437</v>
      </c>
      <c r="Y1257" s="32">
        <f t="shared" ca="1" si="265"/>
        <v>0</v>
      </c>
    </row>
    <row r="1258" spans="1:25">
      <c r="A1258" s="5">
        <v>40212</v>
      </c>
      <c r="B1258" s="4">
        <v>7523.79</v>
      </c>
      <c r="C1258" s="4">
        <v>7550.82</v>
      </c>
      <c r="D1258" s="4">
        <v>7441.92</v>
      </c>
      <c r="E1258" s="4">
        <v>7547.98</v>
      </c>
      <c r="F1258" s="4">
        <v>3152400</v>
      </c>
      <c r="G1258" s="8">
        <f t="shared" si="267"/>
        <v>94.180000000000291</v>
      </c>
      <c r="H1258" s="8">
        <f t="shared" si="266"/>
        <v>24.1899999999996</v>
      </c>
      <c r="I1258" s="20">
        <f t="shared" ca="1" si="259"/>
        <v>0</v>
      </c>
      <c r="J1258" s="8">
        <f t="shared" ca="1" si="260"/>
        <v>2</v>
      </c>
      <c r="K1258" s="8">
        <f t="shared" ca="1" si="261"/>
        <v>236.73999999999978</v>
      </c>
      <c r="L1258" s="8">
        <f t="shared" ca="1" si="262"/>
        <v>17090.600000000006</v>
      </c>
      <c r="M1258" s="9">
        <f ca="1">AVERAGE(E1258:OFFSET(E1258,-M$5+1,0))</f>
        <v>7692.4289999999992</v>
      </c>
      <c r="N1258" s="9">
        <f ca="1">AVERAGE(E1258:OFFSET(E1258,-N$5+1,0))</f>
        <v>7986.3490000000002</v>
      </c>
      <c r="O1258" s="9">
        <f t="shared" ca="1" si="263"/>
        <v>0</v>
      </c>
      <c r="P1258" s="14">
        <f t="shared" si="268"/>
        <v>1.5806610348024119</v>
      </c>
      <c r="Q1258" s="15">
        <f ca="1">STDEV(P1258:OFFSET(P1258,-$Q$5+1,0))</f>
        <v>1.6193444984106509</v>
      </c>
      <c r="R1258" s="15">
        <f ca="1">STDEV(P1258:OFFSET(P1258,-$R$5+1,0))</f>
        <v>1.1267616016248976</v>
      </c>
      <c r="S1258" s="18">
        <f t="shared" si="255"/>
        <v>108.89999999999964</v>
      </c>
      <c r="T1258" s="18">
        <f t="shared" si="256"/>
        <v>121.21000000000004</v>
      </c>
      <c r="U1258" s="18">
        <f t="shared" si="264"/>
        <v>165.92100367249088</v>
      </c>
      <c r="V1258" s="33">
        <f ca="1">AVERAGE(E1258:OFFSET(E1258,-V$5+1,0))</f>
        <v>7863.4949999999999</v>
      </c>
      <c r="W1258" s="33">
        <f t="shared" ca="1" si="257"/>
        <v>8112.376505508736</v>
      </c>
      <c r="X1258" s="33">
        <f t="shared" ca="1" si="258"/>
        <v>7614.6134944912637</v>
      </c>
      <c r="Y1258" s="32">
        <f t="shared" ca="1" si="265"/>
        <v>0</v>
      </c>
    </row>
    <row r="1259" spans="1:25">
      <c r="A1259" s="5">
        <v>40213</v>
      </c>
      <c r="B1259" s="4">
        <v>7563.19</v>
      </c>
      <c r="C1259" s="4">
        <v>7578.18</v>
      </c>
      <c r="D1259" s="4">
        <v>7504.96</v>
      </c>
      <c r="E1259" s="4">
        <v>7542.04</v>
      </c>
      <c r="F1259" s="4">
        <v>2813800</v>
      </c>
      <c r="G1259" s="8">
        <f t="shared" si="267"/>
        <v>15.210000000000036</v>
      </c>
      <c r="H1259" s="8">
        <f t="shared" si="266"/>
        <v>-21.149999999999636</v>
      </c>
      <c r="I1259" s="20">
        <f t="shared" ca="1" si="259"/>
        <v>0</v>
      </c>
      <c r="J1259" s="8">
        <f t="shared" ca="1" si="260"/>
        <v>2</v>
      </c>
      <c r="K1259" s="8">
        <f t="shared" ca="1" si="261"/>
        <v>-11.8799999999992</v>
      </c>
      <c r="L1259" s="8">
        <f t="shared" ca="1" si="262"/>
        <v>17078.720000000008</v>
      </c>
      <c r="M1259" s="9">
        <f ca="1">AVERAGE(E1259:OFFSET(E1259,-M$5+1,0))</f>
        <v>7633.8459999999995</v>
      </c>
      <c r="N1259" s="9">
        <f ca="1">AVERAGE(E1259:OFFSET(E1259,-N$5+1,0))</f>
        <v>7951.58</v>
      </c>
      <c r="O1259" s="9">
        <f t="shared" ca="1" si="263"/>
        <v>0</v>
      </c>
      <c r="P1259" s="14">
        <f t="shared" si="268"/>
        <v>-7.8727533917147582E-2</v>
      </c>
      <c r="Q1259" s="15">
        <f ca="1">STDEV(P1259:OFFSET(P1259,-$Q$5+1,0))</f>
        <v>1.6332788925531498</v>
      </c>
      <c r="R1259" s="15">
        <f ca="1">STDEV(P1259:OFFSET(P1259,-$R$5+1,0))</f>
        <v>1.1244906013988281</v>
      </c>
      <c r="S1259" s="18">
        <f t="shared" si="255"/>
        <v>73.220000000000255</v>
      </c>
      <c r="T1259" s="18">
        <f t="shared" si="256"/>
        <v>73.220000000000255</v>
      </c>
      <c r="U1259" s="18">
        <f t="shared" si="264"/>
        <v>153.56086984949212</v>
      </c>
      <c r="V1259" s="33">
        <f ca="1">AVERAGE(E1259:OFFSET(E1259,-V$5+1,0))</f>
        <v>7805.2914285714278</v>
      </c>
      <c r="W1259" s="33">
        <f t="shared" ca="1" si="257"/>
        <v>8035.6327333456657</v>
      </c>
      <c r="X1259" s="33">
        <f t="shared" ca="1" si="258"/>
        <v>7574.9501237971899</v>
      </c>
      <c r="Y1259" s="32">
        <f t="shared" ca="1" si="265"/>
        <v>0</v>
      </c>
    </row>
    <row r="1260" spans="1:25">
      <c r="A1260" s="5">
        <v>40214</v>
      </c>
      <c r="B1260" s="4">
        <v>7323.16</v>
      </c>
      <c r="C1260" s="4">
        <v>7352.98</v>
      </c>
      <c r="D1260" s="4">
        <v>7196.39</v>
      </c>
      <c r="E1260" s="4">
        <v>7217.83</v>
      </c>
      <c r="F1260" s="4">
        <v>4614600</v>
      </c>
      <c r="G1260" s="8">
        <f t="shared" si="267"/>
        <v>-218.88000000000011</v>
      </c>
      <c r="H1260" s="8">
        <f t="shared" si="266"/>
        <v>-105.32999999999993</v>
      </c>
      <c r="I1260" s="20">
        <f t="shared" ca="1" si="259"/>
        <v>0</v>
      </c>
      <c r="J1260" s="8">
        <f t="shared" ca="1" si="260"/>
        <v>2</v>
      </c>
      <c r="K1260" s="8">
        <f t="shared" ca="1" si="261"/>
        <v>-648.42000000000007</v>
      </c>
      <c r="L1260" s="8">
        <f t="shared" ca="1" si="262"/>
        <v>16430.30000000001</v>
      </c>
      <c r="M1260" s="9">
        <f ca="1">AVERAGE(E1260:OFFSET(E1260,-M$5+1,0))</f>
        <v>7562.8979999999992</v>
      </c>
      <c r="N1260" s="9">
        <f ca="1">AVERAGE(E1260:OFFSET(E1260,-N$5+1,0))</f>
        <v>7898.4264999999996</v>
      </c>
      <c r="O1260" s="9">
        <f t="shared" ca="1" si="263"/>
        <v>0</v>
      </c>
      <c r="P1260" s="14">
        <f t="shared" si="268"/>
        <v>-4.3938348742385847</v>
      </c>
      <c r="Q1260" s="15">
        <f ca="1">STDEV(P1260:OFFSET(P1260,-$Q$5+1,0))</f>
        <v>1.9401246882118806</v>
      </c>
      <c r="R1260" s="15">
        <f ca="1">STDEV(P1260:OFFSET(P1260,-$R$5+1,0))</f>
        <v>1.2965185765897904</v>
      </c>
      <c r="S1260" s="18">
        <f t="shared" si="255"/>
        <v>156.58999999999924</v>
      </c>
      <c r="T1260" s="18">
        <f t="shared" si="256"/>
        <v>345.64999999999964</v>
      </c>
      <c r="U1260" s="18">
        <f t="shared" si="264"/>
        <v>179.17275386955978</v>
      </c>
      <c r="V1260" s="33">
        <f ca="1">AVERAGE(E1260:OFFSET(E1260,-V$5+1,0))</f>
        <v>7725.2921428571417</v>
      </c>
      <c r="W1260" s="33">
        <f t="shared" ca="1" si="257"/>
        <v>7994.051273661481</v>
      </c>
      <c r="X1260" s="33">
        <f t="shared" ca="1" si="258"/>
        <v>7456.5330120528024</v>
      </c>
      <c r="Y1260" s="32">
        <f t="shared" ca="1" si="265"/>
        <v>0</v>
      </c>
    </row>
    <row r="1261" spans="1:25">
      <c r="A1261" s="5">
        <v>40217</v>
      </c>
      <c r="B1261" s="4">
        <v>7236.63</v>
      </c>
      <c r="C1261" s="4">
        <v>7253.24</v>
      </c>
      <c r="D1261" s="4">
        <v>7173.18</v>
      </c>
      <c r="E1261" s="4">
        <v>7215.88</v>
      </c>
      <c r="F1261" s="4">
        <v>3033600</v>
      </c>
      <c r="G1261" s="8">
        <f t="shared" si="267"/>
        <v>18.800000000000182</v>
      </c>
      <c r="H1261" s="8">
        <f t="shared" si="266"/>
        <v>-20.75</v>
      </c>
      <c r="I1261" s="20">
        <f t="shared" ca="1" si="259"/>
        <v>0</v>
      </c>
      <c r="J1261" s="8">
        <f t="shared" ca="1" si="260"/>
        <v>2</v>
      </c>
      <c r="K1261" s="8">
        <f t="shared" ca="1" si="261"/>
        <v>-3.8999999999996362</v>
      </c>
      <c r="L1261" s="8">
        <f t="shared" ca="1" si="262"/>
        <v>16426.400000000009</v>
      </c>
      <c r="M1261" s="9">
        <f ca="1">AVERAGE(E1261:OFFSET(E1261,-M$5+1,0))</f>
        <v>7497.1869999999999</v>
      </c>
      <c r="N1261" s="9">
        <f ca="1">AVERAGE(E1261:OFFSET(E1261,-N$5+1,0))</f>
        <v>7843.0294999999996</v>
      </c>
      <c r="O1261" s="9">
        <f t="shared" ca="1" si="263"/>
        <v>0</v>
      </c>
      <c r="P1261" s="14">
        <f t="shared" si="268"/>
        <v>-2.7020080240819446E-2</v>
      </c>
      <c r="Q1261" s="15">
        <f ca="1">STDEV(P1261:OFFSET(P1261,-$Q$5+1,0))</f>
        <v>1.9607186875610403</v>
      </c>
      <c r="R1261" s="15">
        <f ca="1">STDEV(P1261:OFFSET(P1261,-$R$5+1,0))</f>
        <v>1.2682422504877859</v>
      </c>
      <c r="S1261" s="18">
        <f t="shared" si="255"/>
        <v>80.059999999999491</v>
      </c>
      <c r="T1261" s="18">
        <f t="shared" si="256"/>
        <v>80.059999999999491</v>
      </c>
      <c r="U1261" s="18">
        <f t="shared" si="264"/>
        <v>165.95772002028511</v>
      </c>
      <c r="V1261" s="33">
        <f ca="1">AVERAGE(E1261:OFFSET(E1261,-V$5+1,0))</f>
        <v>7651.4978571428574</v>
      </c>
      <c r="W1261" s="33">
        <f t="shared" ca="1" si="257"/>
        <v>7900.434437173285</v>
      </c>
      <c r="X1261" s="33">
        <f t="shared" ca="1" si="258"/>
        <v>7402.5612771124297</v>
      </c>
      <c r="Y1261" s="32">
        <f t="shared" ca="1" si="265"/>
        <v>0</v>
      </c>
    </row>
    <row r="1262" spans="1:25">
      <c r="A1262" s="5">
        <v>40218</v>
      </c>
      <c r="B1262" s="4">
        <v>7225.71</v>
      </c>
      <c r="C1262" s="4">
        <v>7381.82</v>
      </c>
      <c r="D1262" s="4">
        <v>7197.13</v>
      </c>
      <c r="E1262" s="4">
        <v>7361.04</v>
      </c>
      <c r="F1262" s="4">
        <v>3730000</v>
      </c>
      <c r="G1262" s="8">
        <f t="shared" si="267"/>
        <v>9.8299999999999272</v>
      </c>
      <c r="H1262" s="8">
        <f t="shared" si="266"/>
        <v>135.32999999999993</v>
      </c>
      <c r="I1262" s="20">
        <f t="shared" ca="1" si="259"/>
        <v>0</v>
      </c>
      <c r="J1262" s="8">
        <f t="shared" ca="1" si="260"/>
        <v>2</v>
      </c>
      <c r="K1262" s="8">
        <f t="shared" ca="1" si="261"/>
        <v>290.31999999999971</v>
      </c>
      <c r="L1262" s="8">
        <f t="shared" ca="1" si="262"/>
        <v>16716.720000000008</v>
      </c>
      <c r="M1262" s="9">
        <f ca="1">AVERAGE(E1262:OFFSET(E1262,-M$5+1,0))</f>
        <v>7473.4099999999989</v>
      </c>
      <c r="N1262" s="9">
        <f ca="1">AVERAGE(E1262:OFFSET(E1262,-N$5+1,0))</f>
        <v>7795.6130000000003</v>
      </c>
      <c r="O1262" s="9">
        <f t="shared" ca="1" si="263"/>
        <v>0</v>
      </c>
      <c r="P1262" s="14">
        <f t="shared" si="268"/>
        <v>1.9917074195796172</v>
      </c>
      <c r="Q1262" s="15">
        <f ca="1">STDEV(P1262:OFFSET(P1262,-$Q$5+1,0))</f>
        <v>1.9028467873915929</v>
      </c>
      <c r="R1262" s="15">
        <f ca="1">STDEV(P1262:OFFSET(P1262,-$R$5+1,0))</f>
        <v>1.3124655490107453</v>
      </c>
      <c r="S1262" s="18">
        <f t="shared" si="255"/>
        <v>184.6899999999996</v>
      </c>
      <c r="T1262" s="18">
        <f t="shared" si="256"/>
        <v>184.6899999999996</v>
      </c>
      <c r="U1262" s="18">
        <f t="shared" si="264"/>
        <v>168.45535735091372</v>
      </c>
      <c r="V1262" s="33">
        <f ca="1">AVERAGE(E1262:OFFSET(E1262,-V$5+1,0))</f>
        <v>7590.0771428571416</v>
      </c>
      <c r="W1262" s="33">
        <f t="shared" ca="1" si="257"/>
        <v>7842.7601788835118</v>
      </c>
      <c r="X1262" s="33">
        <f t="shared" ca="1" si="258"/>
        <v>7337.3941068307713</v>
      </c>
      <c r="Y1262" s="32">
        <f t="shared" ca="1" si="265"/>
        <v>0</v>
      </c>
    </row>
    <row r="1263" spans="1:25">
      <c r="A1263" s="5">
        <v>40219</v>
      </c>
      <c r="B1263" s="4">
        <v>7438.12</v>
      </c>
      <c r="C1263" s="4">
        <v>7496.34</v>
      </c>
      <c r="D1263" s="4">
        <v>7404.97</v>
      </c>
      <c r="E1263" s="4">
        <v>7441.84</v>
      </c>
      <c r="F1263" s="4">
        <v>3984400</v>
      </c>
      <c r="G1263" s="8">
        <f t="shared" si="267"/>
        <v>77.079999999999927</v>
      </c>
      <c r="H1263" s="8">
        <f t="shared" si="266"/>
        <v>3.7200000000002547</v>
      </c>
      <c r="I1263" s="20">
        <f t="shared" ca="1" si="259"/>
        <v>0</v>
      </c>
      <c r="J1263" s="8">
        <f t="shared" ca="1" si="260"/>
        <v>2</v>
      </c>
      <c r="K1263" s="8">
        <f t="shared" ca="1" si="261"/>
        <v>161.60000000000036</v>
      </c>
      <c r="L1263" s="8">
        <f t="shared" ca="1" si="262"/>
        <v>16878.320000000007</v>
      </c>
      <c r="M1263" s="9">
        <f ca="1">AVERAGE(E1263:OFFSET(E1263,-M$5+1,0))</f>
        <v>7461.5909999999985</v>
      </c>
      <c r="N1263" s="9">
        <f ca="1">AVERAGE(E1263:OFFSET(E1263,-N$5+1,0))</f>
        <v>7757.8770000000004</v>
      </c>
      <c r="O1263" s="9">
        <f t="shared" ca="1" si="263"/>
        <v>0</v>
      </c>
      <c r="P1263" s="14">
        <f t="shared" si="268"/>
        <v>1.0916902990336519</v>
      </c>
      <c r="Q1263" s="15">
        <f ca="1">STDEV(P1263:OFFSET(P1263,-$Q$5+1,0))</f>
        <v>1.9516313041582041</v>
      </c>
      <c r="R1263" s="15">
        <f ca="1">STDEV(P1263:OFFSET(P1263,-$R$5+1,0))</f>
        <v>1.3270922646222336</v>
      </c>
      <c r="S1263" s="18">
        <f t="shared" si="255"/>
        <v>91.369999999999891</v>
      </c>
      <c r="T1263" s="18">
        <f t="shared" si="256"/>
        <v>135.30000000000018</v>
      </c>
      <c r="U1263" s="18">
        <f t="shared" si="264"/>
        <v>164.03464303745858</v>
      </c>
      <c r="V1263" s="33">
        <f ca="1">AVERAGE(E1263:OFFSET(E1263,-V$5+1,0))</f>
        <v>7541.0749999999989</v>
      </c>
      <c r="W1263" s="33">
        <f t="shared" ca="1" si="257"/>
        <v>7787.126964556187</v>
      </c>
      <c r="X1263" s="33">
        <f t="shared" ca="1" si="258"/>
        <v>7295.0230354438108</v>
      </c>
      <c r="Y1263" s="32">
        <f t="shared" ca="1" si="265"/>
        <v>0</v>
      </c>
    </row>
    <row r="1264" spans="1:25">
      <c r="A1264" s="5">
        <v>40231</v>
      </c>
      <c r="B1264" s="4">
        <v>7619.87</v>
      </c>
      <c r="C1264" s="4">
        <v>7619.87</v>
      </c>
      <c r="D1264" s="4">
        <v>7553.29</v>
      </c>
      <c r="E1264" s="4">
        <v>7560.04</v>
      </c>
      <c r="F1264" s="4">
        <v>3187400</v>
      </c>
      <c r="G1264" s="8">
        <f t="shared" si="267"/>
        <v>178.02999999999975</v>
      </c>
      <c r="H1264" s="8">
        <f t="shared" si="266"/>
        <v>-59.829999999999927</v>
      </c>
      <c r="I1264" s="20">
        <f t="shared" ca="1" si="259"/>
        <v>0</v>
      </c>
      <c r="J1264" s="8">
        <f t="shared" ca="1" si="260"/>
        <v>2</v>
      </c>
      <c r="K1264" s="8">
        <f t="shared" ca="1" si="261"/>
        <v>236.39999999999964</v>
      </c>
      <c r="L1264" s="8">
        <f t="shared" ca="1" si="262"/>
        <v>17114.720000000008</v>
      </c>
      <c r="M1264" s="9">
        <f ca="1">AVERAGE(E1264:OFFSET(E1264,-M$5+1,0))</f>
        <v>7448.1369999999997</v>
      </c>
      <c r="N1264" s="9">
        <f ca="1">AVERAGE(E1264:OFFSET(E1264,-N$5+1,0))</f>
        <v>7721.38</v>
      </c>
      <c r="O1264" s="9">
        <f t="shared" ca="1" si="263"/>
        <v>0</v>
      </c>
      <c r="P1264" s="14">
        <f t="shared" si="268"/>
        <v>1.5758351086306657</v>
      </c>
      <c r="Q1264" s="15">
        <f ca="1">STDEV(P1264:OFFSET(P1264,-$Q$5+1,0))</f>
        <v>1.9318415411947047</v>
      </c>
      <c r="R1264" s="15">
        <f ca="1">STDEV(P1264:OFFSET(P1264,-$R$5+1,0))</f>
        <v>1.3499244166768525</v>
      </c>
      <c r="S1264" s="18">
        <f t="shared" si="255"/>
        <v>66.579999999999927</v>
      </c>
      <c r="T1264" s="18">
        <f t="shared" si="256"/>
        <v>178.02999999999975</v>
      </c>
      <c r="U1264" s="18">
        <f t="shared" si="264"/>
        <v>165.90069063246409</v>
      </c>
      <c r="V1264" s="33">
        <f ca="1">AVERAGE(E1264:OFFSET(E1264,-V$5+1,0))</f>
        <v>7514.8414285714271</v>
      </c>
      <c r="W1264" s="33">
        <f t="shared" ca="1" si="257"/>
        <v>7763.6924645201234</v>
      </c>
      <c r="X1264" s="33">
        <f t="shared" ca="1" si="258"/>
        <v>7265.9903926227307</v>
      </c>
      <c r="Y1264" s="32">
        <f t="shared" ca="1" si="265"/>
        <v>0</v>
      </c>
    </row>
    <row r="1265" spans="1:25">
      <c r="A1265" s="5">
        <v>40232</v>
      </c>
      <c r="B1265" s="4">
        <v>7575.62</v>
      </c>
      <c r="C1265" s="4">
        <v>7597.44</v>
      </c>
      <c r="D1265" s="4">
        <v>7502.45</v>
      </c>
      <c r="E1265" s="4">
        <v>7597.44</v>
      </c>
      <c r="F1265" s="4">
        <v>2992800</v>
      </c>
      <c r="G1265" s="8">
        <f t="shared" si="267"/>
        <v>15.579999999999927</v>
      </c>
      <c r="H1265" s="8">
        <f t="shared" si="266"/>
        <v>21.819999999999709</v>
      </c>
      <c r="I1265" s="20">
        <f t="shared" ca="1" si="259"/>
        <v>0</v>
      </c>
      <c r="J1265" s="8">
        <f t="shared" ca="1" si="260"/>
        <v>2</v>
      </c>
      <c r="K1265" s="8">
        <f t="shared" ca="1" si="261"/>
        <v>74.799999999999272</v>
      </c>
      <c r="L1265" s="8">
        <f t="shared" ca="1" si="262"/>
        <v>17189.520000000008</v>
      </c>
      <c r="M1265" s="9">
        <f ca="1">AVERAGE(E1265:OFFSET(E1265,-M$5+1,0))</f>
        <v>7443.8369999999995</v>
      </c>
      <c r="N1265" s="9">
        <f ca="1">AVERAGE(E1265:OFFSET(E1265,-N$5+1,0))</f>
        <v>7683.4074999999993</v>
      </c>
      <c r="O1265" s="9">
        <f t="shared" ca="1" si="263"/>
        <v>0</v>
      </c>
      <c r="P1265" s="14">
        <f t="shared" si="268"/>
        <v>0.49348672602421212</v>
      </c>
      <c r="Q1265" s="15">
        <f ca="1">STDEV(P1265:OFFSET(P1265,-$Q$5+1,0))</f>
        <v>1.9325390589462608</v>
      </c>
      <c r="R1265" s="15">
        <f ca="1">STDEV(P1265:OFFSET(P1265,-$R$5+1,0))</f>
        <v>1.3527347676167183</v>
      </c>
      <c r="S1265" s="18">
        <f t="shared" si="255"/>
        <v>94.989999999999782</v>
      </c>
      <c r="T1265" s="18">
        <f t="shared" si="256"/>
        <v>94.989999999999782</v>
      </c>
      <c r="U1265" s="18">
        <f t="shared" si="264"/>
        <v>156.44593188146885</v>
      </c>
      <c r="V1265" s="33">
        <f ca="1">AVERAGE(E1265:OFFSET(E1265,-V$5+1,0))</f>
        <v>7495.1592857142841</v>
      </c>
      <c r="W1265" s="33">
        <f t="shared" ca="1" si="257"/>
        <v>7729.8281835364878</v>
      </c>
      <c r="X1265" s="33">
        <f t="shared" ca="1" si="258"/>
        <v>7260.4903878920804</v>
      </c>
      <c r="Y1265" s="32">
        <f t="shared" ca="1" si="265"/>
        <v>0</v>
      </c>
    </row>
    <row r="1266" spans="1:25">
      <c r="A1266" s="5">
        <v>40233</v>
      </c>
      <c r="B1266" s="4">
        <v>7516.47</v>
      </c>
      <c r="C1266" s="4">
        <v>7585.19</v>
      </c>
      <c r="D1266" s="4">
        <v>7515.38</v>
      </c>
      <c r="E1266" s="4">
        <v>7529.67</v>
      </c>
      <c r="F1266" s="4">
        <v>2858200</v>
      </c>
      <c r="G1266" s="8">
        <f t="shared" si="267"/>
        <v>-80.969999999999345</v>
      </c>
      <c r="H1266" s="8">
        <f t="shared" si="266"/>
        <v>13.199999999999818</v>
      </c>
      <c r="I1266" s="20">
        <f t="shared" ca="1" si="259"/>
        <v>0</v>
      </c>
      <c r="J1266" s="8">
        <f t="shared" ca="1" si="260"/>
        <v>2</v>
      </c>
      <c r="K1266" s="8">
        <f t="shared" ca="1" si="261"/>
        <v>-135.53999999999905</v>
      </c>
      <c r="L1266" s="8">
        <f t="shared" ca="1" si="262"/>
        <v>17053.98000000001</v>
      </c>
      <c r="M1266" s="9">
        <f ca="1">AVERAGE(E1266:OFFSET(E1266,-M$5+1,0))</f>
        <v>7444.3369999999995</v>
      </c>
      <c r="N1266" s="9">
        <f ca="1">AVERAGE(E1266:OFFSET(E1266,-N$5+1,0))</f>
        <v>7643</v>
      </c>
      <c r="O1266" s="9">
        <f t="shared" ca="1" si="263"/>
        <v>0</v>
      </c>
      <c r="P1266" s="14">
        <f t="shared" si="268"/>
        <v>-0.89601322927006077</v>
      </c>
      <c r="Q1266" s="15">
        <f ca="1">STDEV(P1266:OFFSET(P1266,-$Q$5+1,0))</f>
        <v>1.8890157836497481</v>
      </c>
      <c r="R1266" s="15">
        <f ca="1">STDEV(P1266:OFFSET(P1266,-$R$5+1,0))</f>
        <v>1.3589304105721196</v>
      </c>
      <c r="S1266" s="18">
        <f t="shared" si="255"/>
        <v>69.809999999999491</v>
      </c>
      <c r="T1266" s="18">
        <f t="shared" si="256"/>
        <v>82.059999999999491</v>
      </c>
      <c r="U1266" s="18">
        <f t="shared" si="264"/>
        <v>146.52780763060628</v>
      </c>
      <c r="V1266" s="33">
        <f ca="1">AVERAGE(E1266:OFFSET(E1266,-V$5+1,0))</f>
        <v>7490.2207142857133</v>
      </c>
      <c r="W1266" s="33">
        <f t="shared" ca="1" si="257"/>
        <v>7710.0124257316229</v>
      </c>
      <c r="X1266" s="33">
        <f t="shared" ca="1" si="258"/>
        <v>7270.4290028398036</v>
      </c>
      <c r="Y1266" s="32">
        <f t="shared" ca="1" si="265"/>
        <v>0</v>
      </c>
    </row>
    <row r="1267" spans="1:25">
      <c r="A1267" s="5">
        <v>40234</v>
      </c>
      <c r="B1267" s="4">
        <v>7568.42</v>
      </c>
      <c r="C1267" s="4">
        <v>7568.42</v>
      </c>
      <c r="D1267" s="4">
        <v>7400.42</v>
      </c>
      <c r="E1267" s="4">
        <v>7426.96</v>
      </c>
      <c r="F1267" s="4">
        <v>3420800</v>
      </c>
      <c r="G1267" s="8">
        <f t="shared" si="267"/>
        <v>38.75</v>
      </c>
      <c r="H1267" s="8">
        <f t="shared" si="266"/>
        <v>-141.46000000000004</v>
      </c>
      <c r="I1267" s="20">
        <f t="shared" ca="1" si="259"/>
        <v>0</v>
      </c>
      <c r="J1267" s="8">
        <f t="shared" ca="1" si="260"/>
        <v>2</v>
      </c>
      <c r="K1267" s="8">
        <f t="shared" ca="1" si="261"/>
        <v>-205.42000000000007</v>
      </c>
      <c r="L1267" s="8">
        <f t="shared" ca="1" si="262"/>
        <v>16848.560000000012</v>
      </c>
      <c r="M1267" s="9">
        <f ca="1">AVERAGE(E1267:OFFSET(E1267,-M$5+1,0))</f>
        <v>7444.0720000000019</v>
      </c>
      <c r="N1267" s="9">
        <f ca="1">AVERAGE(E1267:OFFSET(E1267,-N$5+1,0))</f>
        <v>7601.8979999999992</v>
      </c>
      <c r="O1267" s="9">
        <f t="shared" ca="1" si="263"/>
        <v>0</v>
      </c>
      <c r="P1267" s="14">
        <f t="shared" si="268"/>
        <v>-1.3734593232299399</v>
      </c>
      <c r="Q1267" s="15">
        <f ca="1">STDEV(P1267:OFFSET(P1267,-$Q$5+1,0))</f>
        <v>1.8969500920001467</v>
      </c>
      <c r="R1267" s="15">
        <f ca="1">STDEV(P1267:OFFSET(P1267,-$R$5+1,0))</f>
        <v>1.3716324827684385</v>
      </c>
      <c r="S1267" s="18">
        <f t="shared" si="255"/>
        <v>168</v>
      </c>
      <c r="T1267" s="18">
        <f t="shared" si="256"/>
        <v>168</v>
      </c>
      <c r="U1267" s="18">
        <f t="shared" si="264"/>
        <v>149.39076661319211</v>
      </c>
      <c r="V1267" s="33">
        <f ca="1">AVERAGE(E1267:OFFSET(E1267,-V$5+1,0))</f>
        <v>7480.7157142857131</v>
      </c>
      <c r="W1267" s="33">
        <f t="shared" ca="1" si="257"/>
        <v>7704.8018642055013</v>
      </c>
      <c r="X1267" s="33">
        <f t="shared" ca="1" si="258"/>
        <v>7256.629564365925</v>
      </c>
      <c r="Y1267" s="32">
        <f t="shared" ca="1" si="265"/>
        <v>0</v>
      </c>
    </row>
    <row r="1268" spans="1:25">
      <c r="A1268" s="5">
        <v>40235</v>
      </c>
      <c r="B1268" s="4">
        <v>7451.17</v>
      </c>
      <c r="C1268" s="4">
        <v>7479.28</v>
      </c>
      <c r="D1268" s="4">
        <v>7383.68</v>
      </c>
      <c r="E1268" s="4">
        <v>7436.1</v>
      </c>
      <c r="F1268" s="4">
        <v>2737400</v>
      </c>
      <c r="G1268" s="8">
        <f t="shared" si="267"/>
        <v>24.210000000000036</v>
      </c>
      <c r="H1268" s="8">
        <f t="shared" si="266"/>
        <v>-15.069999999999709</v>
      </c>
      <c r="I1268" s="20">
        <f t="shared" ca="1" si="259"/>
        <v>0</v>
      </c>
      <c r="J1268" s="8">
        <f t="shared" ca="1" si="260"/>
        <v>2</v>
      </c>
      <c r="K1268" s="8">
        <f t="shared" ca="1" si="261"/>
        <v>18.280000000000655</v>
      </c>
      <c r="L1268" s="8">
        <f t="shared" ca="1" si="262"/>
        <v>16866.840000000011</v>
      </c>
      <c r="M1268" s="9">
        <f ca="1">AVERAGE(E1268:OFFSET(E1268,-M$5+1,0))</f>
        <v>7432.8840000000009</v>
      </c>
      <c r="N1268" s="9">
        <f ca="1">AVERAGE(E1268:OFFSET(E1268,-N$5+1,0))</f>
        <v>7562.6564999999991</v>
      </c>
      <c r="O1268" s="9">
        <f t="shared" ca="1" si="263"/>
        <v>0</v>
      </c>
      <c r="P1268" s="14">
        <f t="shared" si="268"/>
        <v>0.12298949411667814</v>
      </c>
      <c r="Q1268" s="15">
        <f ca="1">STDEV(P1268:OFFSET(P1268,-$Q$5+1,0))</f>
        <v>1.8159641765188916</v>
      </c>
      <c r="R1268" s="15">
        <f ca="1">STDEV(P1268:OFFSET(P1268,-$R$5+1,0))</f>
        <v>1.3627210440141326</v>
      </c>
      <c r="S1268" s="18">
        <f t="shared" si="255"/>
        <v>95.599999999999454</v>
      </c>
      <c r="T1268" s="18">
        <f t="shared" si="256"/>
        <v>95.599999999999454</v>
      </c>
      <c r="U1268" s="18">
        <f t="shared" si="264"/>
        <v>142.21866439809975</v>
      </c>
      <c r="V1268" s="33">
        <f ca="1">AVERAGE(E1268:OFFSET(E1268,-V$5+1,0))</f>
        <v>7462.2528571428575</v>
      </c>
      <c r="W1268" s="33">
        <f t="shared" ca="1" si="257"/>
        <v>7675.5808537400071</v>
      </c>
      <c r="X1268" s="33">
        <f t="shared" ca="1" si="258"/>
        <v>7248.9248605457078</v>
      </c>
      <c r="Y1268" s="32">
        <f t="shared" ca="1" si="265"/>
        <v>0</v>
      </c>
    </row>
    <row r="1269" spans="1:25">
      <c r="A1269" s="5">
        <v>40238</v>
      </c>
      <c r="B1269" s="4">
        <v>7492.84</v>
      </c>
      <c r="C1269" s="4">
        <v>7620.56</v>
      </c>
      <c r="D1269" s="4">
        <v>7451.09</v>
      </c>
      <c r="E1269" s="4">
        <v>7577.75</v>
      </c>
      <c r="F1269" s="4">
        <v>3501600</v>
      </c>
      <c r="G1269" s="8">
        <f t="shared" si="267"/>
        <v>56.739999999999782</v>
      </c>
      <c r="H1269" s="8">
        <f t="shared" si="266"/>
        <v>84.909999999999854</v>
      </c>
      <c r="I1269" s="20">
        <f t="shared" ca="1" si="259"/>
        <v>0</v>
      </c>
      <c r="J1269" s="8">
        <f t="shared" ca="1" si="260"/>
        <v>2</v>
      </c>
      <c r="K1269" s="8">
        <f t="shared" ca="1" si="261"/>
        <v>283.29999999999927</v>
      </c>
      <c r="L1269" s="8">
        <f t="shared" ca="1" si="262"/>
        <v>17150.14000000001</v>
      </c>
      <c r="M1269" s="9">
        <f ca="1">AVERAGE(E1269:OFFSET(E1269,-M$5+1,0))</f>
        <v>7436.4549999999999</v>
      </c>
      <c r="N1269" s="9">
        <f ca="1">AVERAGE(E1269:OFFSET(E1269,-N$5+1,0))</f>
        <v>7535.1504999999988</v>
      </c>
      <c r="O1269" s="9">
        <f t="shared" ca="1" si="263"/>
        <v>0</v>
      </c>
      <c r="P1269" s="14">
        <f t="shared" si="268"/>
        <v>1.8869803958184883</v>
      </c>
      <c r="Q1269" s="15">
        <f ca="1">STDEV(P1269:OFFSET(P1269,-$Q$5+1,0))</f>
        <v>1.9274256189412768</v>
      </c>
      <c r="R1269" s="15">
        <f ca="1">STDEV(P1269:OFFSET(P1269,-$R$5+1,0))</f>
        <v>1.395664597766741</v>
      </c>
      <c r="S1269" s="18">
        <f t="shared" ref="S1269:S1332" si="269">C1269-D1269</f>
        <v>169.47000000000025</v>
      </c>
      <c r="T1269" s="18">
        <f t="shared" ref="T1269:T1332" si="270">MAX(C1269,E1268)-MIN(D1269,E1268)</f>
        <v>184.46000000000004</v>
      </c>
      <c r="U1269" s="18">
        <f t="shared" si="264"/>
        <v>147.85084247835312</v>
      </c>
      <c r="V1269" s="33">
        <f ca="1">AVERAGE(E1269:OFFSET(E1269,-V$5+1,0))</f>
        <v>7457.7750000000005</v>
      </c>
      <c r="W1269" s="33">
        <f t="shared" ref="W1269:W1332" ca="1" si="271">V1269+W$5*U1269</f>
        <v>7679.5512637175307</v>
      </c>
      <c r="X1269" s="33">
        <f t="shared" ref="X1269:X1332" ca="1" si="272">V1269-W$5*U1269</f>
        <v>7235.9987362824704</v>
      </c>
      <c r="Y1269" s="32">
        <f t="shared" ca="1" si="265"/>
        <v>0</v>
      </c>
    </row>
    <row r="1270" spans="1:25">
      <c r="A1270" s="5">
        <v>40239</v>
      </c>
      <c r="B1270" s="4">
        <v>7649.62</v>
      </c>
      <c r="C1270" s="4">
        <v>7664.49</v>
      </c>
      <c r="D1270" s="4">
        <v>7592.66</v>
      </c>
      <c r="E1270" s="4">
        <v>7597.62</v>
      </c>
      <c r="F1270" s="4">
        <v>3158200</v>
      </c>
      <c r="G1270" s="8">
        <f t="shared" si="267"/>
        <v>71.869999999999891</v>
      </c>
      <c r="H1270" s="8">
        <f t="shared" si="266"/>
        <v>-52</v>
      </c>
      <c r="I1270" s="20">
        <f t="shared" ref="I1270:I1333" ca="1" si="273">Y1270</f>
        <v>0</v>
      </c>
      <c r="J1270" s="8">
        <f t="shared" ref="J1270:J1333" ca="1" si="274">IF((J1269+I1269)&gt;=J$5,J$5,IF((J1269+I1269)&lt;=J$7,J$7,J1269+I1269))</f>
        <v>2</v>
      </c>
      <c r="K1270" s="8">
        <f t="shared" ref="K1270:K1333" ca="1" si="275">J1269*G1270+J1270*H1270</f>
        <v>39.739999999999782</v>
      </c>
      <c r="L1270" s="8">
        <f t="shared" ref="L1270:L1333" ca="1" si="276">L1269+K1270</f>
        <v>17189.880000000012</v>
      </c>
      <c r="M1270" s="9">
        <f ca="1">AVERAGE(E1270:OFFSET(E1270,-M$5+1,0))</f>
        <v>7474.4339999999993</v>
      </c>
      <c r="N1270" s="9">
        <f ca="1">AVERAGE(E1270:OFFSET(E1270,-N$5+1,0))</f>
        <v>7518.6659999999993</v>
      </c>
      <c r="O1270" s="9">
        <f t="shared" ref="O1270:O1333" ca="1" si="277">IF(AND(M1269&lt;=N1269,M1270&gt;N1270),1,IF(AND(M1269&gt;=N1269,M1270&lt;N1270),-1,0))</f>
        <v>0</v>
      </c>
      <c r="P1270" s="14">
        <f t="shared" si="268"/>
        <v>0.2618718536046844</v>
      </c>
      <c r="Q1270" s="15">
        <f ca="1">STDEV(P1270:OFFSET(P1270,-$Q$5+1,0))</f>
        <v>1.1348089105971484</v>
      </c>
      <c r="R1270" s="15">
        <f ca="1">STDEV(P1270:OFFSET(P1270,-$R$5+1,0))</f>
        <v>1.3896006970617152</v>
      </c>
      <c r="S1270" s="18">
        <f t="shared" si="269"/>
        <v>71.829999999999927</v>
      </c>
      <c r="T1270" s="18">
        <f t="shared" si="270"/>
        <v>86.739999999999782</v>
      </c>
      <c r="U1270" s="18">
        <f t="shared" ref="U1270:U1333" si="278">$U$5*T1270+(1-$U$5)*U1269</f>
        <v>139.70273014790601</v>
      </c>
      <c r="V1270" s="33">
        <f ca="1">AVERAGE(E1270:OFFSET(E1270,-V$5+1,0))</f>
        <v>7462.9857142857145</v>
      </c>
      <c r="W1270" s="33">
        <f t="shared" ca="1" si="271"/>
        <v>7672.5398095075734</v>
      </c>
      <c r="X1270" s="33">
        <f t="shared" ca="1" si="272"/>
        <v>7253.4316190638556</v>
      </c>
      <c r="Y1270" s="32">
        <f t="shared" ref="Y1270:Y1333" ca="1" si="279">IF(AND(E1269&gt;X1269,E1270&lt;X1270),-1,IF(AND(E1269&lt;W1269,E1270&gt;W1270),1,0))</f>
        <v>0</v>
      </c>
    </row>
    <row r="1271" spans="1:25">
      <c r="A1271" s="5">
        <v>40240</v>
      </c>
      <c r="B1271" s="4">
        <v>7628.78</v>
      </c>
      <c r="C1271" s="4">
        <v>7670.25</v>
      </c>
      <c r="D1271" s="4">
        <v>7604.86</v>
      </c>
      <c r="E1271" s="4">
        <v>7629.52</v>
      </c>
      <c r="F1271" s="4">
        <v>3005000</v>
      </c>
      <c r="G1271" s="8">
        <f t="shared" si="267"/>
        <v>31.159999999999854</v>
      </c>
      <c r="H1271" s="8">
        <f t="shared" si="266"/>
        <v>0.74000000000069122</v>
      </c>
      <c r="I1271" s="20">
        <f t="shared" ca="1" si="273"/>
        <v>0</v>
      </c>
      <c r="J1271" s="8">
        <f t="shared" ca="1" si="274"/>
        <v>2</v>
      </c>
      <c r="K1271" s="8">
        <f t="shared" ca="1" si="275"/>
        <v>63.800000000001091</v>
      </c>
      <c r="L1271" s="8">
        <f t="shared" ca="1" si="276"/>
        <v>17253.680000000015</v>
      </c>
      <c r="M1271" s="9">
        <f ca="1">AVERAGE(E1271:OFFSET(E1271,-M$5+1,0))</f>
        <v>7515.7979999999998</v>
      </c>
      <c r="N1271" s="9">
        <f ca="1">AVERAGE(E1271:OFFSET(E1271,-N$5+1,0))</f>
        <v>7506.4924999999985</v>
      </c>
      <c r="O1271" s="9">
        <f t="shared" ca="1" si="277"/>
        <v>1</v>
      </c>
      <c r="P1271" s="14">
        <f t="shared" si="268"/>
        <v>0.4189893396603428</v>
      </c>
      <c r="Q1271" s="15">
        <f ca="1">STDEV(P1271:OFFSET(P1271,-$Q$5+1,0))</f>
        <v>1.1199016587713866</v>
      </c>
      <c r="R1271" s="15">
        <f ca="1">STDEV(P1271:OFFSET(P1271,-$R$5+1,0))</f>
        <v>1.3917408799610116</v>
      </c>
      <c r="S1271" s="18">
        <f t="shared" si="269"/>
        <v>65.390000000000327</v>
      </c>
      <c r="T1271" s="18">
        <f t="shared" si="270"/>
        <v>72.630000000000109</v>
      </c>
      <c r="U1271" s="18">
        <f t="shared" si="278"/>
        <v>130.75969946151855</v>
      </c>
      <c r="V1271" s="33">
        <f ca="1">AVERAGE(E1271:OFFSET(E1271,-V$5+1,0))</f>
        <v>7477.2650000000012</v>
      </c>
      <c r="W1271" s="33">
        <f t="shared" ca="1" si="271"/>
        <v>7673.4045491922789</v>
      </c>
      <c r="X1271" s="33">
        <f t="shared" ca="1" si="272"/>
        <v>7281.1254508077236</v>
      </c>
      <c r="Y1271" s="32">
        <f t="shared" ca="1" si="279"/>
        <v>0</v>
      </c>
    </row>
    <row r="1272" spans="1:25">
      <c r="A1272" s="5">
        <v>40241</v>
      </c>
      <c r="B1272" s="4">
        <v>7664</v>
      </c>
      <c r="C1272" s="4">
        <v>7664</v>
      </c>
      <c r="D1272" s="4">
        <v>7524.19</v>
      </c>
      <c r="E1272" s="4">
        <v>7569.8</v>
      </c>
      <c r="F1272" s="4">
        <v>3480400</v>
      </c>
      <c r="G1272" s="8">
        <f t="shared" si="267"/>
        <v>34.479999999999563</v>
      </c>
      <c r="H1272" s="8">
        <f t="shared" si="266"/>
        <v>-94.199999999999818</v>
      </c>
      <c r="I1272" s="20">
        <f t="shared" ca="1" si="273"/>
        <v>0</v>
      </c>
      <c r="J1272" s="8">
        <f t="shared" ca="1" si="274"/>
        <v>2</v>
      </c>
      <c r="K1272" s="8">
        <f t="shared" ca="1" si="275"/>
        <v>-119.44000000000051</v>
      </c>
      <c r="L1272" s="8">
        <f t="shared" ca="1" si="276"/>
        <v>17134.240000000013</v>
      </c>
      <c r="M1272" s="9">
        <f ca="1">AVERAGE(E1272:OFFSET(E1272,-M$5+1,0))</f>
        <v>7536.6740000000009</v>
      </c>
      <c r="N1272" s="9">
        <f ca="1">AVERAGE(E1272:OFFSET(E1272,-N$5+1,0))</f>
        <v>7505.0419999999986</v>
      </c>
      <c r="O1272" s="9">
        <f t="shared" ca="1" si="277"/>
        <v>0</v>
      </c>
      <c r="P1272" s="14">
        <f t="shared" si="268"/>
        <v>-0.78582867288983971</v>
      </c>
      <c r="Q1272" s="15">
        <f ca="1">STDEV(P1272:OFFSET(P1272,-$Q$5+1,0))</f>
        <v>1.0678751343669666</v>
      </c>
      <c r="R1272" s="15">
        <f ca="1">STDEV(P1272:OFFSET(P1272,-$R$5+1,0))</f>
        <v>1.3825408939332064</v>
      </c>
      <c r="S1272" s="18">
        <f t="shared" si="269"/>
        <v>139.8100000000004</v>
      </c>
      <c r="T1272" s="18">
        <f t="shared" si="270"/>
        <v>139.8100000000004</v>
      </c>
      <c r="U1272" s="18">
        <f t="shared" si="278"/>
        <v>131.9664061999828</v>
      </c>
      <c r="V1272" s="33">
        <f ca="1">AVERAGE(E1272:OFFSET(E1272,-V$5+1,0))</f>
        <v>7478.823571428572</v>
      </c>
      <c r="W1272" s="33">
        <f t="shared" ca="1" si="271"/>
        <v>7676.7731807285463</v>
      </c>
      <c r="X1272" s="33">
        <f t="shared" ca="1" si="272"/>
        <v>7280.8739621285977</v>
      </c>
      <c r="Y1272" s="32">
        <f t="shared" ca="1" si="279"/>
        <v>0</v>
      </c>
    </row>
    <row r="1273" spans="1:25">
      <c r="A1273" s="5">
        <v>40242</v>
      </c>
      <c r="B1273" s="4">
        <v>7659.76</v>
      </c>
      <c r="C1273" s="4">
        <v>7694.89</v>
      </c>
      <c r="D1273" s="4">
        <v>7618</v>
      </c>
      <c r="E1273" s="4">
        <v>7666.26</v>
      </c>
      <c r="F1273" s="4">
        <v>3218800</v>
      </c>
      <c r="G1273" s="8">
        <f t="shared" si="267"/>
        <v>89.960000000000036</v>
      </c>
      <c r="H1273" s="8">
        <f t="shared" si="266"/>
        <v>6.5</v>
      </c>
      <c r="I1273" s="20">
        <f t="shared" ca="1" si="273"/>
        <v>0</v>
      </c>
      <c r="J1273" s="8">
        <f t="shared" ca="1" si="274"/>
        <v>2</v>
      </c>
      <c r="K1273" s="8">
        <f t="shared" ca="1" si="275"/>
        <v>192.92000000000007</v>
      </c>
      <c r="L1273" s="8">
        <f t="shared" ca="1" si="276"/>
        <v>17327.160000000011</v>
      </c>
      <c r="M1273" s="9">
        <f ca="1">AVERAGE(E1273:OFFSET(E1273,-M$5+1,0))</f>
        <v>7559.116</v>
      </c>
      <c r="N1273" s="9">
        <f ca="1">AVERAGE(E1273:OFFSET(E1273,-N$5+1,0))</f>
        <v>7510.3534999999993</v>
      </c>
      <c r="O1273" s="9">
        <f t="shared" ca="1" si="277"/>
        <v>0</v>
      </c>
      <c r="P1273" s="14">
        <f t="shared" si="268"/>
        <v>1.2662235354843452</v>
      </c>
      <c r="Q1273" s="15">
        <f ca="1">STDEV(P1273:OFFSET(P1273,-$Q$5+1,0))</f>
        <v>1.0839273226052557</v>
      </c>
      <c r="R1273" s="15">
        <f ca="1">STDEV(P1273:OFFSET(P1273,-$R$5+1,0))</f>
        <v>1.4006689781926767</v>
      </c>
      <c r="S1273" s="18">
        <f t="shared" si="269"/>
        <v>76.890000000000327</v>
      </c>
      <c r="T1273" s="18">
        <f t="shared" si="270"/>
        <v>125.09000000000015</v>
      </c>
      <c r="U1273" s="18">
        <f t="shared" si="278"/>
        <v>131.04955203998512</v>
      </c>
      <c r="V1273" s="33">
        <f ca="1">AVERAGE(E1273:OFFSET(E1273,-V$5+1,0))</f>
        <v>7487.6964285714284</v>
      </c>
      <c r="W1273" s="33">
        <f t="shared" ca="1" si="271"/>
        <v>7684.2707566314057</v>
      </c>
      <c r="X1273" s="33">
        <f t="shared" ca="1" si="272"/>
        <v>7291.1221005114512</v>
      </c>
      <c r="Y1273" s="32">
        <f t="shared" ca="1" si="279"/>
        <v>0</v>
      </c>
    </row>
    <row r="1274" spans="1:25">
      <c r="A1274" s="5">
        <v>40245</v>
      </c>
      <c r="B1274" s="4">
        <v>7741.8</v>
      </c>
      <c r="C1274" s="4">
        <v>7763.76</v>
      </c>
      <c r="D1274" s="4">
        <v>7716.28</v>
      </c>
      <c r="E1274" s="4">
        <v>7762.27</v>
      </c>
      <c r="F1274" s="4">
        <v>3455000</v>
      </c>
      <c r="G1274" s="8">
        <f t="shared" si="267"/>
        <v>75.539999999999964</v>
      </c>
      <c r="H1274" s="8">
        <f t="shared" si="266"/>
        <v>20.470000000000255</v>
      </c>
      <c r="I1274" s="20">
        <f t="shared" ca="1" si="273"/>
        <v>1</v>
      </c>
      <c r="J1274" s="8">
        <f t="shared" ca="1" si="274"/>
        <v>2</v>
      </c>
      <c r="K1274" s="8">
        <f t="shared" ca="1" si="275"/>
        <v>192.02000000000044</v>
      </c>
      <c r="L1274" s="8">
        <f t="shared" ca="1" si="276"/>
        <v>17519.180000000011</v>
      </c>
      <c r="M1274" s="9">
        <f ca="1">AVERAGE(E1274:OFFSET(E1274,-M$5+1,0))</f>
        <v>7579.3389999999999</v>
      </c>
      <c r="N1274" s="9">
        <f ca="1">AVERAGE(E1274:OFFSET(E1274,-N$5+1,0))</f>
        <v>7513.7380000000003</v>
      </c>
      <c r="O1274" s="9">
        <f t="shared" ca="1" si="277"/>
        <v>0</v>
      </c>
      <c r="P1274" s="14">
        <f t="shared" si="268"/>
        <v>1.2445934815077218</v>
      </c>
      <c r="Q1274" s="15">
        <f ca="1">STDEV(P1274:OFFSET(P1274,-$Q$5+1,0))</f>
        <v>1.0448657153400942</v>
      </c>
      <c r="R1274" s="15">
        <f ca="1">STDEV(P1274:OFFSET(P1274,-$R$5+1,0))</f>
        <v>1.4111367752330259</v>
      </c>
      <c r="S1274" s="18">
        <f t="shared" si="269"/>
        <v>47.480000000000473</v>
      </c>
      <c r="T1274" s="18">
        <f t="shared" si="270"/>
        <v>97.5</v>
      </c>
      <c r="U1274" s="18">
        <f t="shared" si="278"/>
        <v>126.57627843465377</v>
      </c>
      <c r="V1274" s="33">
        <f ca="1">AVERAGE(E1274:OFFSET(E1274,-V$5+1,0))</f>
        <v>7526.585</v>
      </c>
      <c r="W1274" s="33">
        <f t="shared" ca="1" si="271"/>
        <v>7716.4494176519811</v>
      </c>
      <c r="X1274" s="33">
        <f t="shared" ca="1" si="272"/>
        <v>7336.720582348019</v>
      </c>
      <c r="Y1274" s="32">
        <f t="shared" ca="1" si="279"/>
        <v>1</v>
      </c>
    </row>
    <row r="1275" spans="1:25">
      <c r="A1275" s="5">
        <v>40246</v>
      </c>
      <c r="B1275" s="4">
        <v>7762.4</v>
      </c>
      <c r="C1275" s="4">
        <v>7770.59</v>
      </c>
      <c r="D1275" s="4">
        <v>7737.65</v>
      </c>
      <c r="E1275" s="4">
        <v>7770.59</v>
      </c>
      <c r="F1275" s="4">
        <v>2978600</v>
      </c>
      <c r="G1275" s="8">
        <f t="shared" si="267"/>
        <v>0.12999999999919964</v>
      </c>
      <c r="H1275" s="8">
        <f t="shared" si="266"/>
        <v>8.1900000000005093</v>
      </c>
      <c r="I1275" s="20">
        <f t="shared" ca="1" si="273"/>
        <v>0</v>
      </c>
      <c r="J1275" s="8">
        <f t="shared" ca="1" si="274"/>
        <v>3</v>
      </c>
      <c r="K1275" s="8">
        <f t="shared" ca="1" si="275"/>
        <v>24.829999999999927</v>
      </c>
      <c r="L1275" s="8">
        <f t="shared" ca="1" si="276"/>
        <v>17544.010000000009</v>
      </c>
      <c r="M1275" s="9">
        <f ca="1">AVERAGE(E1275:OFFSET(E1275,-M$5+1,0))</f>
        <v>7596.6540000000005</v>
      </c>
      <c r="N1275" s="9">
        <f ca="1">AVERAGE(E1275:OFFSET(E1275,-N$5+1,0))</f>
        <v>7520.2455</v>
      </c>
      <c r="O1275" s="9">
        <f t="shared" ca="1" si="277"/>
        <v>0</v>
      </c>
      <c r="P1275" s="14">
        <f t="shared" si="268"/>
        <v>0.10712773817177662</v>
      </c>
      <c r="Q1275" s="15">
        <f ca="1">STDEV(P1275:OFFSET(P1275,-$Q$5+1,0))</f>
        <v>1.0425771398177808</v>
      </c>
      <c r="R1275" s="15">
        <f ca="1">STDEV(P1275:OFFSET(P1275,-$R$5+1,0))</f>
        <v>1.4015402022386512</v>
      </c>
      <c r="S1275" s="18">
        <f t="shared" si="269"/>
        <v>32.940000000000509</v>
      </c>
      <c r="T1275" s="18">
        <f t="shared" si="270"/>
        <v>32.940000000000509</v>
      </c>
      <c r="U1275" s="18">
        <f t="shared" si="278"/>
        <v>114.09144131003335</v>
      </c>
      <c r="V1275" s="33">
        <f ca="1">AVERAGE(E1275:OFFSET(E1275,-V$5+1,0))</f>
        <v>7566.2071428571426</v>
      </c>
      <c r="W1275" s="33">
        <f t="shared" ca="1" si="271"/>
        <v>7737.3443048221925</v>
      </c>
      <c r="X1275" s="33">
        <f t="shared" ca="1" si="272"/>
        <v>7395.0699808920926</v>
      </c>
      <c r="Y1275" s="32">
        <f t="shared" ca="1" si="279"/>
        <v>0</v>
      </c>
    </row>
    <row r="1276" spans="1:25">
      <c r="A1276" s="5">
        <v>40247</v>
      </c>
      <c r="B1276" s="4">
        <v>7797.7</v>
      </c>
      <c r="C1276" s="4">
        <v>7803.27</v>
      </c>
      <c r="D1276" s="4">
        <v>7736.7</v>
      </c>
      <c r="E1276" s="4">
        <v>7779.08</v>
      </c>
      <c r="F1276" s="4">
        <v>2974000</v>
      </c>
      <c r="G1276" s="8">
        <f t="shared" si="267"/>
        <v>27.109999999999673</v>
      </c>
      <c r="H1276" s="8">
        <f t="shared" si="266"/>
        <v>-18.619999999999891</v>
      </c>
      <c r="I1276" s="20">
        <f t="shared" ca="1" si="273"/>
        <v>0</v>
      </c>
      <c r="J1276" s="8">
        <f t="shared" ca="1" si="274"/>
        <v>3</v>
      </c>
      <c r="K1276" s="8">
        <f t="shared" ca="1" si="275"/>
        <v>25.469999999999345</v>
      </c>
      <c r="L1276" s="8">
        <f t="shared" ca="1" si="276"/>
        <v>17569.48000000001</v>
      </c>
      <c r="M1276" s="9">
        <f ca="1">AVERAGE(E1276:OFFSET(E1276,-M$5+1,0))</f>
        <v>7621.5949999999993</v>
      </c>
      <c r="N1276" s="9">
        <f ca="1">AVERAGE(E1276:OFFSET(E1276,-N$5+1,0))</f>
        <v>7532.9659999999985</v>
      </c>
      <c r="O1276" s="9">
        <f t="shared" ca="1" si="277"/>
        <v>0</v>
      </c>
      <c r="P1276" s="14">
        <f t="shared" si="268"/>
        <v>0.10919846972499787</v>
      </c>
      <c r="Q1276" s="15">
        <f ca="1">STDEV(P1276:OFFSET(P1276,-$Q$5+1,0))</f>
        <v>0.96825728709707459</v>
      </c>
      <c r="R1276" s="15">
        <f ca="1">STDEV(P1276:OFFSET(P1276,-$R$5+1,0))</f>
        <v>1.4007997512859343</v>
      </c>
      <c r="S1276" s="18">
        <f t="shared" si="269"/>
        <v>66.570000000000618</v>
      </c>
      <c r="T1276" s="18">
        <f t="shared" si="270"/>
        <v>66.570000000000618</v>
      </c>
      <c r="U1276" s="18">
        <f t="shared" si="278"/>
        <v>107.75524913536233</v>
      </c>
      <c r="V1276" s="33">
        <f ca="1">AVERAGE(E1276:OFFSET(E1276,-V$5+1,0))</f>
        <v>7596.0671428571432</v>
      </c>
      <c r="W1276" s="33">
        <f t="shared" ca="1" si="271"/>
        <v>7757.7000165601867</v>
      </c>
      <c r="X1276" s="33">
        <f t="shared" ca="1" si="272"/>
        <v>7434.4342691540996</v>
      </c>
      <c r="Y1276" s="32">
        <f t="shared" ca="1" si="279"/>
        <v>0</v>
      </c>
    </row>
    <row r="1277" spans="1:25">
      <c r="A1277" s="5">
        <v>40248</v>
      </c>
      <c r="B1277" s="4">
        <v>7817.59</v>
      </c>
      <c r="C1277" s="4">
        <v>7818.84</v>
      </c>
      <c r="D1277" s="4">
        <v>7749.4</v>
      </c>
      <c r="E1277" s="4">
        <v>7749.66</v>
      </c>
      <c r="F1277" s="4">
        <v>3106000</v>
      </c>
      <c r="G1277" s="8">
        <f t="shared" si="267"/>
        <v>38.510000000000218</v>
      </c>
      <c r="H1277" s="8">
        <f t="shared" si="266"/>
        <v>-67.930000000000291</v>
      </c>
      <c r="I1277" s="20">
        <f t="shared" ca="1" si="273"/>
        <v>0</v>
      </c>
      <c r="J1277" s="8">
        <f t="shared" ca="1" si="274"/>
        <v>3</v>
      </c>
      <c r="K1277" s="8">
        <f t="shared" ca="1" si="275"/>
        <v>-88.260000000000218</v>
      </c>
      <c r="L1277" s="8">
        <f t="shared" ca="1" si="276"/>
        <v>17481.220000000008</v>
      </c>
      <c r="M1277" s="9">
        <f ca="1">AVERAGE(E1277:OFFSET(E1277,-M$5+1,0))</f>
        <v>7653.8650000000007</v>
      </c>
      <c r="N1277" s="9">
        <f ca="1">AVERAGE(E1277:OFFSET(E1277,-N$5+1,0))</f>
        <v>7548.9685000000009</v>
      </c>
      <c r="O1277" s="9">
        <f t="shared" ca="1" si="277"/>
        <v>0</v>
      </c>
      <c r="P1277" s="14">
        <f t="shared" si="268"/>
        <v>-0.37891078348145718</v>
      </c>
      <c r="Q1277" s="15">
        <f ca="1">STDEV(P1277:OFFSET(P1277,-$Q$5+1,0))</f>
        <v>0.81293606506945659</v>
      </c>
      <c r="R1277" s="15">
        <f ca="1">STDEV(P1277:OFFSET(P1277,-$R$5+1,0))</f>
        <v>1.4010193845712902</v>
      </c>
      <c r="S1277" s="18">
        <f t="shared" si="269"/>
        <v>69.440000000000509</v>
      </c>
      <c r="T1277" s="18">
        <f t="shared" si="270"/>
        <v>69.440000000000509</v>
      </c>
      <c r="U1277" s="18">
        <f t="shared" si="278"/>
        <v>102.64654925064744</v>
      </c>
      <c r="V1277" s="33">
        <f ca="1">AVERAGE(E1277:OFFSET(E1277,-V$5+1,0))</f>
        <v>7618.0542857142864</v>
      </c>
      <c r="W1277" s="33">
        <f t="shared" ca="1" si="271"/>
        <v>7772.0241095902575</v>
      </c>
      <c r="X1277" s="33">
        <f t="shared" ca="1" si="272"/>
        <v>7464.0844618383153</v>
      </c>
      <c r="Y1277" s="32">
        <f t="shared" ca="1" si="279"/>
        <v>0</v>
      </c>
    </row>
    <row r="1278" spans="1:25">
      <c r="A1278" s="5">
        <v>40249</v>
      </c>
      <c r="B1278" s="4">
        <v>7773.52</v>
      </c>
      <c r="C1278" s="4">
        <v>7773.52</v>
      </c>
      <c r="D1278" s="4">
        <v>7726.09</v>
      </c>
      <c r="E1278" s="4">
        <v>7748.33</v>
      </c>
      <c r="F1278" s="4">
        <v>2575400</v>
      </c>
      <c r="G1278" s="8">
        <f t="shared" si="267"/>
        <v>23.860000000000582</v>
      </c>
      <c r="H1278" s="8">
        <f t="shared" si="266"/>
        <v>-25.190000000000509</v>
      </c>
      <c r="I1278" s="20">
        <f t="shared" ca="1" si="273"/>
        <v>0</v>
      </c>
      <c r="J1278" s="8">
        <f t="shared" ca="1" si="274"/>
        <v>3</v>
      </c>
      <c r="K1278" s="8">
        <f t="shared" ca="1" si="275"/>
        <v>-3.9899999999997817</v>
      </c>
      <c r="L1278" s="8">
        <f t="shared" ca="1" si="276"/>
        <v>17477.23000000001</v>
      </c>
      <c r="M1278" s="9">
        <f ca="1">AVERAGE(E1278:OFFSET(E1278,-M$5+1,0))</f>
        <v>7685.0880000000006</v>
      </c>
      <c r="N1278" s="9">
        <f ca="1">AVERAGE(E1278:OFFSET(E1278,-N$5+1,0))</f>
        <v>7558.9859999999999</v>
      </c>
      <c r="O1278" s="9">
        <f t="shared" ca="1" si="277"/>
        <v>0</v>
      </c>
      <c r="P1278" s="14">
        <f t="shared" si="268"/>
        <v>-1.7163516085184873E-2</v>
      </c>
      <c r="Q1278" s="15">
        <f ca="1">STDEV(P1278:OFFSET(P1278,-$Q$5+1,0))</f>
        <v>0.81990582321811101</v>
      </c>
      <c r="R1278" s="15">
        <f ca="1">STDEV(P1278:OFFSET(P1278,-$R$5+1,0))</f>
        <v>1.3785367100134962</v>
      </c>
      <c r="S1278" s="18">
        <f t="shared" si="269"/>
        <v>47.430000000000291</v>
      </c>
      <c r="T1278" s="18">
        <f t="shared" si="270"/>
        <v>47.430000000000291</v>
      </c>
      <c r="U1278" s="18">
        <f t="shared" si="278"/>
        <v>95.284342683894494</v>
      </c>
      <c r="V1278" s="33">
        <f ca="1">AVERAGE(E1278:OFFSET(E1278,-V$5+1,0))</f>
        <v>7631.5035714285714</v>
      </c>
      <c r="W1278" s="33">
        <f t="shared" ca="1" si="271"/>
        <v>7774.4300854544135</v>
      </c>
      <c r="X1278" s="33">
        <f t="shared" ca="1" si="272"/>
        <v>7488.5770574027292</v>
      </c>
      <c r="Y1278" s="32">
        <f t="shared" ca="1" si="279"/>
        <v>0</v>
      </c>
    </row>
    <row r="1279" spans="1:25">
      <c r="A1279" s="5">
        <v>40252</v>
      </c>
      <c r="B1279" s="4">
        <v>7750.87</v>
      </c>
      <c r="C1279" s="4">
        <v>7766.36</v>
      </c>
      <c r="D1279" s="4">
        <v>7634.92</v>
      </c>
      <c r="E1279" s="4">
        <v>7634.92</v>
      </c>
      <c r="F1279" s="4">
        <v>2705800</v>
      </c>
      <c r="G1279" s="8">
        <f t="shared" si="267"/>
        <v>2.5399999999999636</v>
      </c>
      <c r="H1279" s="8">
        <f t="shared" si="266"/>
        <v>-115.94999999999982</v>
      </c>
      <c r="I1279" s="20">
        <f t="shared" ca="1" si="273"/>
        <v>0</v>
      </c>
      <c r="J1279" s="8">
        <f t="shared" ca="1" si="274"/>
        <v>3</v>
      </c>
      <c r="K1279" s="8">
        <f t="shared" ca="1" si="275"/>
        <v>-340.22999999999956</v>
      </c>
      <c r="L1279" s="8">
        <f t="shared" ca="1" si="276"/>
        <v>17137.000000000011</v>
      </c>
      <c r="M1279" s="9">
        <f ca="1">AVERAGE(E1279:OFFSET(E1279,-M$5+1,0))</f>
        <v>7690.8050000000003</v>
      </c>
      <c r="N1279" s="9">
        <f ca="1">AVERAGE(E1279:OFFSET(E1279,-N$5+1,0))</f>
        <v>7563.63</v>
      </c>
      <c r="O1279" s="9">
        <f t="shared" ca="1" si="277"/>
        <v>0</v>
      </c>
      <c r="P1279" s="14">
        <f t="shared" si="268"/>
        <v>-1.4744875720160966</v>
      </c>
      <c r="Q1279" s="15">
        <f ca="1">STDEV(P1279:OFFSET(P1279,-$Q$5+1,0))</f>
        <v>0.8365856865417699</v>
      </c>
      <c r="R1279" s="15">
        <f ca="1">STDEV(P1279:OFFSET(P1279,-$R$5+1,0))</f>
        <v>1.3863768620115564</v>
      </c>
      <c r="S1279" s="18">
        <f t="shared" si="269"/>
        <v>131.4399999999996</v>
      </c>
      <c r="T1279" s="18">
        <f t="shared" si="270"/>
        <v>131.4399999999996</v>
      </c>
      <c r="U1279" s="18">
        <f t="shared" si="278"/>
        <v>100.10509699270851</v>
      </c>
      <c r="V1279" s="33">
        <f ca="1">AVERAGE(E1279:OFFSET(E1279,-V$5+1,0))</f>
        <v>7634.1807142857151</v>
      </c>
      <c r="W1279" s="33">
        <f t="shared" ca="1" si="271"/>
        <v>7784.3383597747779</v>
      </c>
      <c r="X1279" s="33">
        <f t="shared" ca="1" si="272"/>
        <v>7484.0230687966523</v>
      </c>
      <c r="Y1279" s="32">
        <f t="shared" ca="1" si="279"/>
        <v>0</v>
      </c>
    </row>
    <row r="1280" spans="1:25">
      <c r="A1280" s="5">
        <v>40253</v>
      </c>
      <c r="B1280" s="4">
        <v>7671.41</v>
      </c>
      <c r="C1280" s="4">
        <v>7695.81</v>
      </c>
      <c r="D1280" s="4">
        <v>7645.17</v>
      </c>
      <c r="E1280" s="4">
        <v>7695.63</v>
      </c>
      <c r="F1280" s="4">
        <v>2343400</v>
      </c>
      <c r="G1280" s="8">
        <f t="shared" si="267"/>
        <v>36.489999999999782</v>
      </c>
      <c r="H1280" s="8">
        <f t="shared" si="266"/>
        <v>24.220000000000255</v>
      </c>
      <c r="I1280" s="20">
        <f t="shared" ca="1" si="273"/>
        <v>0</v>
      </c>
      <c r="J1280" s="8">
        <f t="shared" ca="1" si="274"/>
        <v>3</v>
      </c>
      <c r="K1280" s="8">
        <f t="shared" ca="1" si="275"/>
        <v>182.13000000000011</v>
      </c>
      <c r="L1280" s="8">
        <f t="shared" ca="1" si="276"/>
        <v>17319.130000000012</v>
      </c>
      <c r="M1280" s="9">
        <f ca="1">AVERAGE(E1280:OFFSET(E1280,-M$5+1,0))</f>
        <v>7700.6060000000016</v>
      </c>
      <c r="N1280" s="9">
        <f ca="1">AVERAGE(E1280:OFFSET(E1280,-N$5+1,0))</f>
        <v>7587.5200000000013</v>
      </c>
      <c r="O1280" s="9">
        <f t="shared" ca="1" si="277"/>
        <v>0</v>
      </c>
      <c r="P1280" s="14">
        <f t="shared" si="268"/>
        <v>0.79201747304543346</v>
      </c>
      <c r="Q1280" s="15">
        <f ca="1">STDEV(P1280:OFFSET(P1280,-$Q$5+1,0))</f>
        <v>0.86601237545225862</v>
      </c>
      <c r="R1280" s="15">
        <f ca="1">STDEV(P1280:OFFSET(P1280,-$R$5+1,0))</f>
        <v>1.3905249888257381</v>
      </c>
      <c r="S1280" s="18">
        <f t="shared" si="269"/>
        <v>50.640000000000327</v>
      </c>
      <c r="T1280" s="18">
        <f t="shared" si="270"/>
        <v>60.890000000000327</v>
      </c>
      <c r="U1280" s="18">
        <f t="shared" si="278"/>
        <v>94.876417393680754</v>
      </c>
      <c r="V1280" s="33">
        <f ca="1">AVERAGE(E1280:OFFSET(E1280,-V$5+1,0))</f>
        <v>7646.0350000000008</v>
      </c>
      <c r="W1280" s="33">
        <f t="shared" ca="1" si="271"/>
        <v>7788.3496260905222</v>
      </c>
      <c r="X1280" s="33">
        <f t="shared" ca="1" si="272"/>
        <v>7503.7203739094793</v>
      </c>
      <c r="Y1280" s="32">
        <f t="shared" ca="1" si="279"/>
        <v>0</v>
      </c>
    </row>
    <row r="1281" spans="1:25">
      <c r="A1281" s="5">
        <v>40254</v>
      </c>
      <c r="B1281" s="4">
        <v>7763.43</v>
      </c>
      <c r="C1281" s="4">
        <v>7849.38</v>
      </c>
      <c r="D1281" s="4">
        <v>7762.85</v>
      </c>
      <c r="E1281" s="4">
        <v>7847.84</v>
      </c>
      <c r="F1281" s="4">
        <v>3959000</v>
      </c>
      <c r="G1281" s="8">
        <f t="shared" si="267"/>
        <v>67.800000000000182</v>
      </c>
      <c r="H1281" s="8">
        <f t="shared" si="266"/>
        <v>84.409999999999854</v>
      </c>
      <c r="I1281" s="20">
        <f t="shared" ca="1" si="273"/>
        <v>1</v>
      </c>
      <c r="J1281" s="8">
        <f t="shared" ca="1" si="274"/>
        <v>3</v>
      </c>
      <c r="K1281" s="8">
        <f t="shared" ca="1" si="275"/>
        <v>456.63000000000011</v>
      </c>
      <c r="L1281" s="8">
        <f t="shared" ca="1" si="276"/>
        <v>17775.760000000013</v>
      </c>
      <c r="M1281" s="9">
        <f ca="1">AVERAGE(E1281:OFFSET(E1281,-M$5+1,0))</f>
        <v>7722.4380000000001</v>
      </c>
      <c r="N1281" s="9">
        <f ca="1">AVERAGE(E1281:OFFSET(E1281,-N$5+1,0))</f>
        <v>7619.1180000000004</v>
      </c>
      <c r="O1281" s="9">
        <f t="shared" ca="1" si="277"/>
        <v>0</v>
      </c>
      <c r="P1281" s="14">
        <f t="shared" si="268"/>
        <v>1.9585699410803941</v>
      </c>
      <c r="Q1281" s="15">
        <f ca="1">STDEV(P1281:OFFSET(P1281,-$Q$5+1,0))</f>
        <v>1.0423550154549388</v>
      </c>
      <c r="R1281" s="15">
        <f ca="1">STDEV(P1281:OFFSET(P1281,-$R$5+1,0))</f>
        <v>1.427333556548132</v>
      </c>
      <c r="S1281" s="18">
        <f t="shared" si="269"/>
        <v>86.529999999999745</v>
      </c>
      <c r="T1281" s="18">
        <f t="shared" si="270"/>
        <v>153.75</v>
      </c>
      <c r="U1281" s="18">
        <f t="shared" si="278"/>
        <v>102.72622840785665</v>
      </c>
      <c r="V1281" s="33">
        <f ca="1">AVERAGE(E1281:OFFSET(E1281,-V$5+1,0))</f>
        <v>7676.0978571428577</v>
      </c>
      <c r="W1281" s="33">
        <f t="shared" ca="1" si="271"/>
        <v>7830.1871997546423</v>
      </c>
      <c r="X1281" s="33">
        <f t="shared" ca="1" si="272"/>
        <v>7522.0085145310732</v>
      </c>
      <c r="Y1281" s="32">
        <f t="shared" ca="1" si="279"/>
        <v>1</v>
      </c>
    </row>
    <row r="1282" spans="1:25">
      <c r="A1282" s="5">
        <v>40255</v>
      </c>
      <c r="B1282" s="4">
        <v>7861.27</v>
      </c>
      <c r="C1282" s="4">
        <v>7922.48</v>
      </c>
      <c r="D1282" s="4">
        <v>7847.55</v>
      </c>
      <c r="E1282" s="4">
        <v>7886.34</v>
      </c>
      <c r="F1282" s="4">
        <v>4674600</v>
      </c>
      <c r="G1282" s="8">
        <f t="shared" si="267"/>
        <v>13.430000000000291</v>
      </c>
      <c r="H1282" s="8">
        <f t="shared" si="266"/>
        <v>25.069999999999709</v>
      </c>
      <c r="I1282" s="20">
        <f t="shared" ca="1" si="273"/>
        <v>0</v>
      </c>
      <c r="J1282" s="8">
        <f t="shared" ca="1" si="274"/>
        <v>3</v>
      </c>
      <c r="K1282" s="8">
        <f t="shared" ca="1" si="275"/>
        <v>115.5</v>
      </c>
      <c r="L1282" s="8">
        <f t="shared" ca="1" si="276"/>
        <v>17891.260000000013</v>
      </c>
      <c r="M1282" s="9">
        <f ca="1">AVERAGE(E1282:OFFSET(E1282,-M$5+1,0))</f>
        <v>7754.0919999999996</v>
      </c>
      <c r="N1282" s="9">
        <f ca="1">AVERAGE(E1282:OFFSET(E1282,-N$5+1,0))</f>
        <v>7645.3829999999998</v>
      </c>
      <c r="O1282" s="9">
        <f t="shared" ca="1" si="277"/>
        <v>0</v>
      </c>
      <c r="P1282" s="14">
        <f t="shared" si="268"/>
        <v>0.48938142105510746</v>
      </c>
      <c r="Q1282" s="15">
        <f ca="1">STDEV(P1282:OFFSET(P1282,-$Q$5+1,0))</f>
        <v>0.9728724322313943</v>
      </c>
      <c r="R1282" s="15">
        <f ca="1">STDEV(P1282:OFFSET(P1282,-$R$5+1,0))</f>
        <v>1.4308640877568957</v>
      </c>
      <c r="S1282" s="18">
        <f t="shared" si="269"/>
        <v>74.929999999999382</v>
      </c>
      <c r="T1282" s="18">
        <f t="shared" si="270"/>
        <v>74.929999999999382</v>
      </c>
      <c r="U1282" s="18">
        <f t="shared" si="278"/>
        <v>99.02006462014235</v>
      </c>
      <c r="V1282" s="33">
        <f ca="1">AVERAGE(E1282:OFFSET(E1282,-V$5+1,0))</f>
        <v>7708.2578571428576</v>
      </c>
      <c r="W1282" s="33">
        <f t="shared" ca="1" si="271"/>
        <v>7856.787954073071</v>
      </c>
      <c r="X1282" s="33">
        <f t="shared" ca="1" si="272"/>
        <v>7559.7277602126442</v>
      </c>
      <c r="Y1282" s="32">
        <f t="shared" ca="1" si="279"/>
        <v>0</v>
      </c>
    </row>
    <row r="1283" spans="1:25">
      <c r="A1283" s="5">
        <v>40256</v>
      </c>
      <c r="B1283" s="4">
        <v>7899.01</v>
      </c>
      <c r="C1283" s="4">
        <v>7899.01</v>
      </c>
      <c r="D1283" s="4">
        <v>7859.29</v>
      </c>
      <c r="E1283" s="4">
        <v>7897.91</v>
      </c>
      <c r="F1283" s="4">
        <v>4037000</v>
      </c>
      <c r="G1283" s="8">
        <f t="shared" si="267"/>
        <v>12.670000000000073</v>
      </c>
      <c r="H1283" s="8">
        <f t="shared" si="266"/>
        <v>-1.1000000000003638</v>
      </c>
      <c r="I1283" s="20">
        <f t="shared" ca="1" si="273"/>
        <v>0</v>
      </c>
      <c r="J1283" s="8">
        <f t="shared" ca="1" si="274"/>
        <v>3</v>
      </c>
      <c r="K1283" s="8">
        <f t="shared" ca="1" si="275"/>
        <v>34.709999999999127</v>
      </c>
      <c r="L1283" s="8">
        <f t="shared" ca="1" si="276"/>
        <v>17925.970000000012</v>
      </c>
      <c r="M1283" s="9">
        <f ca="1">AVERAGE(E1283:OFFSET(E1283,-M$5+1,0))</f>
        <v>7777.2569999999996</v>
      </c>
      <c r="N1283" s="9">
        <f ca="1">AVERAGE(E1283:OFFSET(E1283,-N$5+1,0))</f>
        <v>7668.1865000000007</v>
      </c>
      <c r="O1283" s="9">
        <f t="shared" ca="1" si="277"/>
        <v>0</v>
      </c>
      <c r="P1283" s="14">
        <f t="shared" si="268"/>
        <v>0.14660186036328718</v>
      </c>
      <c r="Q1283" s="15">
        <f ca="1">STDEV(P1283:OFFSET(P1283,-$Q$5+1,0))</f>
        <v>0.92667020356160412</v>
      </c>
      <c r="R1283" s="15">
        <f ca="1">STDEV(P1283:OFFSET(P1283,-$R$5+1,0))</f>
        <v>1.4172804628267934</v>
      </c>
      <c r="S1283" s="18">
        <f t="shared" si="269"/>
        <v>39.720000000000255</v>
      </c>
      <c r="T1283" s="18">
        <f t="shared" si="270"/>
        <v>39.720000000000255</v>
      </c>
      <c r="U1283" s="18">
        <f t="shared" si="278"/>
        <v>91.113389337456738</v>
      </c>
      <c r="V1283" s="33">
        <f ca="1">AVERAGE(E1283:OFFSET(E1283,-V$5+1,0))</f>
        <v>7731.1264285714287</v>
      </c>
      <c r="W1283" s="33">
        <f t="shared" ca="1" si="271"/>
        <v>7867.7965125776136</v>
      </c>
      <c r="X1283" s="33">
        <f t="shared" ca="1" si="272"/>
        <v>7594.4563445652439</v>
      </c>
      <c r="Y1283" s="32">
        <f t="shared" ca="1" si="279"/>
        <v>0</v>
      </c>
    </row>
    <row r="1284" spans="1:25">
      <c r="A1284" s="5">
        <v>40259</v>
      </c>
      <c r="B1284" s="4">
        <v>7861.9</v>
      </c>
      <c r="C1284" s="4">
        <v>7872.78</v>
      </c>
      <c r="D1284" s="4">
        <v>7791.25</v>
      </c>
      <c r="E1284" s="4">
        <v>7835.98</v>
      </c>
      <c r="F1284" s="4">
        <v>3768800</v>
      </c>
      <c r="G1284" s="8">
        <f t="shared" si="267"/>
        <v>-36.010000000000218</v>
      </c>
      <c r="H1284" s="8">
        <f t="shared" ref="H1284:H1347" si="280">E1284-B1284</f>
        <v>-25.920000000000073</v>
      </c>
      <c r="I1284" s="20">
        <f t="shared" ca="1" si="273"/>
        <v>0</v>
      </c>
      <c r="J1284" s="8">
        <f t="shared" ca="1" si="274"/>
        <v>3</v>
      </c>
      <c r="K1284" s="8">
        <f t="shared" ca="1" si="275"/>
        <v>-185.79000000000087</v>
      </c>
      <c r="L1284" s="8">
        <f t="shared" ca="1" si="276"/>
        <v>17740.180000000011</v>
      </c>
      <c r="M1284" s="9">
        <f ca="1">AVERAGE(E1284:OFFSET(E1284,-M$5+1,0))</f>
        <v>7784.6279999999997</v>
      </c>
      <c r="N1284" s="9">
        <f ca="1">AVERAGE(E1284:OFFSET(E1284,-N$5+1,0))</f>
        <v>7681.9835000000003</v>
      </c>
      <c r="O1284" s="9">
        <f t="shared" ca="1" si="277"/>
        <v>0</v>
      </c>
      <c r="P1284" s="14">
        <f t="shared" si="268"/>
        <v>-0.78722197531605287</v>
      </c>
      <c r="Q1284" s="15">
        <f ca="1">STDEV(P1284:OFFSET(P1284,-$Q$5+1,0))</f>
        <v>0.91869780838203707</v>
      </c>
      <c r="R1284" s="15">
        <f ca="1">STDEV(P1284:OFFSET(P1284,-$R$5+1,0))</f>
        <v>1.4071739008840667</v>
      </c>
      <c r="S1284" s="18">
        <f t="shared" si="269"/>
        <v>81.529999999999745</v>
      </c>
      <c r="T1284" s="18">
        <f t="shared" si="270"/>
        <v>106.65999999999985</v>
      </c>
      <c r="U1284" s="18">
        <f t="shared" si="278"/>
        <v>93.186270759129158</v>
      </c>
      <c r="V1284" s="33">
        <f ca="1">AVERAGE(E1284:OFFSET(E1284,-V$5+1,0))</f>
        <v>7748.1521428571432</v>
      </c>
      <c r="W1284" s="33">
        <f t="shared" ca="1" si="271"/>
        <v>7887.9315489958371</v>
      </c>
      <c r="X1284" s="33">
        <f t="shared" ca="1" si="272"/>
        <v>7608.3727367184492</v>
      </c>
      <c r="Y1284" s="32">
        <f t="shared" ca="1" si="279"/>
        <v>0</v>
      </c>
    </row>
    <row r="1285" spans="1:25">
      <c r="A1285" s="5">
        <v>40260</v>
      </c>
      <c r="B1285" s="4">
        <v>7880.12</v>
      </c>
      <c r="C1285" s="4">
        <v>7889.04</v>
      </c>
      <c r="D1285" s="4">
        <v>7804.4</v>
      </c>
      <c r="E1285" s="4">
        <v>7811.87</v>
      </c>
      <c r="F1285" s="4">
        <v>4063400</v>
      </c>
      <c r="G1285" s="8">
        <f t="shared" ref="G1285:G1348" si="281">B1285-E1284</f>
        <v>44.140000000000327</v>
      </c>
      <c r="H1285" s="8">
        <f t="shared" si="280"/>
        <v>-68.25</v>
      </c>
      <c r="I1285" s="20">
        <f t="shared" ca="1" si="273"/>
        <v>0</v>
      </c>
      <c r="J1285" s="8">
        <f t="shared" ca="1" si="274"/>
        <v>3</v>
      </c>
      <c r="K1285" s="8">
        <f t="shared" ca="1" si="275"/>
        <v>-72.329999999999018</v>
      </c>
      <c r="L1285" s="8">
        <f t="shared" ca="1" si="276"/>
        <v>17667.850000000013</v>
      </c>
      <c r="M1285" s="9">
        <f ca="1">AVERAGE(E1285:OFFSET(E1285,-M$5+1,0))</f>
        <v>7788.7559999999985</v>
      </c>
      <c r="N1285" s="9">
        <f ca="1">AVERAGE(E1285:OFFSET(E1285,-N$5+1,0))</f>
        <v>7692.7049999999999</v>
      </c>
      <c r="O1285" s="9">
        <f t="shared" ca="1" si="277"/>
        <v>0</v>
      </c>
      <c r="P1285" s="14">
        <f t="shared" ref="P1285:P1348" si="282">100*LN(E1285/E1284)</f>
        <v>-0.30815759454832214</v>
      </c>
      <c r="Q1285" s="15">
        <f ca="1">STDEV(P1285:OFFSET(P1285,-$Q$5+1,0))</f>
        <v>0.92740904592653151</v>
      </c>
      <c r="R1285" s="15">
        <f ca="1">STDEV(P1285:OFFSET(P1285,-$R$5+1,0))</f>
        <v>1.3989928826586693</v>
      </c>
      <c r="S1285" s="18">
        <f t="shared" si="269"/>
        <v>84.640000000000327</v>
      </c>
      <c r="T1285" s="18">
        <f t="shared" si="270"/>
        <v>84.640000000000327</v>
      </c>
      <c r="U1285" s="18">
        <f t="shared" si="278"/>
        <v>92.046767991245304</v>
      </c>
      <c r="V1285" s="33">
        <f ca="1">AVERAGE(E1285:OFFSET(E1285,-V$5+1,0))</f>
        <v>7761.1771428571428</v>
      </c>
      <c r="W1285" s="33">
        <f t="shared" ca="1" si="271"/>
        <v>7899.2472948440109</v>
      </c>
      <c r="X1285" s="33">
        <f t="shared" ca="1" si="272"/>
        <v>7623.1069908702748</v>
      </c>
      <c r="Y1285" s="32">
        <f t="shared" ca="1" si="279"/>
        <v>0</v>
      </c>
    </row>
    <row r="1286" spans="1:25">
      <c r="A1286" s="5">
        <v>40261</v>
      </c>
      <c r="B1286" s="4">
        <v>7875.27</v>
      </c>
      <c r="C1286" s="4">
        <v>7881.37</v>
      </c>
      <c r="D1286" s="4">
        <v>7822.71</v>
      </c>
      <c r="E1286" s="4">
        <v>7822.71</v>
      </c>
      <c r="F1286" s="4">
        <v>4041400</v>
      </c>
      <c r="G1286" s="8">
        <f t="shared" si="281"/>
        <v>63.400000000000546</v>
      </c>
      <c r="H1286" s="8">
        <f t="shared" si="280"/>
        <v>-52.5600000000004</v>
      </c>
      <c r="I1286" s="20">
        <f t="shared" ca="1" si="273"/>
        <v>0</v>
      </c>
      <c r="J1286" s="8">
        <f t="shared" ca="1" si="274"/>
        <v>3</v>
      </c>
      <c r="K1286" s="8">
        <f t="shared" ca="1" si="275"/>
        <v>32.520000000000437</v>
      </c>
      <c r="L1286" s="8">
        <f t="shared" ca="1" si="276"/>
        <v>17700.370000000014</v>
      </c>
      <c r="M1286" s="9">
        <f ca="1">AVERAGE(E1286:OFFSET(E1286,-M$5+1,0))</f>
        <v>7793.1190000000006</v>
      </c>
      <c r="N1286" s="9">
        <f ca="1">AVERAGE(E1286:OFFSET(E1286,-N$5+1,0))</f>
        <v>7707.3569999999991</v>
      </c>
      <c r="O1286" s="9">
        <f t="shared" ca="1" si="277"/>
        <v>0</v>
      </c>
      <c r="P1286" s="14">
        <f t="shared" si="282"/>
        <v>0.13866700272061097</v>
      </c>
      <c r="Q1286" s="15">
        <f ca="1">STDEV(P1286:OFFSET(P1286,-$Q$5+1,0))</f>
        <v>0.92765430519099501</v>
      </c>
      <c r="R1286" s="15">
        <f ca="1">STDEV(P1286:OFFSET(P1286,-$R$5+1,0))</f>
        <v>1.3997941863435137</v>
      </c>
      <c r="S1286" s="18">
        <f t="shared" si="269"/>
        <v>58.659999999999854</v>
      </c>
      <c r="T1286" s="18">
        <f t="shared" si="270"/>
        <v>69.5</v>
      </c>
      <c r="U1286" s="18">
        <f t="shared" si="278"/>
        <v>89.040532259079271</v>
      </c>
      <c r="V1286" s="33">
        <f ca="1">AVERAGE(E1286:OFFSET(E1286,-V$5+1,0))</f>
        <v>7779.2421428571424</v>
      </c>
      <c r="W1286" s="33">
        <f t="shared" ca="1" si="271"/>
        <v>7912.8029412457618</v>
      </c>
      <c r="X1286" s="33">
        <f t="shared" ca="1" si="272"/>
        <v>7645.6813444685231</v>
      </c>
      <c r="Y1286" s="32">
        <f t="shared" ca="1" si="279"/>
        <v>0</v>
      </c>
    </row>
    <row r="1287" spans="1:25">
      <c r="A1287" s="5">
        <v>40262</v>
      </c>
      <c r="B1287" s="4">
        <v>7824.74</v>
      </c>
      <c r="C1287" s="4">
        <v>7856.31</v>
      </c>
      <c r="D1287" s="4">
        <v>7753.51</v>
      </c>
      <c r="E1287" s="4">
        <v>7838.1</v>
      </c>
      <c r="F1287" s="4">
        <v>3696800</v>
      </c>
      <c r="G1287" s="8">
        <f t="shared" si="281"/>
        <v>2.0299999999997453</v>
      </c>
      <c r="H1287" s="8">
        <f t="shared" si="280"/>
        <v>13.360000000000582</v>
      </c>
      <c r="I1287" s="20">
        <f t="shared" ca="1" si="273"/>
        <v>0</v>
      </c>
      <c r="J1287" s="8">
        <f t="shared" ca="1" si="274"/>
        <v>3</v>
      </c>
      <c r="K1287" s="8">
        <f t="shared" ca="1" si="275"/>
        <v>46.170000000000982</v>
      </c>
      <c r="L1287" s="8">
        <f t="shared" ca="1" si="276"/>
        <v>17746.540000000015</v>
      </c>
      <c r="M1287" s="9">
        <f ca="1">AVERAGE(E1287:OFFSET(E1287,-M$5+1,0))</f>
        <v>7801.9630000000006</v>
      </c>
      <c r="N1287" s="9">
        <f ca="1">AVERAGE(E1287:OFFSET(E1287,-N$5+1,0))</f>
        <v>7727.9139999999998</v>
      </c>
      <c r="O1287" s="9">
        <f t="shared" ca="1" si="277"/>
        <v>0</v>
      </c>
      <c r="P1287" s="14">
        <f t="shared" si="282"/>
        <v>0.19654162146299572</v>
      </c>
      <c r="Q1287" s="15">
        <f ca="1">STDEV(P1287:OFFSET(P1287,-$Q$5+1,0))</f>
        <v>0.91545092679541085</v>
      </c>
      <c r="R1287" s="15">
        <f ca="1">STDEV(P1287:OFFSET(P1287,-$R$5+1,0))</f>
        <v>1.3929598078293013</v>
      </c>
      <c r="S1287" s="18">
        <f t="shared" si="269"/>
        <v>102.80000000000018</v>
      </c>
      <c r="T1287" s="18">
        <f t="shared" si="270"/>
        <v>102.80000000000018</v>
      </c>
      <c r="U1287" s="18">
        <f t="shared" si="278"/>
        <v>90.875127957868727</v>
      </c>
      <c r="V1287" s="33">
        <f ca="1">AVERAGE(E1287:OFFSET(E1287,-V$5+1,0))</f>
        <v>7791.5164285714282</v>
      </c>
      <c r="W1287" s="33">
        <f t="shared" ca="1" si="271"/>
        <v>7927.8291205082314</v>
      </c>
      <c r="X1287" s="33">
        <f t="shared" ca="1" si="272"/>
        <v>7655.2037366346249</v>
      </c>
      <c r="Y1287" s="32">
        <f t="shared" ca="1" si="279"/>
        <v>0</v>
      </c>
    </row>
    <row r="1288" spans="1:25">
      <c r="A1288" s="5">
        <v>40263</v>
      </c>
      <c r="B1288" s="4">
        <v>7808.15</v>
      </c>
      <c r="C1288" s="4">
        <v>7909.41</v>
      </c>
      <c r="D1288" s="4">
        <v>7770.42</v>
      </c>
      <c r="E1288" s="4">
        <v>7876.86</v>
      </c>
      <c r="F1288" s="4">
        <v>3781000</v>
      </c>
      <c r="G1288" s="8">
        <f t="shared" si="281"/>
        <v>-29.950000000000728</v>
      </c>
      <c r="H1288" s="8">
        <f t="shared" si="280"/>
        <v>68.710000000000036</v>
      </c>
      <c r="I1288" s="20">
        <f t="shared" ca="1" si="273"/>
        <v>0</v>
      </c>
      <c r="J1288" s="8">
        <f t="shared" ca="1" si="274"/>
        <v>3</v>
      </c>
      <c r="K1288" s="8">
        <f t="shared" ca="1" si="275"/>
        <v>116.27999999999793</v>
      </c>
      <c r="L1288" s="8">
        <f t="shared" ca="1" si="276"/>
        <v>17862.820000000014</v>
      </c>
      <c r="M1288" s="9">
        <f ca="1">AVERAGE(E1288:OFFSET(E1288,-M$5+1,0))</f>
        <v>7814.8160000000007</v>
      </c>
      <c r="N1288" s="9">
        <f ca="1">AVERAGE(E1288:OFFSET(E1288,-N$5+1,0))</f>
        <v>7749.9519999999993</v>
      </c>
      <c r="O1288" s="9">
        <f t="shared" ca="1" si="277"/>
        <v>0</v>
      </c>
      <c r="P1288" s="14">
        <f t="shared" si="282"/>
        <v>0.49328892465316693</v>
      </c>
      <c r="Q1288" s="15">
        <f ca="1">STDEV(P1288:OFFSET(P1288,-$Q$5+1,0))</f>
        <v>0.92156809340303047</v>
      </c>
      <c r="R1288" s="15">
        <f ca="1">STDEV(P1288:OFFSET(P1288,-$R$5+1,0))</f>
        <v>1.3959281616160082</v>
      </c>
      <c r="S1288" s="18">
        <f t="shared" si="269"/>
        <v>138.98999999999978</v>
      </c>
      <c r="T1288" s="18">
        <f t="shared" si="270"/>
        <v>138.98999999999978</v>
      </c>
      <c r="U1288" s="18">
        <f t="shared" si="278"/>
        <v>97.290444230152872</v>
      </c>
      <c r="V1288" s="33">
        <f ca="1">AVERAGE(E1288:OFFSET(E1288,-V$5+1,0))</f>
        <v>7799.7014285714295</v>
      </c>
      <c r="W1288" s="33">
        <f t="shared" ca="1" si="271"/>
        <v>7945.6370949166585</v>
      </c>
      <c r="X1288" s="33">
        <f t="shared" ca="1" si="272"/>
        <v>7653.7657622262004</v>
      </c>
      <c r="Y1288" s="32">
        <f t="shared" ca="1" si="279"/>
        <v>0</v>
      </c>
    </row>
    <row r="1289" spans="1:25">
      <c r="A1289" s="5">
        <v>40266</v>
      </c>
      <c r="B1289" s="4">
        <v>7918.95</v>
      </c>
      <c r="C1289" s="4">
        <v>7961.14</v>
      </c>
      <c r="D1289" s="4">
        <v>7909.06</v>
      </c>
      <c r="E1289" s="4">
        <v>7947.45</v>
      </c>
      <c r="F1289" s="4">
        <v>3972800</v>
      </c>
      <c r="G1289" s="8">
        <f t="shared" si="281"/>
        <v>42.090000000000146</v>
      </c>
      <c r="H1289" s="8">
        <f t="shared" si="280"/>
        <v>28.5</v>
      </c>
      <c r="I1289" s="20">
        <f t="shared" ca="1" si="273"/>
        <v>0</v>
      </c>
      <c r="J1289" s="8">
        <f t="shared" ca="1" si="274"/>
        <v>3</v>
      </c>
      <c r="K1289" s="8">
        <f t="shared" ca="1" si="275"/>
        <v>211.77000000000044</v>
      </c>
      <c r="L1289" s="8">
        <f t="shared" ca="1" si="276"/>
        <v>18074.590000000015</v>
      </c>
      <c r="M1289" s="9">
        <f ca="1">AVERAGE(E1289:OFFSET(E1289,-M$5+1,0))</f>
        <v>7846.0689999999986</v>
      </c>
      <c r="N1289" s="9">
        <f ca="1">AVERAGE(E1289:OFFSET(E1289,-N$5+1,0))</f>
        <v>7768.4369999999999</v>
      </c>
      <c r="O1289" s="9">
        <f t="shared" ca="1" si="277"/>
        <v>0</v>
      </c>
      <c r="P1289" s="14">
        <f t="shared" si="282"/>
        <v>0.89217751971545223</v>
      </c>
      <c r="Q1289" s="15">
        <f ca="1">STDEV(P1289:OFFSET(P1289,-$Q$5+1,0))</f>
        <v>0.73986624274533141</v>
      </c>
      <c r="R1289" s="15">
        <f ca="1">STDEV(P1289:OFFSET(P1289,-$R$5+1,0))</f>
        <v>1.3943744772611149</v>
      </c>
      <c r="S1289" s="18">
        <f t="shared" si="269"/>
        <v>52.079999999999927</v>
      </c>
      <c r="T1289" s="18">
        <f t="shared" si="270"/>
        <v>84.280000000000655</v>
      </c>
      <c r="U1289" s="18">
        <f t="shared" si="278"/>
        <v>95.555718332799245</v>
      </c>
      <c r="V1289" s="33">
        <f ca="1">AVERAGE(E1289:OFFSET(E1289,-V$5+1,0))</f>
        <v>7812.3342857142852</v>
      </c>
      <c r="W1289" s="33">
        <f t="shared" ca="1" si="271"/>
        <v>7955.6678632134845</v>
      </c>
      <c r="X1289" s="33">
        <f t="shared" ca="1" si="272"/>
        <v>7669.000708215086</v>
      </c>
      <c r="Y1289" s="32">
        <f t="shared" ca="1" si="279"/>
        <v>0</v>
      </c>
    </row>
    <row r="1290" spans="1:25">
      <c r="A1290" s="5">
        <v>40267</v>
      </c>
      <c r="B1290" s="4">
        <v>7992.12</v>
      </c>
      <c r="C1290" s="4">
        <v>7994.62</v>
      </c>
      <c r="D1290" s="4">
        <v>7942.47</v>
      </c>
      <c r="E1290" s="4">
        <v>7962.22</v>
      </c>
      <c r="F1290" s="4">
        <v>3880200</v>
      </c>
      <c r="G1290" s="8">
        <f t="shared" si="281"/>
        <v>44.670000000000073</v>
      </c>
      <c r="H1290" s="8">
        <f t="shared" si="280"/>
        <v>-29.899999999999636</v>
      </c>
      <c r="I1290" s="20">
        <f t="shared" ca="1" si="273"/>
        <v>1</v>
      </c>
      <c r="J1290" s="8">
        <f t="shared" ca="1" si="274"/>
        <v>3</v>
      </c>
      <c r="K1290" s="8">
        <f t="shared" ca="1" si="275"/>
        <v>44.31000000000131</v>
      </c>
      <c r="L1290" s="8">
        <f t="shared" ca="1" si="276"/>
        <v>18118.900000000016</v>
      </c>
      <c r="M1290" s="9">
        <f ca="1">AVERAGE(E1290:OFFSET(E1290,-M$5+1,0))</f>
        <v>7872.7280000000001</v>
      </c>
      <c r="N1290" s="9">
        <f ca="1">AVERAGE(E1290:OFFSET(E1290,-N$5+1,0))</f>
        <v>7786.6669999999995</v>
      </c>
      <c r="O1290" s="9">
        <f t="shared" ca="1" si="277"/>
        <v>0</v>
      </c>
      <c r="P1290" s="14">
        <f t="shared" si="282"/>
        <v>0.18567329483572056</v>
      </c>
      <c r="Q1290" s="15">
        <f ca="1">STDEV(P1290:OFFSET(P1290,-$Q$5+1,0))</f>
        <v>0.72904430783455088</v>
      </c>
      <c r="R1290" s="15">
        <f ca="1">STDEV(P1290:OFFSET(P1290,-$R$5+1,0))</f>
        <v>1.3372376788439808</v>
      </c>
      <c r="S1290" s="18">
        <f t="shared" si="269"/>
        <v>52.149999999999636</v>
      </c>
      <c r="T1290" s="18">
        <f t="shared" si="270"/>
        <v>52.149999999999636</v>
      </c>
      <c r="U1290" s="18">
        <f t="shared" si="278"/>
        <v>89.768289221759304</v>
      </c>
      <c r="V1290" s="33">
        <f ca="1">AVERAGE(E1290:OFFSET(E1290,-V$5+1,0))</f>
        <v>7825.4157142857148</v>
      </c>
      <c r="W1290" s="33">
        <f t="shared" ca="1" si="271"/>
        <v>7960.0681481183537</v>
      </c>
      <c r="X1290" s="33">
        <f t="shared" ca="1" si="272"/>
        <v>7690.7632804530758</v>
      </c>
      <c r="Y1290" s="32">
        <f t="shared" ca="1" si="279"/>
        <v>1</v>
      </c>
    </row>
    <row r="1291" spans="1:25">
      <c r="A1291" s="5">
        <v>40268</v>
      </c>
      <c r="B1291" s="4">
        <v>7962.91</v>
      </c>
      <c r="C1291" s="4">
        <v>7974.89</v>
      </c>
      <c r="D1291" s="4">
        <v>7920.06</v>
      </c>
      <c r="E1291" s="4">
        <v>7920.06</v>
      </c>
      <c r="F1291" s="4">
        <v>3841600</v>
      </c>
      <c r="G1291" s="8">
        <f t="shared" si="281"/>
        <v>0.68999999999959982</v>
      </c>
      <c r="H1291" s="8">
        <f t="shared" si="280"/>
        <v>-42.849999999999454</v>
      </c>
      <c r="I1291" s="20">
        <f t="shared" ca="1" si="273"/>
        <v>0</v>
      </c>
      <c r="J1291" s="8">
        <f t="shared" ca="1" si="274"/>
        <v>3</v>
      </c>
      <c r="K1291" s="8">
        <f t="shared" ca="1" si="275"/>
        <v>-126.47999999999956</v>
      </c>
      <c r="L1291" s="8">
        <f t="shared" ca="1" si="276"/>
        <v>17992.420000000016</v>
      </c>
      <c r="M1291" s="9">
        <f ca="1">AVERAGE(E1291:OFFSET(E1291,-M$5+1,0))</f>
        <v>7879.9499999999989</v>
      </c>
      <c r="N1291" s="9">
        <f ca="1">AVERAGE(E1291:OFFSET(E1291,-N$5+1,0))</f>
        <v>7801.1940000000004</v>
      </c>
      <c r="O1291" s="9">
        <f t="shared" ca="1" si="277"/>
        <v>0</v>
      </c>
      <c r="P1291" s="14">
        <f t="shared" si="282"/>
        <v>-0.53090738896052847</v>
      </c>
      <c r="Q1291" s="15">
        <f ca="1">STDEV(P1291:OFFSET(P1291,-$Q$5+1,0))</f>
        <v>0.50610287712553292</v>
      </c>
      <c r="R1291" s="15">
        <f ca="1">STDEV(P1291:OFFSET(P1291,-$R$5+1,0))</f>
        <v>1.33536717220389</v>
      </c>
      <c r="S1291" s="18">
        <f t="shared" si="269"/>
        <v>54.829999999999927</v>
      </c>
      <c r="T1291" s="18">
        <f t="shared" si="270"/>
        <v>54.829999999999927</v>
      </c>
      <c r="U1291" s="18">
        <f t="shared" si="278"/>
        <v>85.109850658858065</v>
      </c>
      <c r="V1291" s="33">
        <f ca="1">AVERAGE(E1291:OFFSET(E1291,-V$5+1,0))</f>
        <v>7837.5871428571427</v>
      </c>
      <c r="W1291" s="33">
        <f t="shared" ca="1" si="271"/>
        <v>7965.2519188454298</v>
      </c>
      <c r="X1291" s="33">
        <f t="shared" ca="1" si="272"/>
        <v>7709.9223668688555</v>
      </c>
      <c r="Y1291" s="32">
        <f t="shared" ca="1" si="279"/>
        <v>0</v>
      </c>
    </row>
    <row r="1292" spans="1:25">
      <c r="A1292" s="5">
        <v>40269</v>
      </c>
      <c r="B1292" s="4">
        <v>7952.62</v>
      </c>
      <c r="C1292" s="4">
        <v>8026.06</v>
      </c>
      <c r="D1292" s="4">
        <v>7952.62</v>
      </c>
      <c r="E1292" s="4">
        <v>8013.09</v>
      </c>
      <c r="F1292" s="4">
        <v>4758600</v>
      </c>
      <c r="G1292" s="8">
        <f t="shared" si="281"/>
        <v>32.559999999999491</v>
      </c>
      <c r="H1292" s="8">
        <f t="shared" si="280"/>
        <v>60.470000000000255</v>
      </c>
      <c r="I1292" s="20">
        <f t="shared" ca="1" si="273"/>
        <v>1</v>
      </c>
      <c r="J1292" s="8">
        <f t="shared" ca="1" si="274"/>
        <v>3</v>
      </c>
      <c r="K1292" s="8">
        <f t="shared" ca="1" si="275"/>
        <v>279.08999999999924</v>
      </c>
      <c r="L1292" s="8">
        <f t="shared" ca="1" si="276"/>
        <v>18271.510000000017</v>
      </c>
      <c r="M1292" s="9">
        <f ca="1">AVERAGE(E1292:OFFSET(E1292,-M$5+1,0))</f>
        <v>7892.625</v>
      </c>
      <c r="N1292" s="9">
        <f ca="1">AVERAGE(E1292:OFFSET(E1292,-N$5+1,0))</f>
        <v>7823.3585000000003</v>
      </c>
      <c r="O1292" s="9">
        <f t="shared" ca="1" si="277"/>
        <v>0</v>
      </c>
      <c r="P1292" s="14">
        <f t="shared" si="282"/>
        <v>1.1677672926052374</v>
      </c>
      <c r="Q1292" s="15">
        <f ca="1">STDEV(P1292:OFFSET(P1292,-$Q$5+1,0))</f>
        <v>0.60176963854855903</v>
      </c>
      <c r="R1292" s="15">
        <f ca="1">STDEV(P1292:OFFSET(P1292,-$R$5+1,0))</f>
        <v>1.2158009531644516</v>
      </c>
      <c r="S1292" s="18">
        <f t="shared" si="269"/>
        <v>73.440000000000509</v>
      </c>
      <c r="T1292" s="18">
        <f t="shared" si="270"/>
        <v>106</v>
      </c>
      <c r="U1292" s="18">
        <f t="shared" si="278"/>
        <v>87.895203904343646</v>
      </c>
      <c r="V1292" s="33">
        <f ca="1">AVERAGE(E1292:OFFSET(E1292,-V$5+1,0))</f>
        <v>7856.4985714285713</v>
      </c>
      <c r="W1292" s="33">
        <f t="shared" ca="1" si="271"/>
        <v>7988.3413772850863</v>
      </c>
      <c r="X1292" s="33">
        <f t="shared" ca="1" si="272"/>
        <v>7724.6557655720562</v>
      </c>
      <c r="Y1292" s="32">
        <f t="shared" ca="1" si="279"/>
        <v>1</v>
      </c>
    </row>
    <row r="1293" spans="1:25">
      <c r="A1293" s="5">
        <v>40270</v>
      </c>
      <c r="B1293" s="4">
        <v>8046.29</v>
      </c>
      <c r="C1293" s="4">
        <v>8050.99</v>
      </c>
      <c r="D1293" s="4">
        <v>8021.91</v>
      </c>
      <c r="E1293" s="4">
        <v>8025.93</v>
      </c>
      <c r="F1293" s="4">
        <v>3764600</v>
      </c>
      <c r="G1293" s="8">
        <f t="shared" si="281"/>
        <v>33.199999999999818</v>
      </c>
      <c r="H1293" s="8">
        <f t="shared" si="280"/>
        <v>-20.359999999999673</v>
      </c>
      <c r="I1293" s="20">
        <f t="shared" ca="1" si="273"/>
        <v>0</v>
      </c>
      <c r="J1293" s="8">
        <f t="shared" ca="1" si="274"/>
        <v>3</v>
      </c>
      <c r="K1293" s="8">
        <f t="shared" ca="1" si="275"/>
        <v>38.520000000000437</v>
      </c>
      <c r="L1293" s="8">
        <f t="shared" ca="1" si="276"/>
        <v>18310.030000000017</v>
      </c>
      <c r="M1293" s="9">
        <f ca="1">AVERAGE(E1293:OFFSET(E1293,-M$5+1,0))</f>
        <v>7905.4269999999988</v>
      </c>
      <c r="N1293" s="9">
        <f ca="1">AVERAGE(E1293:OFFSET(E1293,-N$5+1,0))</f>
        <v>7841.3419999999987</v>
      </c>
      <c r="O1293" s="9">
        <f t="shared" ca="1" si="277"/>
        <v>0</v>
      </c>
      <c r="P1293" s="14">
        <f t="shared" si="282"/>
        <v>0.16010956708019494</v>
      </c>
      <c r="Q1293" s="15">
        <f ca="1">STDEV(P1293:OFFSET(P1293,-$Q$5+1,0))</f>
        <v>0.60175277158887208</v>
      </c>
      <c r="R1293" s="15">
        <f ca="1">STDEV(P1293:OFFSET(P1293,-$R$5+1,0))</f>
        <v>1.2113033178346522</v>
      </c>
      <c r="S1293" s="18">
        <f t="shared" si="269"/>
        <v>29.079999999999927</v>
      </c>
      <c r="T1293" s="18">
        <f t="shared" si="270"/>
        <v>37.899999999999636</v>
      </c>
      <c r="U1293" s="18">
        <f t="shared" si="278"/>
        <v>81.229176717097786</v>
      </c>
      <c r="V1293" s="33">
        <f ca="1">AVERAGE(E1293:OFFSET(E1293,-V$5+1,0))</f>
        <v>7884.4278571428567</v>
      </c>
      <c r="W1293" s="33">
        <f t="shared" ca="1" si="271"/>
        <v>8006.2716222185036</v>
      </c>
      <c r="X1293" s="33">
        <f t="shared" ca="1" si="272"/>
        <v>7762.5840920672099</v>
      </c>
      <c r="Y1293" s="32">
        <f t="shared" ca="1" si="279"/>
        <v>0</v>
      </c>
    </row>
    <row r="1294" spans="1:25">
      <c r="A1294" s="5">
        <v>40274</v>
      </c>
      <c r="B1294" s="4">
        <v>8083.03</v>
      </c>
      <c r="C1294" s="4">
        <v>8128.08</v>
      </c>
      <c r="D1294" s="4">
        <v>8082.37</v>
      </c>
      <c r="E1294" s="4">
        <v>8089.65</v>
      </c>
      <c r="F1294" s="4">
        <v>4339600</v>
      </c>
      <c r="G1294" s="8">
        <f t="shared" si="281"/>
        <v>57.099999999999454</v>
      </c>
      <c r="H1294" s="8">
        <f t="shared" si="280"/>
        <v>6.6199999999998909</v>
      </c>
      <c r="I1294" s="20">
        <f t="shared" ca="1" si="273"/>
        <v>0</v>
      </c>
      <c r="J1294" s="8">
        <f t="shared" ca="1" si="274"/>
        <v>3</v>
      </c>
      <c r="K1294" s="8">
        <f t="shared" ca="1" si="275"/>
        <v>191.15999999999804</v>
      </c>
      <c r="L1294" s="8">
        <f t="shared" ca="1" si="276"/>
        <v>18501.190000000017</v>
      </c>
      <c r="M1294" s="9">
        <f ca="1">AVERAGE(E1294:OFFSET(E1294,-M$5+1,0))</f>
        <v>7930.7939999999999</v>
      </c>
      <c r="N1294" s="9">
        <f ca="1">AVERAGE(E1294:OFFSET(E1294,-N$5+1,0))</f>
        <v>7857.7110000000002</v>
      </c>
      <c r="O1294" s="9">
        <f t="shared" ca="1" si="277"/>
        <v>0</v>
      </c>
      <c r="P1294" s="14">
        <f t="shared" si="282"/>
        <v>0.79079166944386481</v>
      </c>
      <c r="Q1294" s="15">
        <f ca="1">STDEV(P1294:OFFSET(P1294,-$Q$5+1,0))</f>
        <v>0.52790026400062096</v>
      </c>
      <c r="R1294" s="15">
        <f ca="1">STDEV(P1294:OFFSET(P1294,-$R$5+1,0))</f>
        <v>1.1875811979321791</v>
      </c>
      <c r="S1294" s="18">
        <f t="shared" si="269"/>
        <v>45.710000000000036</v>
      </c>
      <c r="T1294" s="18">
        <f t="shared" si="270"/>
        <v>102.14999999999964</v>
      </c>
      <c r="U1294" s="18">
        <f t="shared" si="278"/>
        <v>84.018619821484705</v>
      </c>
      <c r="V1294" s="33">
        <f ca="1">AVERAGE(E1294:OFFSET(E1294,-V$5+1,0))</f>
        <v>7912.5721428571414</v>
      </c>
      <c r="W1294" s="33">
        <f t="shared" ca="1" si="271"/>
        <v>8038.6000725893682</v>
      </c>
      <c r="X1294" s="33">
        <f t="shared" ca="1" si="272"/>
        <v>7786.5442131249147</v>
      </c>
      <c r="Y1294" s="32">
        <f t="shared" ca="1" si="279"/>
        <v>0</v>
      </c>
    </row>
    <row r="1295" spans="1:25">
      <c r="A1295" s="5">
        <v>40275</v>
      </c>
      <c r="B1295" s="4">
        <v>8131.4</v>
      </c>
      <c r="C1295" s="4">
        <v>8133.45</v>
      </c>
      <c r="D1295" s="4">
        <v>8091.28</v>
      </c>
      <c r="E1295" s="4">
        <v>8121.78</v>
      </c>
      <c r="F1295" s="4">
        <v>4172600</v>
      </c>
      <c r="G1295" s="8">
        <f t="shared" si="281"/>
        <v>41.75</v>
      </c>
      <c r="H1295" s="8">
        <f t="shared" si="280"/>
        <v>-9.6199999999998909</v>
      </c>
      <c r="I1295" s="20">
        <f t="shared" ca="1" si="273"/>
        <v>0</v>
      </c>
      <c r="J1295" s="8">
        <f t="shared" ca="1" si="274"/>
        <v>3</v>
      </c>
      <c r="K1295" s="8">
        <f t="shared" ca="1" si="275"/>
        <v>96.390000000000327</v>
      </c>
      <c r="L1295" s="8">
        <f t="shared" ca="1" si="276"/>
        <v>18597.580000000016</v>
      </c>
      <c r="M1295" s="9">
        <f ca="1">AVERAGE(E1295:OFFSET(E1295,-M$5+1,0))</f>
        <v>7961.7850000000008</v>
      </c>
      <c r="N1295" s="9">
        <f ca="1">AVERAGE(E1295:OFFSET(E1295,-N$5+1,0))</f>
        <v>7875.2704999999987</v>
      </c>
      <c r="O1295" s="9">
        <f t="shared" ca="1" si="277"/>
        <v>0</v>
      </c>
      <c r="P1295" s="14">
        <f t="shared" si="282"/>
        <v>0.39638751263385352</v>
      </c>
      <c r="Q1295" s="15">
        <f ca="1">STDEV(P1295:OFFSET(P1295,-$Q$5+1,0))</f>
        <v>0.47978032114641611</v>
      </c>
      <c r="R1295" s="15">
        <f ca="1">STDEV(P1295:OFFSET(P1295,-$R$5+1,0))</f>
        <v>1.1805666986930747</v>
      </c>
      <c r="S1295" s="18">
        <f t="shared" si="269"/>
        <v>42.170000000000073</v>
      </c>
      <c r="T1295" s="18">
        <f t="shared" si="270"/>
        <v>43.800000000000182</v>
      </c>
      <c r="U1295" s="18">
        <f t="shared" si="278"/>
        <v>78.656137178620099</v>
      </c>
      <c r="V1295" s="33">
        <f ca="1">AVERAGE(E1295:OFFSET(E1295,-V$5+1,0))</f>
        <v>7932.1392857142846</v>
      </c>
      <c r="W1295" s="33">
        <f t="shared" ca="1" si="271"/>
        <v>8050.1234914822144</v>
      </c>
      <c r="X1295" s="33">
        <f t="shared" ca="1" si="272"/>
        <v>7814.1550799463548</v>
      </c>
      <c r="Y1295" s="32">
        <f t="shared" ca="1" si="279"/>
        <v>0</v>
      </c>
    </row>
    <row r="1296" spans="1:25">
      <c r="A1296" s="5">
        <v>40276</v>
      </c>
      <c r="B1296" s="4">
        <v>8106</v>
      </c>
      <c r="C1296" s="4">
        <v>8149.68</v>
      </c>
      <c r="D1296" s="4">
        <v>8038.37</v>
      </c>
      <c r="E1296" s="4">
        <v>8057.6</v>
      </c>
      <c r="F1296" s="4">
        <v>5082800</v>
      </c>
      <c r="G1296" s="8">
        <f t="shared" si="281"/>
        <v>-15.779999999999745</v>
      </c>
      <c r="H1296" s="8">
        <f t="shared" si="280"/>
        <v>-48.399999999999636</v>
      </c>
      <c r="I1296" s="20">
        <f t="shared" ca="1" si="273"/>
        <v>0</v>
      </c>
      <c r="J1296" s="8">
        <f t="shared" ca="1" si="274"/>
        <v>3</v>
      </c>
      <c r="K1296" s="8">
        <f t="shared" ca="1" si="275"/>
        <v>-192.53999999999814</v>
      </c>
      <c r="L1296" s="8">
        <f t="shared" ca="1" si="276"/>
        <v>18405.040000000019</v>
      </c>
      <c r="M1296" s="9">
        <f ca="1">AVERAGE(E1296:OFFSET(E1296,-M$5+1,0))</f>
        <v>7985.2740000000003</v>
      </c>
      <c r="N1296" s="9">
        <f ca="1">AVERAGE(E1296:OFFSET(E1296,-N$5+1,0))</f>
        <v>7889.1965</v>
      </c>
      <c r="O1296" s="9">
        <f t="shared" ca="1" si="277"/>
        <v>0</v>
      </c>
      <c r="P1296" s="14">
        <f t="shared" si="282"/>
        <v>-0.79335965450094847</v>
      </c>
      <c r="Q1296" s="15">
        <f ca="1">STDEV(P1296:OFFSET(P1296,-$Q$5+1,0))</f>
        <v>0.60738377302342283</v>
      </c>
      <c r="R1296" s="15">
        <f ca="1">STDEV(P1296:OFFSET(P1296,-$R$5+1,0))</f>
        <v>1.1593156608580535</v>
      </c>
      <c r="S1296" s="18">
        <f t="shared" si="269"/>
        <v>111.3100000000004</v>
      </c>
      <c r="T1296" s="18">
        <f t="shared" si="270"/>
        <v>111.3100000000004</v>
      </c>
      <c r="U1296" s="18">
        <f t="shared" si="278"/>
        <v>83.009985554804132</v>
      </c>
      <c r="V1296" s="33">
        <f ca="1">AVERAGE(E1296:OFFSET(E1296,-V$5+1,0))</f>
        <v>7944.3721428571425</v>
      </c>
      <c r="W1296" s="33">
        <f t="shared" ca="1" si="271"/>
        <v>8068.8871211893484</v>
      </c>
      <c r="X1296" s="33">
        <f t="shared" ca="1" si="272"/>
        <v>7819.8571645249367</v>
      </c>
      <c r="Y1296" s="32">
        <f t="shared" ca="1" si="279"/>
        <v>0</v>
      </c>
    </row>
    <row r="1297" spans="1:25">
      <c r="A1297" s="5">
        <v>40277</v>
      </c>
      <c r="B1297" s="4">
        <v>8073.52</v>
      </c>
      <c r="C1297" s="4">
        <v>8094.35</v>
      </c>
      <c r="D1297" s="4">
        <v>8039.41</v>
      </c>
      <c r="E1297" s="4">
        <v>8092.03</v>
      </c>
      <c r="F1297" s="4">
        <v>3819000</v>
      </c>
      <c r="G1297" s="8">
        <f t="shared" si="281"/>
        <v>15.920000000000073</v>
      </c>
      <c r="H1297" s="8">
        <f t="shared" si="280"/>
        <v>18.509999999999309</v>
      </c>
      <c r="I1297" s="20">
        <f t="shared" ca="1" si="273"/>
        <v>1</v>
      </c>
      <c r="J1297" s="8">
        <f t="shared" ca="1" si="274"/>
        <v>3</v>
      </c>
      <c r="K1297" s="8">
        <f t="shared" ca="1" si="275"/>
        <v>103.28999999999814</v>
      </c>
      <c r="L1297" s="8">
        <f t="shared" ca="1" si="276"/>
        <v>18508.330000000016</v>
      </c>
      <c r="M1297" s="9">
        <f ca="1">AVERAGE(E1297:OFFSET(E1297,-M$5+1,0))</f>
        <v>8010.6669999999995</v>
      </c>
      <c r="N1297" s="9">
        <f ca="1">AVERAGE(E1297:OFFSET(E1297,-N$5+1,0))</f>
        <v>7906.3149999999996</v>
      </c>
      <c r="O1297" s="9">
        <f t="shared" ca="1" si="277"/>
        <v>0</v>
      </c>
      <c r="P1297" s="14">
        <f t="shared" si="282"/>
        <v>0.42638812360894984</v>
      </c>
      <c r="Q1297" s="15">
        <f ca="1">STDEV(P1297:OFFSET(P1297,-$Q$5+1,0))</f>
        <v>0.6075572125212938</v>
      </c>
      <c r="R1297" s="15">
        <f ca="1">STDEV(P1297:OFFSET(P1297,-$R$5+1,0))</f>
        <v>1.1359963470673506</v>
      </c>
      <c r="S1297" s="18">
        <f t="shared" si="269"/>
        <v>54.940000000000509</v>
      </c>
      <c r="T1297" s="18">
        <f t="shared" si="270"/>
        <v>54.940000000000509</v>
      </c>
      <c r="U1297" s="18">
        <f t="shared" si="278"/>
        <v>79.267320814163654</v>
      </c>
      <c r="V1297" s="33">
        <f ca="1">AVERAGE(E1297:OFFSET(E1297,-V$5+1,0))</f>
        <v>7958.2378571428562</v>
      </c>
      <c r="W1297" s="33">
        <f t="shared" ca="1" si="271"/>
        <v>8077.1388383641015</v>
      </c>
      <c r="X1297" s="33">
        <f t="shared" ca="1" si="272"/>
        <v>7839.336875921611</v>
      </c>
      <c r="Y1297" s="32">
        <f t="shared" ca="1" si="279"/>
        <v>1</v>
      </c>
    </row>
    <row r="1298" spans="1:25">
      <c r="A1298" s="5">
        <v>40280</v>
      </c>
      <c r="B1298" s="4">
        <v>8149.76</v>
      </c>
      <c r="C1298" s="4">
        <v>8152.53</v>
      </c>
      <c r="D1298" s="4">
        <v>8092.94</v>
      </c>
      <c r="E1298" s="4">
        <v>8117.75</v>
      </c>
      <c r="F1298" s="4">
        <v>4184800</v>
      </c>
      <c r="G1298" s="8">
        <f t="shared" si="281"/>
        <v>57.730000000000473</v>
      </c>
      <c r="H1298" s="8">
        <f t="shared" si="280"/>
        <v>-32.010000000000218</v>
      </c>
      <c r="I1298" s="20">
        <f t="shared" ca="1" si="273"/>
        <v>0</v>
      </c>
      <c r="J1298" s="8">
        <f t="shared" ca="1" si="274"/>
        <v>3</v>
      </c>
      <c r="K1298" s="8">
        <f t="shared" ca="1" si="275"/>
        <v>77.160000000000764</v>
      </c>
      <c r="L1298" s="8">
        <f t="shared" ca="1" si="276"/>
        <v>18585.490000000016</v>
      </c>
      <c r="M1298" s="9">
        <f ca="1">AVERAGE(E1298:OFFSET(E1298,-M$5+1,0))</f>
        <v>8034.7559999999994</v>
      </c>
      <c r="N1298" s="9">
        <f ca="1">AVERAGE(E1298:OFFSET(E1298,-N$5+1,0))</f>
        <v>7924.7860000000001</v>
      </c>
      <c r="O1298" s="9">
        <f t="shared" ca="1" si="277"/>
        <v>0</v>
      </c>
      <c r="P1298" s="14">
        <f t="shared" si="282"/>
        <v>0.31733955160779809</v>
      </c>
      <c r="Q1298" s="15">
        <f ca="1">STDEV(P1298:OFFSET(P1298,-$Q$5+1,0))</f>
        <v>0.60448352413702799</v>
      </c>
      <c r="R1298" s="15">
        <f ca="1">STDEV(P1298:OFFSET(P1298,-$R$5+1,0))</f>
        <v>1.1143678636584551</v>
      </c>
      <c r="S1298" s="18">
        <f t="shared" si="269"/>
        <v>59.590000000000146</v>
      </c>
      <c r="T1298" s="18">
        <f t="shared" si="270"/>
        <v>60.5</v>
      </c>
      <c r="U1298" s="18">
        <f t="shared" si="278"/>
        <v>76.765011372275168</v>
      </c>
      <c r="V1298" s="33">
        <f ca="1">AVERAGE(E1298:OFFSET(E1298,-V$5+1,0))</f>
        <v>7978.3642857142859</v>
      </c>
      <c r="W1298" s="33">
        <f t="shared" ca="1" si="271"/>
        <v>8093.5118027726985</v>
      </c>
      <c r="X1298" s="33">
        <f t="shared" ca="1" si="272"/>
        <v>7863.2167686558732</v>
      </c>
      <c r="Y1298" s="32">
        <f t="shared" ca="1" si="279"/>
        <v>0</v>
      </c>
    </row>
    <row r="1299" spans="1:25">
      <c r="A1299" s="5">
        <v>40281</v>
      </c>
      <c r="B1299" s="4">
        <v>8090.54</v>
      </c>
      <c r="C1299" s="4">
        <v>8104.14</v>
      </c>
      <c r="D1299" s="4">
        <v>8022.94</v>
      </c>
      <c r="E1299" s="4">
        <v>8029.73</v>
      </c>
      <c r="F1299" s="4">
        <v>4054200</v>
      </c>
      <c r="G1299" s="8">
        <f t="shared" si="281"/>
        <v>-27.210000000000036</v>
      </c>
      <c r="H1299" s="8">
        <f t="shared" si="280"/>
        <v>-60.8100000000004</v>
      </c>
      <c r="I1299" s="20">
        <f t="shared" ca="1" si="273"/>
        <v>0</v>
      </c>
      <c r="J1299" s="8">
        <f t="shared" ca="1" si="274"/>
        <v>3</v>
      </c>
      <c r="K1299" s="8">
        <f t="shared" ca="1" si="275"/>
        <v>-264.06000000000131</v>
      </c>
      <c r="L1299" s="8">
        <f t="shared" ca="1" si="276"/>
        <v>18321.430000000015</v>
      </c>
      <c r="M1299" s="9">
        <f ca="1">AVERAGE(E1299:OFFSET(E1299,-M$5+1,0))</f>
        <v>8042.9839999999995</v>
      </c>
      <c r="N1299" s="9">
        <f ca="1">AVERAGE(E1299:OFFSET(E1299,-N$5+1,0))</f>
        <v>7944.5264999999999</v>
      </c>
      <c r="O1299" s="9">
        <f t="shared" ca="1" si="277"/>
        <v>0</v>
      </c>
      <c r="P1299" s="14">
        <f t="shared" si="282"/>
        <v>-1.0902118696965963</v>
      </c>
      <c r="Q1299" s="15">
        <f ca="1">STDEV(P1299:OFFSET(P1299,-$Q$5+1,0))</f>
        <v>0.70573322569637309</v>
      </c>
      <c r="R1299" s="15">
        <f ca="1">STDEV(P1299:OFFSET(P1299,-$R$5+1,0))</f>
        <v>1.1317746903747543</v>
      </c>
      <c r="S1299" s="18">
        <f t="shared" si="269"/>
        <v>81.200000000000728</v>
      </c>
      <c r="T1299" s="18">
        <f t="shared" si="270"/>
        <v>94.8100000000004</v>
      </c>
      <c r="U1299" s="18">
        <f t="shared" si="278"/>
        <v>79.171009855971874</v>
      </c>
      <c r="V1299" s="33">
        <f ca="1">AVERAGE(E1299:OFFSET(E1299,-V$5+1,0))</f>
        <v>7993.925714285715</v>
      </c>
      <c r="W1299" s="33">
        <f t="shared" ca="1" si="271"/>
        <v>8112.6822290696728</v>
      </c>
      <c r="X1299" s="33">
        <f t="shared" ca="1" si="272"/>
        <v>7875.1691995017572</v>
      </c>
      <c r="Y1299" s="32">
        <f t="shared" ca="1" si="279"/>
        <v>0</v>
      </c>
    </row>
    <row r="1300" spans="1:25">
      <c r="A1300" s="5">
        <v>40282</v>
      </c>
      <c r="B1300" s="4">
        <v>8077.94</v>
      </c>
      <c r="C1300" s="4">
        <v>8102.38</v>
      </c>
      <c r="D1300" s="4">
        <v>8040.01</v>
      </c>
      <c r="E1300" s="4">
        <v>8097.13</v>
      </c>
      <c r="F1300" s="4">
        <v>3749000</v>
      </c>
      <c r="G1300" s="8">
        <f t="shared" si="281"/>
        <v>48.210000000000036</v>
      </c>
      <c r="H1300" s="8">
        <f t="shared" si="280"/>
        <v>19.190000000000509</v>
      </c>
      <c r="I1300" s="20">
        <f t="shared" ca="1" si="273"/>
        <v>0</v>
      </c>
      <c r="J1300" s="8">
        <f t="shared" ca="1" si="274"/>
        <v>3</v>
      </c>
      <c r="K1300" s="8">
        <f t="shared" ca="1" si="275"/>
        <v>202.20000000000164</v>
      </c>
      <c r="L1300" s="8">
        <f t="shared" ca="1" si="276"/>
        <v>18523.630000000016</v>
      </c>
      <c r="M1300" s="9">
        <f ca="1">AVERAGE(E1300:OFFSET(E1300,-M$5+1,0))</f>
        <v>8056.4750000000004</v>
      </c>
      <c r="N1300" s="9">
        <f ca="1">AVERAGE(E1300:OFFSET(E1300,-N$5+1,0))</f>
        <v>7964.6014999999998</v>
      </c>
      <c r="O1300" s="9">
        <f t="shared" ca="1" si="277"/>
        <v>0</v>
      </c>
      <c r="P1300" s="14">
        <f t="shared" si="282"/>
        <v>0.83587744211884552</v>
      </c>
      <c r="Q1300" s="15">
        <f ca="1">STDEV(P1300:OFFSET(P1300,-$Q$5+1,0))</f>
        <v>0.74315657456766127</v>
      </c>
      <c r="R1300" s="15">
        <f ca="1">STDEV(P1300:OFFSET(P1300,-$R$5+1,0))</f>
        <v>0.86270863156851685</v>
      </c>
      <c r="S1300" s="18">
        <f t="shared" si="269"/>
        <v>62.369999999999891</v>
      </c>
      <c r="T1300" s="18">
        <f t="shared" si="270"/>
        <v>72.650000000000546</v>
      </c>
      <c r="U1300" s="18">
        <f t="shared" si="278"/>
        <v>78.301541875175701</v>
      </c>
      <c r="V1300" s="33">
        <f ca="1">AVERAGE(E1300:OFFSET(E1300,-V$5+1,0))</f>
        <v>8013.5271428571432</v>
      </c>
      <c r="W1300" s="33">
        <f t="shared" ca="1" si="271"/>
        <v>8130.9794556699071</v>
      </c>
      <c r="X1300" s="33">
        <f t="shared" ca="1" si="272"/>
        <v>7896.0748300443793</v>
      </c>
      <c r="Y1300" s="32">
        <f t="shared" ca="1" si="279"/>
        <v>0</v>
      </c>
    </row>
    <row r="1301" spans="1:25">
      <c r="A1301" s="5">
        <v>40283</v>
      </c>
      <c r="B1301" s="4">
        <v>8168.11</v>
      </c>
      <c r="C1301" s="4">
        <v>8190.01</v>
      </c>
      <c r="D1301" s="4">
        <v>8136.32</v>
      </c>
      <c r="E1301" s="4">
        <v>8171.94</v>
      </c>
      <c r="F1301" s="4">
        <v>5190600</v>
      </c>
      <c r="G1301" s="8">
        <f t="shared" si="281"/>
        <v>70.979999999999563</v>
      </c>
      <c r="H1301" s="8">
        <f t="shared" si="280"/>
        <v>3.8299999999999272</v>
      </c>
      <c r="I1301" s="20">
        <f t="shared" ca="1" si="273"/>
        <v>1</v>
      </c>
      <c r="J1301" s="8">
        <f t="shared" ca="1" si="274"/>
        <v>3</v>
      </c>
      <c r="K1301" s="8">
        <f t="shared" ca="1" si="275"/>
        <v>224.42999999999847</v>
      </c>
      <c r="L1301" s="8">
        <f t="shared" ca="1" si="276"/>
        <v>18748.060000000012</v>
      </c>
      <c r="M1301" s="9">
        <f ca="1">AVERAGE(E1301:OFFSET(E1301,-M$5+1,0))</f>
        <v>8081.6630000000005</v>
      </c>
      <c r="N1301" s="9">
        <f ca="1">AVERAGE(E1301:OFFSET(E1301,-N$5+1,0))</f>
        <v>7980.8065000000006</v>
      </c>
      <c r="O1301" s="9">
        <f t="shared" ca="1" si="277"/>
        <v>0</v>
      </c>
      <c r="P1301" s="14">
        <f t="shared" si="282"/>
        <v>0.91966568802897208</v>
      </c>
      <c r="Q1301" s="15">
        <f ca="1">STDEV(P1301:OFFSET(P1301,-$Q$5+1,0))</f>
        <v>0.73307540310553165</v>
      </c>
      <c r="R1301" s="15">
        <f ca="1">STDEV(P1301:OFFSET(P1301,-$R$5+1,0))</f>
        <v>0.8668377222771193</v>
      </c>
      <c r="S1301" s="18">
        <f t="shared" si="269"/>
        <v>53.690000000000509</v>
      </c>
      <c r="T1301" s="18">
        <f t="shared" si="270"/>
        <v>92.880000000000109</v>
      </c>
      <c r="U1301" s="18">
        <f t="shared" si="278"/>
        <v>80.245336291818958</v>
      </c>
      <c r="V1301" s="33">
        <f ca="1">AVERAGE(E1301:OFFSET(E1301,-V$5+1,0))</f>
        <v>8037.3728571428574</v>
      </c>
      <c r="W1301" s="33">
        <f t="shared" ca="1" si="271"/>
        <v>8157.7408615805862</v>
      </c>
      <c r="X1301" s="33">
        <f t="shared" ca="1" si="272"/>
        <v>7917.0048527051285</v>
      </c>
      <c r="Y1301" s="32">
        <f t="shared" ca="1" si="279"/>
        <v>1</v>
      </c>
    </row>
    <row r="1302" spans="1:25">
      <c r="A1302" s="5">
        <v>40284</v>
      </c>
      <c r="B1302" s="4">
        <v>8161.85</v>
      </c>
      <c r="C1302" s="4">
        <v>8162.85</v>
      </c>
      <c r="D1302" s="4">
        <v>8090.68</v>
      </c>
      <c r="E1302" s="4">
        <v>8111.57</v>
      </c>
      <c r="F1302" s="4">
        <v>4369400</v>
      </c>
      <c r="G1302" s="8">
        <f t="shared" si="281"/>
        <v>-10.089999999999236</v>
      </c>
      <c r="H1302" s="8">
        <f t="shared" si="280"/>
        <v>-50.280000000000655</v>
      </c>
      <c r="I1302" s="20">
        <f t="shared" ca="1" si="273"/>
        <v>0</v>
      </c>
      <c r="J1302" s="8">
        <f t="shared" ca="1" si="274"/>
        <v>3</v>
      </c>
      <c r="K1302" s="8">
        <f t="shared" ca="1" si="275"/>
        <v>-181.10999999999967</v>
      </c>
      <c r="L1302" s="8">
        <f t="shared" ca="1" si="276"/>
        <v>18566.950000000012</v>
      </c>
      <c r="M1302" s="9">
        <f ca="1">AVERAGE(E1302:OFFSET(E1302,-M$5+1,0))</f>
        <v>8091.5109999999986</v>
      </c>
      <c r="N1302" s="9">
        <f ca="1">AVERAGE(E1302:OFFSET(E1302,-N$5+1,0))</f>
        <v>7992.0680000000011</v>
      </c>
      <c r="O1302" s="9">
        <f t="shared" ca="1" si="277"/>
        <v>0</v>
      </c>
      <c r="P1302" s="14">
        <f t="shared" si="282"/>
        <v>-0.74148972302027272</v>
      </c>
      <c r="Q1302" s="15">
        <f ca="1">STDEV(P1302:OFFSET(P1302,-$Q$5+1,0))</f>
        <v>0.7343689321937048</v>
      </c>
      <c r="R1302" s="15">
        <f ca="1">STDEV(P1302:OFFSET(P1302,-$R$5+1,0))</f>
        <v>0.83821236817411671</v>
      </c>
      <c r="S1302" s="18">
        <f t="shared" si="269"/>
        <v>72.170000000000073</v>
      </c>
      <c r="T1302" s="18">
        <f t="shared" si="270"/>
        <v>81.259999999999309</v>
      </c>
      <c r="U1302" s="18">
        <f t="shared" si="278"/>
        <v>80.380624786243018</v>
      </c>
      <c r="V1302" s="33">
        <f ca="1">AVERAGE(E1302:OFFSET(E1302,-V$5+1,0))</f>
        <v>8054.1378571428568</v>
      </c>
      <c r="W1302" s="33">
        <f t="shared" ca="1" si="271"/>
        <v>8174.7087943222214</v>
      </c>
      <c r="X1302" s="33">
        <f t="shared" ca="1" si="272"/>
        <v>7933.5669199634922</v>
      </c>
      <c r="Y1302" s="32">
        <f t="shared" ca="1" si="279"/>
        <v>0</v>
      </c>
    </row>
    <row r="1303" spans="1:25">
      <c r="A1303" s="5">
        <v>40287</v>
      </c>
      <c r="B1303" s="4">
        <v>8003.02</v>
      </c>
      <c r="C1303" s="4">
        <v>8042.05</v>
      </c>
      <c r="D1303" s="4">
        <v>7845.77</v>
      </c>
      <c r="E1303" s="4">
        <v>7854.22</v>
      </c>
      <c r="F1303" s="4">
        <v>5187400</v>
      </c>
      <c r="G1303" s="8">
        <f t="shared" si="281"/>
        <v>-108.54999999999927</v>
      </c>
      <c r="H1303" s="8">
        <f t="shared" si="280"/>
        <v>-148.80000000000018</v>
      </c>
      <c r="I1303" s="20">
        <f t="shared" ca="1" si="273"/>
        <v>-1</v>
      </c>
      <c r="J1303" s="8">
        <f t="shared" ca="1" si="274"/>
        <v>3</v>
      </c>
      <c r="K1303" s="8">
        <f t="shared" ca="1" si="275"/>
        <v>-772.04999999999836</v>
      </c>
      <c r="L1303" s="8">
        <f t="shared" ca="1" si="276"/>
        <v>17794.900000000012</v>
      </c>
      <c r="M1303" s="9">
        <f ca="1">AVERAGE(E1303:OFFSET(E1303,-M$5+1,0))</f>
        <v>8074.3399999999992</v>
      </c>
      <c r="N1303" s="9">
        <f ca="1">AVERAGE(E1303:OFFSET(E1303,-N$5+1,0))</f>
        <v>7989.883499999999</v>
      </c>
      <c r="O1303" s="9">
        <f t="shared" ca="1" si="277"/>
        <v>0</v>
      </c>
      <c r="P1303" s="14">
        <f t="shared" si="282"/>
        <v>-3.2240470586319909</v>
      </c>
      <c r="Q1303" s="15">
        <f ca="1">STDEV(P1303:OFFSET(P1303,-$Q$5+1,0))</f>
        <v>1.2868575260516506</v>
      </c>
      <c r="R1303" s="15">
        <f ca="1">STDEV(P1303:OFFSET(P1303,-$R$5+1,0))</f>
        <v>0.99012470384598728</v>
      </c>
      <c r="S1303" s="18">
        <f t="shared" si="269"/>
        <v>196.27999999999975</v>
      </c>
      <c r="T1303" s="18">
        <f t="shared" si="270"/>
        <v>265.79999999999927</v>
      </c>
      <c r="U1303" s="18">
        <f t="shared" si="278"/>
        <v>105.10320814807719</v>
      </c>
      <c r="V1303" s="33">
        <f ca="1">AVERAGE(E1303:OFFSET(E1303,-V$5+1,0))</f>
        <v>8047.4785714285726</v>
      </c>
      <c r="W1303" s="33">
        <f t="shared" ca="1" si="271"/>
        <v>8205.1333836506892</v>
      </c>
      <c r="X1303" s="33">
        <f t="shared" ca="1" si="272"/>
        <v>7889.823759206457</v>
      </c>
      <c r="Y1303" s="32">
        <f t="shared" ca="1" si="279"/>
        <v>-1</v>
      </c>
    </row>
    <row r="1304" spans="1:25">
      <c r="A1304" s="5">
        <v>40288</v>
      </c>
      <c r="B1304" s="4">
        <v>7908.11</v>
      </c>
      <c r="C1304" s="4">
        <v>7923.27</v>
      </c>
      <c r="D1304" s="4">
        <v>7842.07</v>
      </c>
      <c r="E1304" s="4">
        <v>7900.42</v>
      </c>
      <c r="F1304" s="4">
        <v>3753600</v>
      </c>
      <c r="G1304" s="8">
        <f t="shared" si="281"/>
        <v>53.889999999999418</v>
      </c>
      <c r="H1304" s="8">
        <f t="shared" si="280"/>
        <v>-7.6899999999995998</v>
      </c>
      <c r="I1304" s="20">
        <f t="shared" ca="1" si="273"/>
        <v>0</v>
      </c>
      <c r="J1304" s="8">
        <f t="shared" ca="1" si="274"/>
        <v>2</v>
      </c>
      <c r="K1304" s="8">
        <f t="shared" ca="1" si="275"/>
        <v>146.28999999999905</v>
      </c>
      <c r="L1304" s="8">
        <f t="shared" ca="1" si="276"/>
        <v>17941.19000000001</v>
      </c>
      <c r="M1304" s="9">
        <f ca="1">AVERAGE(E1304:OFFSET(E1304,-M$5+1,0))</f>
        <v>8055.4169999999995</v>
      </c>
      <c r="N1304" s="9">
        <f ca="1">AVERAGE(E1304:OFFSET(E1304,-N$5+1,0))</f>
        <v>7993.1055000000006</v>
      </c>
      <c r="O1304" s="9">
        <f t="shared" ca="1" si="277"/>
        <v>0</v>
      </c>
      <c r="P1304" s="14">
        <f t="shared" si="282"/>
        <v>0.58649556487596954</v>
      </c>
      <c r="Q1304" s="15">
        <f ca="1">STDEV(P1304:OFFSET(P1304,-$Q$5+1,0))</f>
        <v>1.270612625229472</v>
      </c>
      <c r="R1304" s="15">
        <f ca="1">STDEV(P1304:OFFSET(P1304,-$R$5+1,0))</f>
        <v>0.96524967699079922</v>
      </c>
      <c r="S1304" s="18">
        <f t="shared" si="269"/>
        <v>81.200000000000728</v>
      </c>
      <c r="T1304" s="18">
        <f t="shared" si="270"/>
        <v>81.200000000000728</v>
      </c>
      <c r="U1304" s="18">
        <f t="shared" si="278"/>
        <v>101.91611372833367</v>
      </c>
      <c r="V1304" s="33">
        <f ca="1">AVERAGE(E1304:OFFSET(E1304,-V$5+1,0))</f>
        <v>8043.0642857142866</v>
      </c>
      <c r="W1304" s="33">
        <f t="shared" ca="1" si="271"/>
        <v>8195.938456306787</v>
      </c>
      <c r="X1304" s="33">
        <f t="shared" ca="1" si="272"/>
        <v>7890.1901151217862</v>
      </c>
      <c r="Y1304" s="32">
        <f t="shared" ca="1" si="279"/>
        <v>0</v>
      </c>
    </row>
    <row r="1305" spans="1:25">
      <c r="A1305" s="5">
        <v>40289</v>
      </c>
      <c r="B1305" s="4">
        <v>7949.96</v>
      </c>
      <c r="C1305" s="4">
        <v>7998.76</v>
      </c>
      <c r="D1305" s="4">
        <v>7947.9</v>
      </c>
      <c r="E1305" s="4">
        <v>7990.53</v>
      </c>
      <c r="F1305" s="4">
        <v>3901200</v>
      </c>
      <c r="G1305" s="8">
        <f t="shared" si="281"/>
        <v>49.539999999999964</v>
      </c>
      <c r="H1305" s="8">
        <f t="shared" si="280"/>
        <v>40.569999999999709</v>
      </c>
      <c r="I1305" s="20">
        <f t="shared" ca="1" si="273"/>
        <v>0</v>
      </c>
      <c r="J1305" s="8">
        <f t="shared" ca="1" si="274"/>
        <v>2</v>
      </c>
      <c r="K1305" s="8">
        <f t="shared" ca="1" si="275"/>
        <v>180.21999999999935</v>
      </c>
      <c r="L1305" s="8">
        <f t="shared" ca="1" si="276"/>
        <v>18121.410000000011</v>
      </c>
      <c r="M1305" s="9">
        <f ca="1">AVERAGE(E1305:OFFSET(E1305,-M$5+1,0))</f>
        <v>8042.2919999999995</v>
      </c>
      <c r="N1305" s="9">
        <f ca="1">AVERAGE(E1305:OFFSET(E1305,-N$5+1,0))</f>
        <v>8002.0385000000006</v>
      </c>
      <c r="O1305" s="9">
        <f t="shared" ca="1" si="277"/>
        <v>0</v>
      </c>
      <c r="P1305" s="14">
        <f t="shared" si="282"/>
        <v>1.1341167877645024</v>
      </c>
      <c r="Q1305" s="15">
        <f ca="1">STDEV(P1305:OFFSET(P1305,-$Q$5+1,0))</f>
        <v>1.3314159415389861</v>
      </c>
      <c r="R1305" s="15">
        <f ca="1">STDEV(P1305:OFFSET(P1305,-$R$5+1,0))</f>
        <v>0.97701714069820145</v>
      </c>
      <c r="S1305" s="18">
        <f t="shared" si="269"/>
        <v>50.860000000000582</v>
      </c>
      <c r="T1305" s="18">
        <f t="shared" si="270"/>
        <v>98.340000000000146</v>
      </c>
      <c r="U1305" s="18">
        <f t="shared" si="278"/>
        <v>101.43929856455587</v>
      </c>
      <c r="V1305" s="33">
        <f ca="1">AVERAGE(E1305:OFFSET(E1305,-V$5+1,0))</f>
        <v>8048.0978571428577</v>
      </c>
      <c r="W1305" s="33">
        <f t="shared" ca="1" si="271"/>
        <v>8200.2568049896909</v>
      </c>
      <c r="X1305" s="33">
        <f t="shared" ca="1" si="272"/>
        <v>7895.9389092960237</v>
      </c>
      <c r="Y1305" s="32">
        <f t="shared" ca="1" si="279"/>
        <v>0</v>
      </c>
    </row>
    <row r="1306" spans="1:25">
      <c r="A1306" s="5">
        <v>40290</v>
      </c>
      <c r="B1306" s="4">
        <v>7948.89</v>
      </c>
      <c r="C1306" s="4">
        <v>7985.49</v>
      </c>
      <c r="D1306" s="4">
        <v>7897.14</v>
      </c>
      <c r="E1306" s="4">
        <v>7978.69</v>
      </c>
      <c r="F1306" s="4">
        <v>3692800</v>
      </c>
      <c r="G1306" s="8">
        <f t="shared" si="281"/>
        <v>-41.639999999999418</v>
      </c>
      <c r="H1306" s="8">
        <f t="shared" si="280"/>
        <v>29.799999999999272</v>
      </c>
      <c r="I1306" s="20">
        <f t="shared" ca="1" si="273"/>
        <v>0</v>
      </c>
      <c r="J1306" s="8">
        <f t="shared" ca="1" si="274"/>
        <v>2</v>
      </c>
      <c r="K1306" s="8">
        <f t="shared" ca="1" si="275"/>
        <v>-23.680000000000291</v>
      </c>
      <c r="L1306" s="8">
        <f t="shared" ca="1" si="276"/>
        <v>18097.73000000001</v>
      </c>
      <c r="M1306" s="9">
        <f ca="1">AVERAGE(E1306:OFFSET(E1306,-M$5+1,0))</f>
        <v>8034.4010000000007</v>
      </c>
      <c r="N1306" s="9">
        <f ca="1">AVERAGE(E1306:OFFSET(E1306,-N$5+1,0))</f>
        <v>8009.8375000000015</v>
      </c>
      <c r="O1306" s="9">
        <f t="shared" ca="1" si="277"/>
        <v>0</v>
      </c>
      <c r="P1306" s="14">
        <f t="shared" si="282"/>
        <v>-0.14828529094764314</v>
      </c>
      <c r="Q1306" s="15">
        <f ca="1">STDEV(P1306:OFFSET(P1306,-$Q$5+1,0))</f>
        <v>1.312976552731054</v>
      </c>
      <c r="R1306" s="15">
        <f ca="1">STDEV(P1306:OFFSET(P1306,-$R$5+1,0))</f>
        <v>0.96402614838113365</v>
      </c>
      <c r="S1306" s="18">
        <f t="shared" si="269"/>
        <v>88.349999999999454</v>
      </c>
      <c r="T1306" s="18">
        <f t="shared" si="270"/>
        <v>93.389999999999418</v>
      </c>
      <c r="U1306" s="18">
        <f t="shared" si="278"/>
        <v>100.36605875594834</v>
      </c>
      <c r="V1306" s="33">
        <f ca="1">AVERAGE(E1306:OFFSET(E1306,-V$5+1,0))</f>
        <v>8045.6407142857133</v>
      </c>
      <c r="W1306" s="33">
        <f t="shared" ca="1" si="271"/>
        <v>8196.1898024196362</v>
      </c>
      <c r="X1306" s="33">
        <f t="shared" ca="1" si="272"/>
        <v>7895.0916261517905</v>
      </c>
      <c r="Y1306" s="32">
        <f t="shared" ca="1" si="279"/>
        <v>0</v>
      </c>
    </row>
    <row r="1307" spans="1:25">
      <c r="A1307" s="5">
        <v>40291</v>
      </c>
      <c r="B1307" s="4">
        <v>8021.71</v>
      </c>
      <c r="C1307" s="4">
        <v>8030.11</v>
      </c>
      <c r="D1307" s="4">
        <v>7996.77</v>
      </c>
      <c r="E1307" s="4">
        <v>8004.89</v>
      </c>
      <c r="F1307" s="4">
        <v>4027600</v>
      </c>
      <c r="G1307" s="8">
        <f t="shared" si="281"/>
        <v>43.020000000000437</v>
      </c>
      <c r="H1307" s="8">
        <f t="shared" si="280"/>
        <v>-16.819999999999709</v>
      </c>
      <c r="I1307" s="20">
        <f t="shared" ca="1" si="273"/>
        <v>0</v>
      </c>
      <c r="J1307" s="8">
        <f t="shared" ca="1" si="274"/>
        <v>2</v>
      </c>
      <c r="K1307" s="8">
        <f t="shared" ca="1" si="275"/>
        <v>52.400000000001455</v>
      </c>
      <c r="L1307" s="8">
        <f t="shared" ca="1" si="276"/>
        <v>18150.130000000012</v>
      </c>
      <c r="M1307" s="9">
        <f ca="1">AVERAGE(E1307:OFFSET(E1307,-M$5+1,0))</f>
        <v>8025.6869999999999</v>
      </c>
      <c r="N1307" s="9">
        <f ca="1">AVERAGE(E1307:OFFSET(E1307,-N$5+1,0))</f>
        <v>8018.1770000000015</v>
      </c>
      <c r="O1307" s="9">
        <f t="shared" ca="1" si="277"/>
        <v>0</v>
      </c>
      <c r="P1307" s="14">
        <f t="shared" si="282"/>
        <v>0.32783673577248479</v>
      </c>
      <c r="Q1307" s="15">
        <f ca="1">STDEV(P1307:OFFSET(P1307,-$Q$5+1,0))</f>
        <v>1.3089634500809322</v>
      </c>
      <c r="R1307" s="15">
        <f ca="1">STDEV(P1307:OFFSET(P1307,-$R$5+1,0))</f>
        <v>0.93233254963193068</v>
      </c>
      <c r="S1307" s="18">
        <f t="shared" si="269"/>
        <v>33.339999999999236</v>
      </c>
      <c r="T1307" s="18">
        <f t="shared" si="270"/>
        <v>51.420000000000073</v>
      </c>
      <c r="U1307" s="18">
        <f t="shared" si="278"/>
        <v>93.839917588488575</v>
      </c>
      <c r="V1307" s="33">
        <f ca="1">AVERAGE(E1307:OFFSET(E1307,-V$5+1,0))</f>
        <v>8044.1378571428568</v>
      </c>
      <c r="W1307" s="33">
        <f t="shared" ca="1" si="271"/>
        <v>8184.8977335255895</v>
      </c>
      <c r="X1307" s="33">
        <f t="shared" ca="1" si="272"/>
        <v>7903.377980760124</v>
      </c>
      <c r="Y1307" s="32">
        <f t="shared" ca="1" si="279"/>
        <v>0</v>
      </c>
    </row>
    <row r="1308" spans="1:25">
      <c r="A1308" s="5">
        <v>40294</v>
      </c>
      <c r="B1308" s="4">
        <v>8107.22</v>
      </c>
      <c r="C1308" s="4">
        <v>8168.47</v>
      </c>
      <c r="D1308" s="4">
        <v>8093.14</v>
      </c>
      <c r="E1308" s="4">
        <v>8158.14</v>
      </c>
      <c r="F1308" s="4">
        <v>4437400</v>
      </c>
      <c r="G1308" s="8">
        <f t="shared" si="281"/>
        <v>102.32999999999993</v>
      </c>
      <c r="H1308" s="8">
        <f t="shared" si="280"/>
        <v>50.920000000000073</v>
      </c>
      <c r="I1308" s="20">
        <f t="shared" ca="1" si="273"/>
        <v>0</v>
      </c>
      <c r="J1308" s="8">
        <f t="shared" ca="1" si="274"/>
        <v>2</v>
      </c>
      <c r="K1308" s="8">
        <f t="shared" ca="1" si="275"/>
        <v>306.5</v>
      </c>
      <c r="L1308" s="8">
        <f t="shared" ca="1" si="276"/>
        <v>18456.630000000012</v>
      </c>
      <c r="M1308" s="9">
        <f ca="1">AVERAGE(E1308:OFFSET(E1308,-M$5+1,0))</f>
        <v>8029.7259999999997</v>
      </c>
      <c r="N1308" s="9">
        <f ca="1">AVERAGE(E1308:OFFSET(E1308,-N$5+1,0))</f>
        <v>8032.2410000000018</v>
      </c>
      <c r="O1308" s="9">
        <f t="shared" ca="1" si="277"/>
        <v>-1</v>
      </c>
      <c r="P1308" s="14">
        <f t="shared" si="282"/>
        <v>1.8963596874360475</v>
      </c>
      <c r="Q1308" s="15">
        <f ca="1">STDEV(P1308:OFFSET(P1308,-$Q$5+1,0))</f>
        <v>1.4532926119368386</v>
      </c>
      <c r="R1308" s="15">
        <f ca="1">STDEV(P1308:OFFSET(P1308,-$R$5+1,0))</f>
        <v>0.97057347254588322</v>
      </c>
      <c r="S1308" s="18">
        <f t="shared" si="269"/>
        <v>75.329999999999927</v>
      </c>
      <c r="T1308" s="18">
        <f t="shared" si="270"/>
        <v>163.57999999999993</v>
      </c>
      <c r="U1308" s="18">
        <f t="shared" si="278"/>
        <v>103.13859524335675</v>
      </c>
      <c r="V1308" s="33">
        <f ca="1">AVERAGE(E1308:OFFSET(E1308,-V$5+1,0))</f>
        <v>8049.03</v>
      </c>
      <c r="W1308" s="33">
        <f t="shared" ca="1" si="271"/>
        <v>8203.7378928650342</v>
      </c>
      <c r="X1308" s="33">
        <f t="shared" ca="1" si="272"/>
        <v>7894.3221071349644</v>
      </c>
      <c r="Y1308" s="32">
        <f t="shared" ca="1" si="279"/>
        <v>0</v>
      </c>
    </row>
    <row r="1309" spans="1:25">
      <c r="A1309" s="5">
        <v>40295</v>
      </c>
      <c r="B1309" s="4">
        <v>8174.85</v>
      </c>
      <c r="C1309" s="4">
        <v>8174.85</v>
      </c>
      <c r="D1309" s="4">
        <v>8121.14</v>
      </c>
      <c r="E1309" s="4">
        <v>8146.44</v>
      </c>
      <c r="F1309" s="4">
        <v>3716000</v>
      </c>
      <c r="G1309" s="8">
        <f t="shared" si="281"/>
        <v>16.710000000000036</v>
      </c>
      <c r="H1309" s="8">
        <f t="shared" si="280"/>
        <v>-28.410000000000764</v>
      </c>
      <c r="I1309" s="20">
        <f t="shared" ca="1" si="273"/>
        <v>0</v>
      </c>
      <c r="J1309" s="8">
        <f t="shared" ca="1" si="274"/>
        <v>2</v>
      </c>
      <c r="K1309" s="8">
        <f t="shared" ca="1" si="275"/>
        <v>-23.400000000001455</v>
      </c>
      <c r="L1309" s="8">
        <f t="shared" ca="1" si="276"/>
        <v>18433.23000000001</v>
      </c>
      <c r="M1309" s="9">
        <f ca="1">AVERAGE(E1309:OFFSET(E1309,-M$5+1,0))</f>
        <v>8041.3969999999999</v>
      </c>
      <c r="N1309" s="9">
        <f ca="1">AVERAGE(E1309:OFFSET(E1309,-N$5+1,0))</f>
        <v>8042.1905000000015</v>
      </c>
      <c r="O1309" s="9">
        <f t="shared" ca="1" si="277"/>
        <v>0</v>
      </c>
      <c r="P1309" s="14">
        <f t="shared" si="282"/>
        <v>-0.14351798093846421</v>
      </c>
      <c r="Q1309" s="15">
        <f ca="1">STDEV(P1309:OFFSET(P1309,-$Q$5+1,0))</f>
        <v>1.4006734517007129</v>
      </c>
      <c r="R1309" s="15">
        <f ca="1">STDEV(P1309:OFFSET(P1309,-$R$5+1,0))</f>
        <v>0.93419592847285793</v>
      </c>
      <c r="S1309" s="18">
        <f t="shared" si="269"/>
        <v>53.710000000000036</v>
      </c>
      <c r="T1309" s="18">
        <f t="shared" si="270"/>
        <v>53.710000000000036</v>
      </c>
      <c r="U1309" s="18">
        <f t="shared" si="278"/>
        <v>96.548115877575853</v>
      </c>
      <c r="V1309" s="33">
        <f ca="1">AVERAGE(E1309:OFFSET(E1309,-V$5+1,0))</f>
        <v>8050.7914285714287</v>
      </c>
      <c r="W1309" s="33">
        <f t="shared" ca="1" si="271"/>
        <v>8195.6136023877916</v>
      </c>
      <c r="X1309" s="33">
        <f t="shared" ca="1" si="272"/>
        <v>7905.9692547550649</v>
      </c>
      <c r="Y1309" s="32">
        <f t="shared" ca="1" si="279"/>
        <v>0</v>
      </c>
    </row>
    <row r="1310" spans="1:25">
      <c r="A1310" s="5">
        <v>40296</v>
      </c>
      <c r="B1310" s="4">
        <v>7944.7</v>
      </c>
      <c r="C1310" s="4">
        <v>8092.48</v>
      </c>
      <c r="D1310" s="4">
        <v>7944.7</v>
      </c>
      <c r="E1310" s="4">
        <v>8081.55</v>
      </c>
      <c r="F1310" s="4">
        <v>4334800</v>
      </c>
      <c r="G1310" s="8">
        <f t="shared" si="281"/>
        <v>-201.73999999999978</v>
      </c>
      <c r="H1310" s="8">
        <f t="shared" si="280"/>
        <v>136.85000000000036</v>
      </c>
      <c r="I1310" s="20">
        <f t="shared" ca="1" si="273"/>
        <v>0</v>
      </c>
      <c r="J1310" s="8">
        <f t="shared" ca="1" si="274"/>
        <v>2</v>
      </c>
      <c r="K1310" s="8">
        <f t="shared" ca="1" si="275"/>
        <v>-129.77999999999884</v>
      </c>
      <c r="L1310" s="8">
        <f t="shared" ca="1" si="276"/>
        <v>18303.450000000012</v>
      </c>
      <c r="M1310" s="9">
        <f ca="1">AVERAGE(E1310:OFFSET(E1310,-M$5+1,0))</f>
        <v>8039.8389999999999</v>
      </c>
      <c r="N1310" s="9">
        <f ca="1">AVERAGE(E1310:OFFSET(E1310,-N$5+1,0))</f>
        <v>8048.1570000000011</v>
      </c>
      <c r="O1310" s="9">
        <f t="shared" ca="1" si="277"/>
        <v>0</v>
      </c>
      <c r="P1310" s="14">
        <f t="shared" si="282"/>
        <v>-0.79973361887943484</v>
      </c>
      <c r="Q1310" s="15">
        <f ca="1">STDEV(P1310:OFFSET(P1310,-$Q$5+1,0))</f>
        <v>1.4064287596105127</v>
      </c>
      <c r="R1310" s="15">
        <f ca="1">STDEV(P1310:OFFSET(P1310,-$R$5+1,0))</f>
        <v>0.94683135429941656</v>
      </c>
      <c r="S1310" s="18">
        <f t="shared" si="269"/>
        <v>147.77999999999975</v>
      </c>
      <c r="T1310" s="18">
        <f t="shared" si="270"/>
        <v>201.73999999999978</v>
      </c>
      <c r="U1310" s="18">
        <f t="shared" si="278"/>
        <v>110.57370042723238</v>
      </c>
      <c r="V1310" s="33">
        <f ca="1">AVERAGE(E1310:OFFSET(E1310,-V$5+1,0))</f>
        <v>8052.5021428571436</v>
      </c>
      <c r="W1310" s="33">
        <f t="shared" ca="1" si="271"/>
        <v>8218.362693497993</v>
      </c>
      <c r="X1310" s="33">
        <f t="shared" ca="1" si="272"/>
        <v>7886.6415922162951</v>
      </c>
      <c r="Y1310" s="32">
        <f t="shared" ca="1" si="279"/>
        <v>0</v>
      </c>
    </row>
    <row r="1311" spans="1:25">
      <c r="A1311" s="5">
        <v>40297</v>
      </c>
      <c r="B1311" s="4">
        <v>8105.96</v>
      </c>
      <c r="C1311" s="4">
        <v>8107.36</v>
      </c>
      <c r="D1311" s="4">
        <v>8053.02</v>
      </c>
      <c r="E1311" s="4">
        <v>8054.05</v>
      </c>
      <c r="F1311" s="4">
        <v>4648600</v>
      </c>
      <c r="G1311" s="8">
        <f t="shared" si="281"/>
        <v>24.409999999999854</v>
      </c>
      <c r="H1311" s="8">
        <f t="shared" si="280"/>
        <v>-51.909999999999854</v>
      </c>
      <c r="I1311" s="20">
        <f t="shared" ca="1" si="273"/>
        <v>0</v>
      </c>
      <c r="J1311" s="8">
        <f t="shared" ca="1" si="274"/>
        <v>2</v>
      </c>
      <c r="K1311" s="8">
        <f t="shared" ca="1" si="275"/>
        <v>-55</v>
      </c>
      <c r="L1311" s="8">
        <f t="shared" ca="1" si="276"/>
        <v>18248.450000000012</v>
      </c>
      <c r="M1311" s="9">
        <f ca="1">AVERAGE(E1311:OFFSET(E1311,-M$5+1,0))</f>
        <v>8028.05</v>
      </c>
      <c r="N1311" s="9">
        <f ca="1">AVERAGE(E1311:OFFSET(E1311,-N$5+1,0))</f>
        <v>8054.8564999999999</v>
      </c>
      <c r="O1311" s="9">
        <f t="shared" ca="1" si="277"/>
        <v>0</v>
      </c>
      <c r="P1311" s="14">
        <f t="shared" si="282"/>
        <v>-0.34086153134791713</v>
      </c>
      <c r="Q1311" s="15">
        <f ca="1">STDEV(P1311:OFFSET(P1311,-$Q$5+1,0))</f>
        <v>1.3689140104685233</v>
      </c>
      <c r="R1311" s="15">
        <f ca="1">STDEV(P1311:OFFSET(P1311,-$R$5+1,0))</f>
        <v>0.94900614571037334</v>
      </c>
      <c r="S1311" s="18">
        <f t="shared" si="269"/>
        <v>54.339999999999236</v>
      </c>
      <c r="T1311" s="18">
        <f t="shared" si="270"/>
        <v>54.339999999999236</v>
      </c>
      <c r="U1311" s="18">
        <f t="shared" si="278"/>
        <v>103.0758737036013</v>
      </c>
      <c r="V1311" s="33">
        <f ca="1">AVERAGE(E1311:OFFSET(E1311,-V$5+1,0))</f>
        <v>8049.7892857142861</v>
      </c>
      <c r="W1311" s="33">
        <f t="shared" ca="1" si="271"/>
        <v>8204.4030962696888</v>
      </c>
      <c r="X1311" s="33">
        <f t="shared" ca="1" si="272"/>
        <v>7895.1754751588842</v>
      </c>
      <c r="Y1311" s="32">
        <f t="shared" ca="1" si="279"/>
        <v>0</v>
      </c>
    </row>
    <row r="1312" spans="1:25">
      <c r="A1312" s="5">
        <v>40298</v>
      </c>
      <c r="B1312" s="4">
        <v>8116.39</v>
      </c>
      <c r="C1312" s="4">
        <v>8163.94</v>
      </c>
      <c r="D1312" s="4">
        <v>7999.28</v>
      </c>
      <c r="E1312" s="4">
        <v>8004.25</v>
      </c>
      <c r="F1312" s="4">
        <v>5150600</v>
      </c>
      <c r="G1312" s="8">
        <f t="shared" si="281"/>
        <v>62.340000000000146</v>
      </c>
      <c r="H1312" s="8">
        <f t="shared" si="280"/>
        <v>-112.14000000000033</v>
      </c>
      <c r="I1312" s="20">
        <f t="shared" ca="1" si="273"/>
        <v>0</v>
      </c>
      <c r="J1312" s="8">
        <f t="shared" ca="1" si="274"/>
        <v>2</v>
      </c>
      <c r="K1312" s="8">
        <f t="shared" ca="1" si="275"/>
        <v>-99.600000000000364</v>
      </c>
      <c r="L1312" s="8">
        <f t="shared" ca="1" si="276"/>
        <v>18148.850000000013</v>
      </c>
      <c r="M1312" s="9">
        <f ca="1">AVERAGE(E1312:OFFSET(E1312,-M$5+1,0))</f>
        <v>8017.3180000000011</v>
      </c>
      <c r="N1312" s="9">
        <f ca="1">AVERAGE(E1312:OFFSET(E1312,-N$5+1,0))</f>
        <v>8054.4144999999971</v>
      </c>
      <c r="O1312" s="9">
        <f t="shared" ca="1" si="277"/>
        <v>0</v>
      </c>
      <c r="P1312" s="14">
        <f t="shared" si="282"/>
        <v>-0.62024198888362314</v>
      </c>
      <c r="Q1312" s="15">
        <f ca="1">STDEV(P1312:OFFSET(P1312,-$Q$5+1,0))</f>
        <v>1.3635733604515934</v>
      </c>
      <c r="R1312" s="15">
        <f ca="1">STDEV(P1312:OFFSET(P1312,-$R$5+1,0))</f>
        <v>0.9452383929290652</v>
      </c>
      <c r="S1312" s="18">
        <f t="shared" si="269"/>
        <v>164.65999999999985</v>
      </c>
      <c r="T1312" s="18">
        <f t="shared" si="270"/>
        <v>164.65999999999985</v>
      </c>
      <c r="U1312" s="18">
        <f t="shared" si="278"/>
        <v>111.28709054312111</v>
      </c>
      <c r="V1312" s="33">
        <f ca="1">AVERAGE(E1312:OFFSET(E1312,-V$5+1,0))</f>
        <v>8041.6821428571429</v>
      </c>
      <c r="W1312" s="33">
        <f t="shared" ca="1" si="271"/>
        <v>8208.6127786718243</v>
      </c>
      <c r="X1312" s="33">
        <f t="shared" ca="1" si="272"/>
        <v>7874.7515070424615</v>
      </c>
      <c r="Y1312" s="32">
        <f t="shared" ca="1" si="279"/>
        <v>0</v>
      </c>
    </row>
    <row r="1313" spans="1:25">
      <c r="A1313" s="5">
        <v>40301</v>
      </c>
      <c r="B1313" s="4">
        <v>7979.8</v>
      </c>
      <c r="C1313" s="4">
        <v>8022.45</v>
      </c>
      <c r="D1313" s="4">
        <v>7916.04</v>
      </c>
      <c r="E1313" s="4">
        <v>7952.17</v>
      </c>
      <c r="F1313" s="4">
        <v>3430400</v>
      </c>
      <c r="G1313" s="8">
        <f t="shared" si="281"/>
        <v>-24.449999999999818</v>
      </c>
      <c r="H1313" s="8">
        <f t="shared" si="280"/>
        <v>-27.630000000000109</v>
      </c>
      <c r="I1313" s="20">
        <f t="shared" ca="1" si="273"/>
        <v>0</v>
      </c>
      <c r="J1313" s="8">
        <f t="shared" ca="1" si="274"/>
        <v>2</v>
      </c>
      <c r="K1313" s="8">
        <f t="shared" ca="1" si="275"/>
        <v>-104.15999999999985</v>
      </c>
      <c r="L1313" s="8">
        <f t="shared" ca="1" si="276"/>
        <v>18044.690000000013</v>
      </c>
      <c r="M1313" s="9">
        <f ca="1">AVERAGE(E1313:OFFSET(E1313,-M$5+1,0))</f>
        <v>8027.1130000000003</v>
      </c>
      <c r="N1313" s="9">
        <f ca="1">AVERAGE(E1313:OFFSET(E1313,-N$5+1,0))</f>
        <v>8050.7264999999998</v>
      </c>
      <c r="O1313" s="9">
        <f t="shared" ca="1" si="277"/>
        <v>0</v>
      </c>
      <c r="P1313" s="14">
        <f t="shared" si="282"/>
        <v>-0.65278032211337456</v>
      </c>
      <c r="Q1313" s="15">
        <f ca="1">STDEV(P1313:OFFSET(P1313,-$Q$5+1,0))</f>
        <v>0.86855021668360965</v>
      </c>
      <c r="R1313" s="15">
        <f ca="1">STDEV(P1313:OFFSET(P1313,-$R$5+1,0))</f>
        <v>0.93523265379274478</v>
      </c>
      <c r="S1313" s="18">
        <f t="shared" si="269"/>
        <v>106.40999999999985</v>
      </c>
      <c r="T1313" s="18">
        <f t="shared" si="270"/>
        <v>106.40999999999985</v>
      </c>
      <c r="U1313" s="18">
        <f t="shared" si="278"/>
        <v>110.63681180403827</v>
      </c>
      <c r="V1313" s="33">
        <f ca="1">AVERAGE(E1313:OFFSET(E1313,-V$5+1,0))</f>
        <v>8036.142142857143</v>
      </c>
      <c r="W1313" s="33">
        <f t="shared" ca="1" si="271"/>
        <v>8202.0973605632007</v>
      </c>
      <c r="X1313" s="33">
        <f t="shared" ca="1" si="272"/>
        <v>7870.1869251510852</v>
      </c>
      <c r="Y1313" s="32">
        <f t="shared" ca="1" si="279"/>
        <v>0</v>
      </c>
    </row>
    <row r="1314" spans="1:25">
      <c r="A1314" s="5">
        <v>40302</v>
      </c>
      <c r="B1314" s="4">
        <v>8006.79</v>
      </c>
      <c r="C1314" s="4">
        <v>8010.98</v>
      </c>
      <c r="D1314" s="4">
        <v>7889.93</v>
      </c>
      <c r="E1314" s="4">
        <v>7930.77</v>
      </c>
      <c r="F1314" s="4">
        <v>3672800</v>
      </c>
      <c r="G1314" s="8">
        <f t="shared" si="281"/>
        <v>54.619999999999891</v>
      </c>
      <c r="H1314" s="8">
        <f t="shared" si="280"/>
        <v>-76.019999999999527</v>
      </c>
      <c r="I1314" s="20">
        <f t="shared" ca="1" si="273"/>
        <v>0</v>
      </c>
      <c r="J1314" s="8">
        <f t="shared" ca="1" si="274"/>
        <v>2</v>
      </c>
      <c r="K1314" s="8">
        <f t="shared" ca="1" si="275"/>
        <v>-42.799999999999272</v>
      </c>
      <c r="L1314" s="8">
        <f t="shared" ca="1" si="276"/>
        <v>18001.890000000014</v>
      </c>
      <c r="M1314" s="9">
        <f ca="1">AVERAGE(E1314:OFFSET(E1314,-M$5+1,0))</f>
        <v>8030.148000000001</v>
      </c>
      <c r="N1314" s="9">
        <f ca="1">AVERAGE(E1314:OFFSET(E1314,-N$5+1,0))</f>
        <v>8042.7824999999993</v>
      </c>
      <c r="O1314" s="9">
        <f t="shared" ca="1" si="277"/>
        <v>0</v>
      </c>
      <c r="P1314" s="14">
        <f t="shared" si="282"/>
        <v>-0.26947168407954003</v>
      </c>
      <c r="Q1314" s="15">
        <f ca="1">STDEV(P1314:OFFSET(P1314,-$Q$5+1,0))</f>
        <v>0.8600361990152634</v>
      </c>
      <c r="R1314" s="15">
        <f ca="1">STDEV(P1314:OFFSET(P1314,-$R$5+1,0))</f>
        <v>0.91784630240856879</v>
      </c>
      <c r="S1314" s="18">
        <f t="shared" si="269"/>
        <v>121.04999999999927</v>
      </c>
      <c r="T1314" s="18">
        <f t="shared" si="270"/>
        <v>121.04999999999927</v>
      </c>
      <c r="U1314" s="18">
        <f t="shared" si="278"/>
        <v>112.02523689683308</v>
      </c>
      <c r="V1314" s="33">
        <f ca="1">AVERAGE(E1314:OFFSET(E1314,-V$5+1,0))</f>
        <v>8024.2592857142863</v>
      </c>
      <c r="W1314" s="33">
        <f t="shared" ca="1" si="271"/>
        <v>8192.2971410595364</v>
      </c>
      <c r="X1314" s="33">
        <f t="shared" ca="1" si="272"/>
        <v>7856.2214303690371</v>
      </c>
      <c r="Y1314" s="32">
        <f t="shared" ca="1" si="279"/>
        <v>0</v>
      </c>
    </row>
    <row r="1315" spans="1:25">
      <c r="A1315" s="5">
        <v>40303</v>
      </c>
      <c r="B1315" s="4">
        <v>7759.18</v>
      </c>
      <c r="C1315" s="4">
        <v>7785.55</v>
      </c>
      <c r="D1315" s="4">
        <v>7695.69</v>
      </c>
      <c r="E1315" s="4">
        <v>7696.9</v>
      </c>
      <c r="F1315" s="4">
        <v>4732200</v>
      </c>
      <c r="G1315" s="8">
        <f t="shared" si="281"/>
        <v>-171.59000000000015</v>
      </c>
      <c r="H1315" s="8">
        <f t="shared" si="280"/>
        <v>-62.280000000000655</v>
      </c>
      <c r="I1315" s="20">
        <f t="shared" ca="1" si="273"/>
        <v>-1</v>
      </c>
      <c r="J1315" s="8">
        <f t="shared" ca="1" si="274"/>
        <v>2</v>
      </c>
      <c r="K1315" s="8">
        <f t="shared" ca="1" si="275"/>
        <v>-467.7400000000016</v>
      </c>
      <c r="L1315" s="8">
        <f t="shared" ca="1" si="276"/>
        <v>17534.150000000012</v>
      </c>
      <c r="M1315" s="9">
        <f ca="1">AVERAGE(E1315:OFFSET(E1315,-M$5+1,0))</f>
        <v>8000.7849999999989</v>
      </c>
      <c r="N1315" s="9">
        <f ca="1">AVERAGE(E1315:OFFSET(E1315,-N$5+1,0))</f>
        <v>8021.5384999999997</v>
      </c>
      <c r="O1315" s="9">
        <f t="shared" ca="1" si="277"/>
        <v>0</v>
      </c>
      <c r="P1315" s="14">
        <f t="shared" si="282"/>
        <v>-2.9932480161635122</v>
      </c>
      <c r="Q1315" s="15">
        <f ca="1">STDEV(P1315:OFFSET(P1315,-$Q$5+1,0))</f>
        <v>1.1992248721536571</v>
      </c>
      <c r="R1315" s="15">
        <f ca="1">STDEV(P1315:OFFSET(P1315,-$R$5+1,0))</f>
        <v>1.0364620337874944</v>
      </c>
      <c r="S1315" s="18">
        <f t="shared" si="269"/>
        <v>89.860000000000582</v>
      </c>
      <c r="T1315" s="18">
        <f t="shared" si="270"/>
        <v>235.08000000000084</v>
      </c>
      <c r="U1315" s="18">
        <f t="shared" si="278"/>
        <v>128.43253864392213</v>
      </c>
      <c r="V1315" s="33">
        <f ca="1">AVERAGE(E1315:OFFSET(E1315,-V$5+1,0))</f>
        <v>7990.3278571428573</v>
      </c>
      <c r="W1315" s="33">
        <f t="shared" ca="1" si="271"/>
        <v>8182.9766651087402</v>
      </c>
      <c r="X1315" s="33">
        <f t="shared" ca="1" si="272"/>
        <v>7797.6790491769743</v>
      </c>
      <c r="Y1315" s="32">
        <f t="shared" ca="1" si="279"/>
        <v>-1</v>
      </c>
    </row>
    <row r="1316" spans="1:25">
      <c r="A1316" s="5">
        <v>40304</v>
      </c>
      <c r="B1316" s="4">
        <v>7696.27</v>
      </c>
      <c r="C1316" s="4">
        <v>7702.11</v>
      </c>
      <c r="D1316" s="4">
        <v>7562.03</v>
      </c>
      <c r="E1316" s="4">
        <v>7579.48</v>
      </c>
      <c r="F1316" s="4">
        <v>4090600</v>
      </c>
      <c r="G1316" s="8">
        <f t="shared" si="281"/>
        <v>-0.62999999999919964</v>
      </c>
      <c r="H1316" s="8">
        <f t="shared" si="280"/>
        <v>-116.79000000000087</v>
      </c>
      <c r="I1316" s="20">
        <f t="shared" ca="1" si="273"/>
        <v>0</v>
      </c>
      <c r="J1316" s="8">
        <f t="shared" ca="1" si="274"/>
        <v>1</v>
      </c>
      <c r="K1316" s="8">
        <f t="shared" ca="1" si="275"/>
        <v>-118.04999999999927</v>
      </c>
      <c r="L1316" s="8">
        <f t="shared" ca="1" si="276"/>
        <v>17416.100000000013</v>
      </c>
      <c r="M1316" s="9">
        <f ca="1">AVERAGE(E1316:OFFSET(E1316,-M$5+1,0))</f>
        <v>7960.8639999999987</v>
      </c>
      <c r="N1316" s="9">
        <f ca="1">AVERAGE(E1316:OFFSET(E1316,-N$5+1,0))</f>
        <v>7997.6325000000015</v>
      </c>
      <c r="O1316" s="9">
        <f t="shared" ca="1" si="277"/>
        <v>0</v>
      </c>
      <c r="P1316" s="14">
        <f t="shared" si="282"/>
        <v>-1.5373054674977638</v>
      </c>
      <c r="Q1316" s="15">
        <f ca="1">STDEV(P1316:OFFSET(P1316,-$Q$5+1,0))</f>
        <v>1.2495137614170513</v>
      </c>
      <c r="R1316" s="15">
        <f ca="1">STDEV(P1316:OFFSET(P1316,-$R$5+1,0))</f>
        <v>1.0633890508081953</v>
      </c>
      <c r="S1316" s="18">
        <f t="shared" si="269"/>
        <v>140.07999999999993</v>
      </c>
      <c r="T1316" s="18">
        <f t="shared" si="270"/>
        <v>140.07999999999993</v>
      </c>
      <c r="U1316" s="18">
        <f t="shared" si="278"/>
        <v>129.98553349139917</v>
      </c>
      <c r="V1316" s="33">
        <f ca="1">AVERAGE(E1316:OFFSET(E1316,-V$5+1,0))</f>
        <v>7952.3214285714284</v>
      </c>
      <c r="W1316" s="33">
        <f t="shared" ca="1" si="271"/>
        <v>8147.2997288085271</v>
      </c>
      <c r="X1316" s="33">
        <f t="shared" ca="1" si="272"/>
        <v>7757.3431283343298</v>
      </c>
      <c r="Y1316" s="32">
        <f t="shared" ca="1" si="279"/>
        <v>0</v>
      </c>
    </row>
    <row r="1317" spans="1:25">
      <c r="A1317" s="5">
        <v>40305</v>
      </c>
      <c r="B1317" s="4">
        <v>7393.27</v>
      </c>
      <c r="C1317" s="4">
        <v>7572.79</v>
      </c>
      <c r="D1317" s="4">
        <v>7387.19</v>
      </c>
      <c r="E1317" s="4">
        <v>7567.1</v>
      </c>
      <c r="F1317" s="4">
        <v>4756000</v>
      </c>
      <c r="G1317" s="8">
        <f t="shared" si="281"/>
        <v>-186.20999999999913</v>
      </c>
      <c r="H1317" s="8">
        <f t="shared" si="280"/>
        <v>173.82999999999993</v>
      </c>
      <c r="I1317" s="20">
        <f t="shared" ca="1" si="273"/>
        <v>0</v>
      </c>
      <c r="J1317" s="8">
        <f t="shared" ca="1" si="274"/>
        <v>1</v>
      </c>
      <c r="K1317" s="8">
        <f t="shared" ca="1" si="275"/>
        <v>-12.3799999999992</v>
      </c>
      <c r="L1317" s="8">
        <f t="shared" ca="1" si="276"/>
        <v>17403.720000000016</v>
      </c>
      <c r="M1317" s="9">
        <f ca="1">AVERAGE(E1317:OFFSET(E1317,-M$5+1,0))</f>
        <v>7917.0850000000009</v>
      </c>
      <c r="N1317" s="9">
        <f ca="1">AVERAGE(E1317:OFFSET(E1317,-N$5+1,0))</f>
        <v>7971.3860000000004</v>
      </c>
      <c r="O1317" s="9">
        <f t="shared" ca="1" si="277"/>
        <v>0</v>
      </c>
      <c r="P1317" s="14">
        <f t="shared" si="282"/>
        <v>-0.16346928160469043</v>
      </c>
      <c r="Q1317" s="15">
        <f ca="1">STDEV(P1317:OFFSET(P1317,-$Q$5+1,0))</f>
        <v>1.2221246363875955</v>
      </c>
      <c r="R1317" s="15">
        <f ca="1">STDEV(P1317:OFFSET(P1317,-$R$5+1,0))</f>
        <v>1.0623032968522141</v>
      </c>
      <c r="S1317" s="18">
        <f t="shared" si="269"/>
        <v>185.60000000000036</v>
      </c>
      <c r="T1317" s="18">
        <f t="shared" si="270"/>
        <v>192.28999999999996</v>
      </c>
      <c r="U1317" s="18">
        <f t="shared" si="278"/>
        <v>138.29279569254595</v>
      </c>
      <c r="V1317" s="33">
        <f ca="1">AVERAGE(E1317:OFFSET(E1317,-V$5+1,0))</f>
        <v>7931.8128571428579</v>
      </c>
      <c r="W1317" s="33">
        <f t="shared" ca="1" si="271"/>
        <v>8139.2520506816763</v>
      </c>
      <c r="X1317" s="33">
        <f t="shared" ca="1" si="272"/>
        <v>7724.3736636040394</v>
      </c>
      <c r="Y1317" s="32">
        <f t="shared" ca="1" si="279"/>
        <v>0</v>
      </c>
    </row>
    <row r="1318" spans="1:25">
      <c r="A1318" s="5">
        <v>40308</v>
      </c>
      <c r="B1318" s="4">
        <v>7610.88</v>
      </c>
      <c r="C1318" s="4">
        <v>7664.73</v>
      </c>
      <c r="D1318" s="4">
        <v>7577.31</v>
      </c>
      <c r="E1318" s="4">
        <v>7664.73</v>
      </c>
      <c r="F1318" s="4">
        <v>3267400</v>
      </c>
      <c r="G1318" s="8">
        <f t="shared" si="281"/>
        <v>43.779999999999745</v>
      </c>
      <c r="H1318" s="8">
        <f t="shared" si="280"/>
        <v>53.849999999999454</v>
      </c>
      <c r="I1318" s="20">
        <f t="shared" ca="1" si="273"/>
        <v>0</v>
      </c>
      <c r="J1318" s="8">
        <f t="shared" ca="1" si="274"/>
        <v>1</v>
      </c>
      <c r="K1318" s="8">
        <f t="shared" ca="1" si="275"/>
        <v>97.6299999999992</v>
      </c>
      <c r="L1318" s="8">
        <f t="shared" ca="1" si="276"/>
        <v>17501.350000000013</v>
      </c>
      <c r="M1318" s="9">
        <f ca="1">AVERAGE(E1318:OFFSET(E1318,-M$5+1,0))</f>
        <v>7867.7440000000006</v>
      </c>
      <c r="N1318" s="9">
        <f ca="1">AVERAGE(E1318:OFFSET(E1318,-N$5+1,0))</f>
        <v>7948.7350000000024</v>
      </c>
      <c r="O1318" s="9">
        <f t="shared" ca="1" si="277"/>
        <v>0</v>
      </c>
      <c r="P1318" s="14">
        <f t="shared" si="282"/>
        <v>1.281938375251358</v>
      </c>
      <c r="Q1318" s="15">
        <f ca="1">STDEV(P1318:OFFSET(P1318,-$Q$5+1,0))</f>
        <v>1.0934450108075353</v>
      </c>
      <c r="R1318" s="15">
        <f ca="1">STDEV(P1318:OFFSET(P1318,-$R$5+1,0))</f>
        <v>1.083285247247656</v>
      </c>
      <c r="S1318" s="18">
        <f t="shared" si="269"/>
        <v>87.419999999999163</v>
      </c>
      <c r="T1318" s="18">
        <f t="shared" si="270"/>
        <v>97.6299999999992</v>
      </c>
      <c r="U1318" s="18">
        <f t="shared" si="278"/>
        <v>132.8710896002064</v>
      </c>
      <c r="V1318" s="33">
        <f ca="1">AVERAGE(E1318:OFFSET(E1318,-V$5+1,0))</f>
        <v>7914.9778571428569</v>
      </c>
      <c r="W1318" s="33">
        <f t="shared" ca="1" si="271"/>
        <v>8114.284491543167</v>
      </c>
      <c r="X1318" s="33">
        <f t="shared" ca="1" si="272"/>
        <v>7715.6712227425469</v>
      </c>
      <c r="Y1318" s="32">
        <f t="shared" ca="1" si="279"/>
        <v>0</v>
      </c>
    </row>
    <row r="1319" spans="1:25">
      <c r="A1319" s="5">
        <v>40309</v>
      </c>
      <c r="B1319" s="4">
        <v>7718.17</v>
      </c>
      <c r="C1319" s="4">
        <v>7743.41</v>
      </c>
      <c r="D1319" s="4">
        <v>7608.44</v>
      </c>
      <c r="E1319" s="4">
        <v>7608.44</v>
      </c>
      <c r="F1319" s="4">
        <v>3875600</v>
      </c>
      <c r="G1319" s="8">
        <f t="shared" si="281"/>
        <v>53.440000000000509</v>
      </c>
      <c r="H1319" s="8">
        <f t="shared" si="280"/>
        <v>-109.73000000000047</v>
      </c>
      <c r="I1319" s="20">
        <f t="shared" ca="1" si="273"/>
        <v>0</v>
      </c>
      <c r="J1319" s="8">
        <f t="shared" ca="1" si="274"/>
        <v>1</v>
      </c>
      <c r="K1319" s="8">
        <f t="shared" ca="1" si="275"/>
        <v>-56.289999999999964</v>
      </c>
      <c r="L1319" s="8">
        <f t="shared" ca="1" si="276"/>
        <v>17445.060000000012</v>
      </c>
      <c r="M1319" s="9">
        <f ca="1">AVERAGE(E1319:OFFSET(E1319,-M$5+1,0))</f>
        <v>7813.9440000000004</v>
      </c>
      <c r="N1319" s="9">
        <f ca="1">AVERAGE(E1319:OFFSET(E1319,-N$5+1,0))</f>
        <v>7927.670500000002</v>
      </c>
      <c r="O1319" s="9">
        <f t="shared" ca="1" si="277"/>
        <v>0</v>
      </c>
      <c r="P1319" s="14">
        <f t="shared" si="282"/>
        <v>-0.73711292245654159</v>
      </c>
      <c r="Q1319" s="15">
        <f ca="1">STDEV(P1319:OFFSET(P1319,-$Q$5+1,0))</f>
        <v>1.0805065341943836</v>
      </c>
      <c r="R1319" s="15">
        <f ca="1">STDEV(P1319:OFFSET(P1319,-$R$5+1,0))</f>
        <v>1.0641283222128231</v>
      </c>
      <c r="S1319" s="18">
        <f t="shared" si="269"/>
        <v>134.97000000000025</v>
      </c>
      <c r="T1319" s="18">
        <f t="shared" si="270"/>
        <v>134.97000000000025</v>
      </c>
      <c r="U1319" s="18">
        <f t="shared" si="278"/>
        <v>133.15094432017892</v>
      </c>
      <c r="V1319" s="33">
        <f ca="1">AVERAGE(E1319:OFFSET(E1319,-V$5+1,0))</f>
        <v>7887.6857142857134</v>
      </c>
      <c r="W1319" s="33">
        <f t="shared" ca="1" si="271"/>
        <v>8087.4121307659816</v>
      </c>
      <c r="X1319" s="33">
        <f t="shared" ca="1" si="272"/>
        <v>7687.9592978054452</v>
      </c>
      <c r="Y1319" s="32">
        <f t="shared" ca="1" si="279"/>
        <v>0</v>
      </c>
    </row>
    <row r="1320" spans="1:25">
      <c r="A1320" s="5">
        <v>40310</v>
      </c>
      <c r="B1320" s="4">
        <v>7663.34</v>
      </c>
      <c r="C1320" s="4">
        <v>7674.52</v>
      </c>
      <c r="D1320" s="4">
        <v>7596.21</v>
      </c>
      <c r="E1320" s="4">
        <v>7602.7</v>
      </c>
      <c r="F1320" s="4">
        <v>2929200</v>
      </c>
      <c r="G1320" s="8">
        <f t="shared" si="281"/>
        <v>54.900000000000546</v>
      </c>
      <c r="H1320" s="8">
        <f t="shared" si="280"/>
        <v>-60.640000000000327</v>
      </c>
      <c r="I1320" s="20">
        <f t="shared" ca="1" si="273"/>
        <v>0</v>
      </c>
      <c r="J1320" s="8">
        <f t="shared" ca="1" si="274"/>
        <v>1</v>
      </c>
      <c r="K1320" s="8">
        <f t="shared" ca="1" si="275"/>
        <v>-5.7399999999997817</v>
      </c>
      <c r="L1320" s="8">
        <f t="shared" ca="1" si="276"/>
        <v>17439.320000000014</v>
      </c>
      <c r="M1320" s="9">
        <f ca="1">AVERAGE(E1320:OFFSET(E1320,-M$5+1,0))</f>
        <v>7766.0589999999993</v>
      </c>
      <c r="N1320" s="9">
        <f ca="1">AVERAGE(E1320:OFFSET(E1320,-N$5+1,0))</f>
        <v>7902.9490000000005</v>
      </c>
      <c r="O1320" s="9">
        <f t="shared" ca="1" si="277"/>
        <v>0</v>
      </c>
      <c r="P1320" s="14">
        <f t="shared" si="282"/>
        <v>-7.5471007070501764E-2</v>
      </c>
      <c r="Q1320" s="15">
        <f ca="1">STDEV(P1320:OFFSET(P1320,-$Q$5+1,0))</f>
        <v>1.0959921755343991</v>
      </c>
      <c r="R1320" s="15">
        <f ca="1">STDEV(P1320:OFFSET(P1320,-$R$5+1,0))</f>
        <v>1.056201655647649</v>
      </c>
      <c r="S1320" s="18">
        <f t="shared" si="269"/>
        <v>78.3100000000004</v>
      </c>
      <c r="T1320" s="18">
        <f t="shared" si="270"/>
        <v>78.3100000000004</v>
      </c>
      <c r="U1320" s="18">
        <f t="shared" si="278"/>
        <v>125.83881841082179</v>
      </c>
      <c r="V1320" s="33">
        <f ca="1">AVERAGE(E1320:OFFSET(E1320,-V$5+1,0))</f>
        <v>7860.8292857142851</v>
      </c>
      <c r="W1320" s="33">
        <f t="shared" ca="1" si="271"/>
        <v>8049.587513330518</v>
      </c>
      <c r="X1320" s="33">
        <f t="shared" ca="1" si="272"/>
        <v>7672.0710580980522</v>
      </c>
      <c r="Y1320" s="32">
        <f t="shared" ca="1" si="279"/>
        <v>0</v>
      </c>
    </row>
    <row r="1321" spans="1:25">
      <c r="A1321" s="5">
        <v>40311</v>
      </c>
      <c r="B1321" s="4">
        <v>7703.48</v>
      </c>
      <c r="C1321" s="4">
        <v>7787.32</v>
      </c>
      <c r="D1321" s="4">
        <v>7687.55</v>
      </c>
      <c r="E1321" s="4">
        <v>7770.57</v>
      </c>
      <c r="F1321" s="4">
        <v>3779600</v>
      </c>
      <c r="G1321" s="8">
        <f t="shared" si="281"/>
        <v>100.77999999999975</v>
      </c>
      <c r="H1321" s="8">
        <f t="shared" si="280"/>
        <v>67.090000000000146</v>
      </c>
      <c r="I1321" s="20">
        <f t="shared" ca="1" si="273"/>
        <v>0</v>
      </c>
      <c r="J1321" s="8">
        <f t="shared" ca="1" si="274"/>
        <v>1</v>
      </c>
      <c r="K1321" s="8">
        <f t="shared" ca="1" si="275"/>
        <v>167.86999999999989</v>
      </c>
      <c r="L1321" s="8">
        <f t="shared" ca="1" si="276"/>
        <v>17607.190000000013</v>
      </c>
      <c r="M1321" s="9">
        <f ca="1">AVERAGE(E1321:OFFSET(E1321,-M$5+1,0))</f>
        <v>7737.7110000000011</v>
      </c>
      <c r="N1321" s="9">
        <f ca="1">AVERAGE(E1321:OFFSET(E1321,-N$5+1,0))</f>
        <v>7882.8805000000011</v>
      </c>
      <c r="O1321" s="9">
        <f t="shared" ca="1" si="277"/>
        <v>0</v>
      </c>
      <c r="P1321" s="14">
        <f t="shared" si="282"/>
        <v>2.1840073403103228</v>
      </c>
      <c r="Q1321" s="15">
        <f ca="1">STDEV(P1321:OFFSET(P1321,-$Q$5+1,0))</f>
        <v>1.4107282080057679</v>
      </c>
      <c r="R1321" s="15">
        <f ca="1">STDEV(P1321:OFFSET(P1321,-$R$5+1,0))</f>
        <v>1.0676265464279033</v>
      </c>
      <c r="S1321" s="18">
        <f t="shared" si="269"/>
        <v>99.769999999999527</v>
      </c>
      <c r="T1321" s="18">
        <f t="shared" si="270"/>
        <v>184.61999999999989</v>
      </c>
      <c r="U1321" s="18">
        <f t="shared" si="278"/>
        <v>133.67630928937888</v>
      </c>
      <c r="V1321" s="33">
        <f ca="1">AVERAGE(E1321:OFFSET(E1321,-V$5+1,0))</f>
        <v>7844.0921428571437</v>
      </c>
      <c r="W1321" s="33">
        <f t="shared" ca="1" si="271"/>
        <v>8044.6066067912125</v>
      </c>
      <c r="X1321" s="33">
        <f t="shared" ca="1" si="272"/>
        <v>7643.5776789230749</v>
      </c>
      <c r="Y1321" s="32">
        <f t="shared" ca="1" si="279"/>
        <v>0</v>
      </c>
    </row>
    <row r="1322" spans="1:25">
      <c r="A1322" s="5">
        <v>40312</v>
      </c>
      <c r="B1322" s="4">
        <v>7735.6</v>
      </c>
      <c r="C1322" s="4">
        <v>7772.54</v>
      </c>
      <c r="D1322" s="4">
        <v>7725.82</v>
      </c>
      <c r="E1322" s="4">
        <v>7772.13</v>
      </c>
      <c r="F1322" s="4">
        <v>2810200</v>
      </c>
      <c r="G1322" s="8">
        <f t="shared" si="281"/>
        <v>-34.969999999999345</v>
      </c>
      <c r="H1322" s="8">
        <f t="shared" si="280"/>
        <v>36.529999999999745</v>
      </c>
      <c r="I1322" s="20">
        <f t="shared" ca="1" si="273"/>
        <v>0</v>
      </c>
      <c r="J1322" s="8">
        <f t="shared" ca="1" si="274"/>
        <v>1</v>
      </c>
      <c r="K1322" s="8">
        <f t="shared" ca="1" si="275"/>
        <v>1.5600000000004002</v>
      </c>
      <c r="L1322" s="8">
        <f t="shared" ca="1" si="276"/>
        <v>17608.750000000015</v>
      </c>
      <c r="M1322" s="9">
        <f ca="1">AVERAGE(E1322:OFFSET(E1322,-M$5+1,0))</f>
        <v>7714.4989999999989</v>
      </c>
      <c r="N1322" s="9">
        <f ca="1">AVERAGE(E1322:OFFSET(E1322,-N$5+1,0))</f>
        <v>7865.9085000000005</v>
      </c>
      <c r="O1322" s="9">
        <f t="shared" ca="1" si="277"/>
        <v>0</v>
      </c>
      <c r="P1322" s="14">
        <f t="shared" si="282"/>
        <v>2.0073732430510322E-2</v>
      </c>
      <c r="Q1322" s="15">
        <f ca="1">STDEV(P1322:OFFSET(P1322,-$Q$5+1,0))</f>
        <v>1.4120496997793477</v>
      </c>
      <c r="R1322" s="15">
        <f ca="1">STDEV(P1322:OFFSET(P1322,-$R$5+1,0))</f>
        <v>1.0644056393530736</v>
      </c>
      <c r="S1322" s="18">
        <f t="shared" si="269"/>
        <v>46.720000000000255</v>
      </c>
      <c r="T1322" s="18">
        <f t="shared" si="270"/>
        <v>46.720000000000255</v>
      </c>
      <c r="U1322" s="18">
        <f t="shared" si="278"/>
        <v>122.08213471746174</v>
      </c>
      <c r="V1322" s="33">
        <f ca="1">AVERAGE(E1322:OFFSET(E1322,-V$5+1,0))</f>
        <v>7816.5199999999995</v>
      </c>
      <c r="W1322" s="33">
        <f t="shared" ca="1" si="271"/>
        <v>7999.6432020761922</v>
      </c>
      <c r="X1322" s="33">
        <f t="shared" ca="1" si="272"/>
        <v>7633.3967979238068</v>
      </c>
      <c r="Y1322" s="32">
        <f t="shared" ca="1" si="279"/>
        <v>0</v>
      </c>
    </row>
    <row r="1323" spans="1:25">
      <c r="A1323" s="5">
        <v>40315</v>
      </c>
      <c r="B1323" s="4">
        <v>7697.79</v>
      </c>
      <c r="C1323" s="4">
        <v>7697.79</v>
      </c>
      <c r="D1323" s="4">
        <v>7574.06</v>
      </c>
      <c r="E1323" s="4">
        <v>7598.72</v>
      </c>
      <c r="F1323" s="4">
        <v>3083600</v>
      </c>
      <c r="G1323" s="8">
        <f t="shared" si="281"/>
        <v>-74.340000000000146</v>
      </c>
      <c r="H1323" s="8">
        <f t="shared" si="280"/>
        <v>-99.069999999999709</v>
      </c>
      <c r="I1323" s="20">
        <f t="shared" ca="1" si="273"/>
        <v>0</v>
      </c>
      <c r="J1323" s="8">
        <f t="shared" ca="1" si="274"/>
        <v>1</v>
      </c>
      <c r="K1323" s="8">
        <f t="shared" ca="1" si="275"/>
        <v>-173.40999999999985</v>
      </c>
      <c r="L1323" s="8">
        <f t="shared" ca="1" si="276"/>
        <v>17435.340000000015</v>
      </c>
      <c r="M1323" s="9">
        <f ca="1">AVERAGE(E1323:OFFSET(E1323,-M$5+1,0))</f>
        <v>7679.1539999999995</v>
      </c>
      <c r="N1323" s="9">
        <f ca="1">AVERAGE(E1323:OFFSET(E1323,-N$5+1,0))</f>
        <v>7853.1335000000008</v>
      </c>
      <c r="O1323" s="9">
        <f t="shared" ca="1" si="277"/>
        <v>0</v>
      </c>
      <c r="P1323" s="14">
        <f t="shared" si="282"/>
        <v>-2.2564446031339327</v>
      </c>
      <c r="Q1323" s="15">
        <f ca="1">STDEV(P1323:OFFSET(P1323,-$Q$5+1,0))</f>
        <v>1.5423409386136229</v>
      </c>
      <c r="R1323" s="15">
        <f ca="1">STDEV(P1323:OFFSET(P1323,-$R$5+1,0))</f>
        <v>1.1201627935153522</v>
      </c>
      <c r="S1323" s="18">
        <f t="shared" si="269"/>
        <v>123.72999999999956</v>
      </c>
      <c r="T1323" s="18">
        <f t="shared" si="270"/>
        <v>198.06999999999971</v>
      </c>
      <c r="U1323" s="18">
        <f t="shared" si="278"/>
        <v>132.21385008846681</v>
      </c>
      <c r="V1323" s="33">
        <f ca="1">AVERAGE(E1323:OFFSET(E1323,-V$5+1,0))</f>
        <v>7777.3971428571431</v>
      </c>
      <c r="W1323" s="33">
        <f t="shared" ca="1" si="271"/>
        <v>7975.717917989843</v>
      </c>
      <c r="X1323" s="33">
        <f t="shared" ca="1" si="272"/>
        <v>7579.0763677244431</v>
      </c>
      <c r="Y1323" s="32">
        <f t="shared" ca="1" si="279"/>
        <v>0</v>
      </c>
    </row>
    <row r="1324" spans="1:25">
      <c r="A1324" s="5">
        <v>40316</v>
      </c>
      <c r="B1324" s="4">
        <v>7630.1</v>
      </c>
      <c r="C1324" s="4">
        <v>7637.99</v>
      </c>
      <c r="D1324" s="4">
        <v>7560.89</v>
      </c>
      <c r="E1324" s="4">
        <v>7585.3</v>
      </c>
      <c r="F1324" s="4">
        <v>2829800</v>
      </c>
      <c r="G1324" s="8">
        <f t="shared" si="281"/>
        <v>31.380000000000109</v>
      </c>
      <c r="H1324" s="8">
        <f t="shared" si="280"/>
        <v>-44.800000000000182</v>
      </c>
      <c r="I1324" s="20">
        <f t="shared" ca="1" si="273"/>
        <v>0</v>
      </c>
      <c r="J1324" s="8">
        <f t="shared" ca="1" si="274"/>
        <v>1</v>
      </c>
      <c r="K1324" s="8">
        <f t="shared" ca="1" si="275"/>
        <v>-13.420000000000073</v>
      </c>
      <c r="L1324" s="8">
        <f t="shared" ca="1" si="276"/>
        <v>17421.920000000013</v>
      </c>
      <c r="M1324" s="9">
        <f ca="1">AVERAGE(E1324:OFFSET(E1324,-M$5+1,0))</f>
        <v>7644.6069999999991</v>
      </c>
      <c r="N1324" s="9">
        <f ca="1">AVERAGE(E1324:OFFSET(E1324,-N$5+1,0))</f>
        <v>7837.3774999999996</v>
      </c>
      <c r="O1324" s="9">
        <f t="shared" ca="1" si="277"/>
        <v>0</v>
      </c>
      <c r="P1324" s="14">
        <f t="shared" si="282"/>
        <v>-0.176764829002102</v>
      </c>
      <c r="Q1324" s="15">
        <f ca="1">STDEV(P1324:OFFSET(P1324,-$Q$5+1,0))</f>
        <v>1.5438555598570232</v>
      </c>
      <c r="R1324" s="15">
        <f ca="1">STDEV(P1324:OFFSET(P1324,-$R$5+1,0))</f>
        <v>1.1146565280857512</v>
      </c>
      <c r="S1324" s="18">
        <f t="shared" si="269"/>
        <v>77.099999999999454</v>
      </c>
      <c r="T1324" s="18">
        <f t="shared" si="270"/>
        <v>77.099999999999454</v>
      </c>
      <c r="U1324" s="18">
        <f t="shared" si="278"/>
        <v>124.86533674333783</v>
      </c>
      <c r="V1324" s="33">
        <f ca="1">AVERAGE(E1324:OFFSET(E1324,-V$5+1,0))</f>
        <v>7741.9507142857155</v>
      </c>
      <c r="W1324" s="33">
        <f t="shared" ca="1" si="271"/>
        <v>7929.2487194007226</v>
      </c>
      <c r="X1324" s="33">
        <f t="shared" ca="1" si="272"/>
        <v>7554.6527091707085</v>
      </c>
      <c r="Y1324" s="32">
        <f t="shared" ca="1" si="279"/>
        <v>0</v>
      </c>
    </row>
    <row r="1325" spans="1:25">
      <c r="A1325" s="5">
        <v>40317</v>
      </c>
      <c r="B1325" s="4">
        <v>7527.62</v>
      </c>
      <c r="C1325" s="4">
        <v>7588.09</v>
      </c>
      <c r="D1325" s="4">
        <v>7467.2</v>
      </c>
      <c r="E1325" s="4">
        <v>7559.16</v>
      </c>
      <c r="F1325" s="4">
        <v>3417800</v>
      </c>
      <c r="G1325" s="8">
        <f t="shared" si="281"/>
        <v>-57.680000000000291</v>
      </c>
      <c r="H1325" s="8">
        <f t="shared" si="280"/>
        <v>31.539999999999964</v>
      </c>
      <c r="I1325" s="20">
        <f t="shared" ca="1" si="273"/>
        <v>0</v>
      </c>
      <c r="J1325" s="8">
        <f t="shared" ca="1" si="274"/>
        <v>1</v>
      </c>
      <c r="K1325" s="8">
        <f t="shared" ca="1" si="275"/>
        <v>-26.140000000000327</v>
      </c>
      <c r="L1325" s="8">
        <f t="shared" ca="1" si="276"/>
        <v>17395.780000000013</v>
      </c>
      <c r="M1325" s="9">
        <f ca="1">AVERAGE(E1325:OFFSET(E1325,-M$5+1,0))</f>
        <v>7630.8330000000005</v>
      </c>
      <c r="N1325" s="9">
        <f ca="1">AVERAGE(E1325:OFFSET(E1325,-N$5+1,0))</f>
        <v>7815.8089999999993</v>
      </c>
      <c r="O1325" s="9">
        <f t="shared" ca="1" si="277"/>
        <v>0</v>
      </c>
      <c r="P1325" s="14">
        <f t="shared" si="282"/>
        <v>-0.34520908581809578</v>
      </c>
      <c r="Q1325" s="15">
        <f ca="1">STDEV(P1325:OFFSET(P1325,-$Q$5+1,0))</f>
        <v>1.2591266777258594</v>
      </c>
      <c r="R1325" s="15">
        <f ca="1">STDEV(P1325:OFFSET(P1325,-$R$5+1,0))</f>
        <v>1.1148652708893596</v>
      </c>
      <c r="S1325" s="18">
        <f t="shared" si="269"/>
        <v>120.89000000000033</v>
      </c>
      <c r="T1325" s="18">
        <f t="shared" si="270"/>
        <v>120.89000000000033</v>
      </c>
      <c r="U1325" s="18">
        <f t="shared" si="278"/>
        <v>124.33529184422618</v>
      </c>
      <c r="V1325" s="33">
        <f ca="1">AVERAGE(E1325:OFFSET(E1325,-V$5+1,0))</f>
        <v>7706.6014285714309</v>
      </c>
      <c r="W1325" s="33">
        <f t="shared" ca="1" si="271"/>
        <v>7893.1043663377704</v>
      </c>
      <c r="X1325" s="33">
        <f t="shared" ca="1" si="272"/>
        <v>7520.0984908050914</v>
      </c>
      <c r="Y1325" s="32">
        <f t="shared" ca="1" si="279"/>
        <v>0</v>
      </c>
    </row>
    <row r="1326" spans="1:25">
      <c r="A1326" s="5">
        <v>40318</v>
      </c>
      <c r="B1326" s="4">
        <v>7557.17</v>
      </c>
      <c r="C1326" s="4">
        <v>7557.17</v>
      </c>
      <c r="D1326" s="4">
        <v>7424.43</v>
      </c>
      <c r="E1326" s="4">
        <v>7424.43</v>
      </c>
      <c r="F1326" s="4">
        <v>3058800</v>
      </c>
      <c r="G1326" s="8">
        <f t="shared" si="281"/>
        <v>-1.9899999999997817</v>
      </c>
      <c r="H1326" s="8">
        <f t="shared" si="280"/>
        <v>-132.73999999999978</v>
      </c>
      <c r="I1326" s="20">
        <f t="shared" ca="1" si="273"/>
        <v>-1</v>
      </c>
      <c r="J1326" s="8">
        <f t="shared" ca="1" si="274"/>
        <v>1</v>
      </c>
      <c r="K1326" s="8">
        <f t="shared" ca="1" si="275"/>
        <v>-134.72999999999956</v>
      </c>
      <c r="L1326" s="8">
        <f t="shared" ca="1" si="276"/>
        <v>17261.050000000014</v>
      </c>
      <c r="M1326" s="9">
        <f ca="1">AVERAGE(E1326:OFFSET(E1326,-M$5+1,0))</f>
        <v>7615.3279999999995</v>
      </c>
      <c r="N1326" s="9">
        <f ca="1">AVERAGE(E1326:OFFSET(E1326,-N$5+1,0))</f>
        <v>7788.0959999999995</v>
      </c>
      <c r="O1326" s="9">
        <f t="shared" ca="1" si="277"/>
        <v>0</v>
      </c>
      <c r="P1326" s="14">
        <f t="shared" si="282"/>
        <v>-1.7984158841826918</v>
      </c>
      <c r="Q1326" s="15">
        <f ca="1">STDEV(P1326:OFFSET(P1326,-$Q$5+1,0))</f>
        <v>1.2926490118498375</v>
      </c>
      <c r="R1326" s="15">
        <f ca="1">STDEV(P1326:OFFSET(P1326,-$R$5+1,0))</f>
        <v>1.1466430843874487</v>
      </c>
      <c r="S1326" s="18">
        <f t="shared" si="269"/>
        <v>132.73999999999978</v>
      </c>
      <c r="T1326" s="18">
        <f t="shared" si="270"/>
        <v>134.72999999999956</v>
      </c>
      <c r="U1326" s="18">
        <f t="shared" si="278"/>
        <v>125.72125293166263</v>
      </c>
      <c r="V1326" s="33">
        <f ca="1">AVERAGE(E1326:OFFSET(E1326,-V$5+1,0))</f>
        <v>7665.1857142857143</v>
      </c>
      <c r="W1326" s="33">
        <f t="shared" ca="1" si="271"/>
        <v>7853.7675936832084</v>
      </c>
      <c r="X1326" s="33">
        <f t="shared" ca="1" si="272"/>
        <v>7476.6038348882203</v>
      </c>
      <c r="Y1326" s="32">
        <f t="shared" ca="1" si="279"/>
        <v>-1</v>
      </c>
    </row>
    <row r="1327" spans="1:25">
      <c r="A1327" s="5">
        <v>40319</v>
      </c>
      <c r="B1327" s="4">
        <v>7229.17</v>
      </c>
      <c r="C1327" s="4">
        <v>7277.93</v>
      </c>
      <c r="D1327" s="4">
        <v>7164.21</v>
      </c>
      <c r="E1327" s="4">
        <v>7237.71</v>
      </c>
      <c r="F1327" s="4">
        <v>3918400</v>
      </c>
      <c r="G1327" s="8">
        <f t="shared" si="281"/>
        <v>-195.26000000000022</v>
      </c>
      <c r="H1327" s="8">
        <f t="shared" si="280"/>
        <v>8.5399999999999636</v>
      </c>
      <c r="I1327" s="20">
        <f t="shared" ca="1" si="273"/>
        <v>0</v>
      </c>
      <c r="J1327" s="8">
        <f t="shared" ca="1" si="274"/>
        <v>0</v>
      </c>
      <c r="K1327" s="8">
        <f t="shared" ca="1" si="275"/>
        <v>-195.26000000000022</v>
      </c>
      <c r="L1327" s="8">
        <f t="shared" ca="1" si="276"/>
        <v>17065.790000000015</v>
      </c>
      <c r="M1327" s="9">
        <f ca="1">AVERAGE(E1327:OFFSET(E1327,-M$5+1,0))</f>
        <v>7582.3890000000001</v>
      </c>
      <c r="N1327" s="9">
        <f ca="1">AVERAGE(E1327:OFFSET(E1327,-N$5+1,0))</f>
        <v>7749.7369999999992</v>
      </c>
      <c r="O1327" s="9">
        <f t="shared" ca="1" si="277"/>
        <v>0</v>
      </c>
      <c r="P1327" s="14">
        <f t="shared" si="282"/>
        <v>-2.5471056042994418</v>
      </c>
      <c r="Q1327" s="15">
        <f ca="1">STDEV(P1327:OFFSET(P1327,-$Q$5+1,0))</f>
        <v>1.4886979152366935</v>
      </c>
      <c r="R1327" s="15">
        <f ca="1">STDEV(P1327:OFFSET(P1327,-$R$5+1,0))</f>
        <v>1.2070402912383635</v>
      </c>
      <c r="S1327" s="18">
        <f t="shared" si="269"/>
        <v>113.72000000000025</v>
      </c>
      <c r="T1327" s="18">
        <f t="shared" si="270"/>
        <v>260.22000000000025</v>
      </c>
      <c r="U1327" s="18">
        <f t="shared" si="278"/>
        <v>143.65441920744098</v>
      </c>
      <c r="V1327" s="33">
        <f ca="1">AVERAGE(E1327:OFFSET(E1327,-V$5+1,0))</f>
        <v>7614.1528571428571</v>
      </c>
      <c r="W1327" s="33">
        <f t="shared" ca="1" si="271"/>
        <v>7829.6344859540186</v>
      </c>
      <c r="X1327" s="33">
        <f t="shared" ca="1" si="272"/>
        <v>7398.6712283316956</v>
      </c>
      <c r="Y1327" s="32">
        <f t="shared" ca="1" si="279"/>
        <v>0</v>
      </c>
    </row>
    <row r="1328" spans="1:25">
      <c r="A1328" s="5">
        <v>40322</v>
      </c>
      <c r="B1328" s="4">
        <v>7296.15</v>
      </c>
      <c r="C1328" s="4">
        <v>7344.92</v>
      </c>
      <c r="D1328" s="4">
        <v>7269.81</v>
      </c>
      <c r="E1328" s="4">
        <v>7322.73</v>
      </c>
      <c r="F1328" s="4">
        <v>2518600</v>
      </c>
      <c r="G1328" s="8">
        <f t="shared" si="281"/>
        <v>58.4399999999996</v>
      </c>
      <c r="H1328" s="8">
        <f t="shared" si="280"/>
        <v>26.579999999999927</v>
      </c>
      <c r="I1328" s="20">
        <f t="shared" ca="1" si="273"/>
        <v>0</v>
      </c>
      <c r="J1328" s="8">
        <f t="shared" ca="1" si="274"/>
        <v>0</v>
      </c>
      <c r="K1328" s="8">
        <f t="shared" ca="1" si="275"/>
        <v>0</v>
      </c>
      <c r="L1328" s="8">
        <f t="shared" ca="1" si="276"/>
        <v>17065.790000000015</v>
      </c>
      <c r="M1328" s="9">
        <f ca="1">AVERAGE(E1328:OFFSET(E1328,-M$5+1,0))</f>
        <v>7548.1890000000003</v>
      </c>
      <c r="N1328" s="9">
        <f ca="1">AVERAGE(E1328:OFFSET(E1328,-N$5+1,0))</f>
        <v>7707.9664999999995</v>
      </c>
      <c r="O1328" s="9">
        <f t="shared" ca="1" si="277"/>
        <v>0</v>
      </c>
      <c r="P1328" s="14">
        <f t="shared" si="282"/>
        <v>1.1678351241809624</v>
      </c>
      <c r="Q1328" s="15">
        <f ca="1">STDEV(P1328:OFFSET(P1328,-$Q$5+1,0))</f>
        <v>1.4743586501486263</v>
      </c>
      <c r="R1328" s="15">
        <f ca="1">STDEV(P1328:OFFSET(P1328,-$R$5+1,0))</f>
        <v>1.221587998148693</v>
      </c>
      <c r="S1328" s="18">
        <f t="shared" si="269"/>
        <v>75.109999999999673</v>
      </c>
      <c r="T1328" s="18">
        <f t="shared" si="270"/>
        <v>107.21000000000004</v>
      </c>
      <c r="U1328" s="18">
        <f t="shared" si="278"/>
        <v>138.79516331311552</v>
      </c>
      <c r="V1328" s="33">
        <f ca="1">AVERAGE(E1328:OFFSET(E1328,-V$5+1,0))</f>
        <v>7570.721428571429</v>
      </c>
      <c r="W1328" s="33">
        <f t="shared" ca="1" si="271"/>
        <v>7778.9141735411022</v>
      </c>
      <c r="X1328" s="33">
        <f t="shared" ca="1" si="272"/>
        <v>7362.5286836017558</v>
      </c>
      <c r="Y1328" s="32">
        <f t="shared" ca="1" si="279"/>
        <v>0</v>
      </c>
    </row>
    <row r="1329" spans="1:25">
      <c r="A1329" s="5">
        <v>40323</v>
      </c>
      <c r="B1329" s="4">
        <v>7238.16</v>
      </c>
      <c r="C1329" s="4">
        <v>7241.84</v>
      </c>
      <c r="D1329" s="4">
        <v>7032.4</v>
      </c>
      <c r="E1329" s="4">
        <v>7086.37</v>
      </c>
      <c r="F1329" s="4">
        <v>3914000</v>
      </c>
      <c r="G1329" s="8">
        <f t="shared" si="281"/>
        <v>-84.569999999999709</v>
      </c>
      <c r="H1329" s="8">
        <f t="shared" si="280"/>
        <v>-151.78999999999996</v>
      </c>
      <c r="I1329" s="20">
        <f t="shared" ca="1" si="273"/>
        <v>0</v>
      </c>
      <c r="J1329" s="8">
        <f t="shared" ca="1" si="274"/>
        <v>0</v>
      </c>
      <c r="K1329" s="8">
        <f t="shared" ca="1" si="275"/>
        <v>0</v>
      </c>
      <c r="L1329" s="8">
        <f t="shared" ca="1" si="276"/>
        <v>17065.790000000015</v>
      </c>
      <c r="M1329" s="9">
        <f ca="1">AVERAGE(E1329:OFFSET(E1329,-M$5+1,0))</f>
        <v>7495.9819999999991</v>
      </c>
      <c r="N1329" s="9">
        <f ca="1">AVERAGE(E1329:OFFSET(E1329,-N$5+1,0))</f>
        <v>7654.9630000000006</v>
      </c>
      <c r="O1329" s="9">
        <f t="shared" ca="1" si="277"/>
        <v>0</v>
      </c>
      <c r="P1329" s="14">
        <f t="shared" si="282"/>
        <v>-3.2809988547464446</v>
      </c>
      <c r="Q1329" s="15">
        <f ca="1">STDEV(P1329:OFFSET(P1329,-$Q$5+1,0))</f>
        <v>1.726129744106536</v>
      </c>
      <c r="R1329" s="15">
        <f ca="1">STDEV(P1329:OFFSET(P1329,-$R$5+1,0))</f>
        <v>1.3029583152922899</v>
      </c>
      <c r="S1329" s="18">
        <f t="shared" si="269"/>
        <v>209.44000000000051</v>
      </c>
      <c r="T1329" s="18">
        <f t="shared" si="270"/>
        <v>290.32999999999993</v>
      </c>
      <c r="U1329" s="18">
        <f t="shared" si="278"/>
        <v>158.99980820470012</v>
      </c>
      <c r="V1329" s="33">
        <f ca="1">AVERAGE(E1329:OFFSET(E1329,-V$5+1,0))</f>
        <v>7527.1121428571432</v>
      </c>
      <c r="W1329" s="33">
        <f t="shared" ca="1" si="271"/>
        <v>7765.611855164193</v>
      </c>
      <c r="X1329" s="33">
        <f t="shared" ca="1" si="272"/>
        <v>7288.6124305500934</v>
      </c>
      <c r="Y1329" s="32">
        <f t="shared" ca="1" si="279"/>
        <v>0</v>
      </c>
    </row>
    <row r="1330" spans="1:25">
      <c r="A1330" s="5">
        <v>40324</v>
      </c>
      <c r="B1330" s="4">
        <v>7161.4</v>
      </c>
      <c r="C1330" s="4">
        <v>7174.38</v>
      </c>
      <c r="D1330" s="4">
        <v>7079.85</v>
      </c>
      <c r="E1330" s="4">
        <v>7167.35</v>
      </c>
      <c r="F1330" s="4">
        <v>3536200</v>
      </c>
      <c r="G1330" s="8">
        <f t="shared" si="281"/>
        <v>75.029999999999745</v>
      </c>
      <c r="H1330" s="8">
        <f t="shared" si="280"/>
        <v>5.9500000000007276</v>
      </c>
      <c r="I1330" s="20">
        <f t="shared" ca="1" si="273"/>
        <v>0</v>
      </c>
      <c r="J1330" s="8">
        <f t="shared" ca="1" si="274"/>
        <v>0</v>
      </c>
      <c r="K1330" s="8">
        <f t="shared" ca="1" si="275"/>
        <v>0</v>
      </c>
      <c r="L1330" s="8">
        <f t="shared" ca="1" si="276"/>
        <v>17065.790000000015</v>
      </c>
      <c r="M1330" s="9">
        <f ca="1">AVERAGE(E1330:OFFSET(E1330,-M$5+1,0))</f>
        <v>7452.4470000000001</v>
      </c>
      <c r="N1330" s="9">
        <f ca="1">AVERAGE(E1330:OFFSET(E1330,-N$5+1,0))</f>
        <v>7609.2530000000015</v>
      </c>
      <c r="O1330" s="9">
        <f t="shared" ca="1" si="277"/>
        <v>0</v>
      </c>
      <c r="P1330" s="14">
        <f t="shared" si="282"/>
        <v>1.1362770040747643</v>
      </c>
      <c r="Q1330" s="15">
        <f ca="1">STDEV(P1330:OFFSET(P1330,-$Q$5+1,0))</f>
        <v>1.8158882701779253</v>
      </c>
      <c r="R1330" s="15">
        <f ca="1">STDEV(P1330:OFFSET(P1330,-$R$5+1,0))</f>
        <v>1.3203480538649717</v>
      </c>
      <c r="S1330" s="18">
        <f t="shared" si="269"/>
        <v>94.529999999999745</v>
      </c>
      <c r="T1330" s="18">
        <f t="shared" si="270"/>
        <v>94.529999999999745</v>
      </c>
      <c r="U1330" s="18">
        <f t="shared" si="278"/>
        <v>150.40383377740673</v>
      </c>
      <c r="V1330" s="33">
        <f ca="1">AVERAGE(E1330:OFFSET(E1330,-V$5+1,0))</f>
        <v>7497.6742857142863</v>
      </c>
      <c r="W1330" s="33">
        <f t="shared" ca="1" si="271"/>
        <v>7723.2800363803963</v>
      </c>
      <c r="X1330" s="33">
        <f t="shared" ca="1" si="272"/>
        <v>7272.0685350481763</v>
      </c>
      <c r="Y1330" s="32">
        <f t="shared" ca="1" si="279"/>
        <v>0</v>
      </c>
    </row>
    <row r="1331" spans="1:25">
      <c r="A1331" s="5">
        <v>40325</v>
      </c>
      <c r="B1331" s="4">
        <v>7139.45</v>
      </c>
      <c r="C1331" s="4">
        <v>7254.68</v>
      </c>
      <c r="D1331" s="4">
        <v>7105.11</v>
      </c>
      <c r="E1331" s="4">
        <v>7243.16</v>
      </c>
      <c r="F1331" s="4">
        <v>3097400</v>
      </c>
      <c r="G1331" s="8">
        <f t="shared" si="281"/>
        <v>-27.900000000000546</v>
      </c>
      <c r="H1331" s="8">
        <f t="shared" si="280"/>
        <v>103.71000000000004</v>
      </c>
      <c r="I1331" s="20">
        <f t="shared" ca="1" si="273"/>
        <v>0</v>
      </c>
      <c r="J1331" s="8">
        <f t="shared" ca="1" si="274"/>
        <v>0</v>
      </c>
      <c r="K1331" s="8">
        <f t="shared" ca="1" si="275"/>
        <v>0</v>
      </c>
      <c r="L1331" s="8">
        <f t="shared" ca="1" si="276"/>
        <v>17065.790000000015</v>
      </c>
      <c r="M1331" s="9">
        <f ca="1">AVERAGE(E1331:OFFSET(E1331,-M$5+1,0))</f>
        <v>7399.706000000001</v>
      </c>
      <c r="N1331" s="9">
        <f ca="1">AVERAGE(E1331:OFFSET(E1331,-N$5+1,0))</f>
        <v>7568.7085000000025</v>
      </c>
      <c r="O1331" s="9">
        <f t="shared" ca="1" si="277"/>
        <v>0</v>
      </c>
      <c r="P1331" s="14">
        <f t="shared" si="282"/>
        <v>1.0521584505973691</v>
      </c>
      <c r="Q1331" s="15">
        <f ca="1">STDEV(P1331:OFFSET(P1331,-$Q$5+1,0))</f>
        <v>1.6516405323854817</v>
      </c>
      <c r="R1331" s="15">
        <f ca="1">STDEV(P1331:OFFSET(P1331,-$R$5+1,0))</f>
        <v>1.3357455672337888</v>
      </c>
      <c r="S1331" s="18">
        <f t="shared" si="269"/>
        <v>149.57000000000062</v>
      </c>
      <c r="T1331" s="18">
        <f t="shared" si="270"/>
        <v>149.57000000000062</v>
      </c>
      <c r="U1331" s="18">
        <f t="shared" si="278"/>
        <v>150.29265594041925</v>
      </c>
      <c r="V1331" s="33">
        <f ca="1">AVERAGE(E1331:OFFSET(E1331,-V$5+1,0))</f>
        <v>7474.5357142857147</v>
      </c>
      <c r="W1331" s="33">
        <f t="shared" ca="1" si="271"/>
        <v>7699.9746981963435</v>
      </c>
      <c r="X1331" s="33">
        <f t="shared" ca="1" si="272"/>
        <v>7249.0967303750858</v>
      </c>
      <c r="Y1331" s="32">
        <f t="shared" ca="1" si="279"/>
        <v>0</v>
      </c>
    </row>
    <row r="1332" spans="1:25">
      <c r="A1332" s="5">
        <v>40326</v>
      </c>
      <c r="B1332" s="4">
        <v>7338.77</v>
      </c>
      <c r="C1332" s="4">
        <v>7364.01</v>
      </c>
      <c r="D1332" s="4">
        <v>7271.3</v>
      </c>
      <c r="E1332" s="4">
        <v>7295.32</v>
      </c>
      <c r="F1332" s="4">
        <v>3575800</v>
      </c>
      <c r="G1332" s="8">
        <f t="shared" si="281"/>
        <v>95.610000000000582</v>
      </c>
      <c r="H1332" s="8">
        <f t="shared" si="280"/>
        <v>-43.450000000000728</v>
      </c>
      <c r="I1332" s="20">
        <f t="shared" ca="1" si="273"/>
        <v>0</v>
      </c>
      <c r="J1332" s="8">
        <f t="shared" ca="1" si="274"/>
        <v>0</v>
      </c>
      <c r="K1332" s="8">
        <f t="shared" ca="1" si="275"/>
        <v>0</v>
      </c>
      <c r="L1332" s="8">
        <f t="shared" ca="1" si="276"/>
        <v>17065.790000000015</v>
      </c>
      <c r="M1332" s="9">
        <f ca="1">AVERAGE(E1332:OFFSET(E1332,-M$5+1,0))</f>
        <v>7352.0249999999996</v>
      </c>
      <c r="N1332" s="9">
        <f ca="1">AVERAGE(E1332:OFFSET(E1332,-N$5+1,0))</f>
        <v>7533.2620000000006</v>
      </c>
      <c r="O1332" s="9">
        <f t="shared" ca="1" si="277"/>
        <v>0</v>
      </c>
      <c r="P1332" s="14">
        <f t="shared" si="282"/>
        <v>0.71754714108118123</v>
      </c>
      <c r="Q1332" s="15">
        <f ca="1">STDEV(P1332:OFFSET(P1332,-$Q$5+1,0))</f>
        <v>1.6995922263583081</v>
      </c>
      <c r="R1332" s="15">
        <f ca="1">STDEV(P1332:OFFSET(P1332,-$R$5+1,0))</f>
        <v>1.3255810775502086</v>
      </c>
      <c r="S1332" s="18">
        <f t="shared" si="269"/>
        <v>92.710000000000036</v>
      </c>
      <c r="T1332" s="18">
        <f t="shared" si="270"/>
        <v>120.85000000000036</v>
      </c>
      <c r="U1332" s="18">
        <f t="shared" si="278"/>
        <v>146.36696848169672</v>
      </c>
      <c r="V1332" s="33">
        <f ca="1">AVERAGE(E1332:OFFSET(E1332,-V$5+1,0))</f>
        <v>7448.1492857142857</v>
      </c>
      <c r="W1332" s="33">
        <f t="shared" ca="1" si="271"/>
        <v>7667.6997384368306</v>
      </c>
      <c r="X1332" s="33">
        <f t="shared" ca="1" si="272"/>
        <v>7228.5988329917409</v>
      </c>
      <c r="Y1332" s="32">
        <f t="shared" ca="1" si="279"/>
        <v>0</v>
      </c>
    </row>
    <row r="1333" spans="1:25">
      <c r="A1333" s="5">
        <v>40329</v>
      </c>
      <c r="B1333" s="4">
        <v>7312.26</v>
      </c>
      <c r="C1333" s="4">
        <v>7373.98</v>
      </c>
      <c r="D1333" s="4">
        <v>7292.54</v>
      </c>
      <c r="E1333" s="4">
        <v>7373.98</v>
      </c>
      <c r="F1333" s="4">
        <v>2443000</v>
      </c>
      <c r="G1333" s="8">
        <f t="shared" si="281"/>
        <v>16.940000000000509</v>
      </c>
      <c r="H1333" s="8">
        <f t="shared" si="280"/>
        <v>61.719999999999345</v>
      </c>
      <c r="I1333" s="20">
        <f t="shared" ca="1" si="273"/>
        <v>0</v>
      </c>
      <c r="J1333" s="8">
        <f t="shared" ca="1" si="274"/>
        <v>0</v>
      </c>
      <c r="K1333" s="8">
        <f t="shared" ca="1" si="275"/>
        <v>0</v>
      </c>
      <c r="L1333" s="8">
        <f t="shared" ca="1" si="276"/>
        <v>17065.790000000015</v>
      </c>
      <c r="M1333" s="9">
        <f ca="1">AVERAGE(E1333:OFFSET(E1333,-M$5+1,0))</f>
        <v>7329.5509999999995</v>
      </c>
      <c r="N1333" s="9">
        <f ca="1">AVERAGE(E1333:OFFSET(E1333,-N$5+1,0))</f>
        <v>7504.3525000000009</v>
      </c>
      <c r="O1333" s="9">
        <f t="shared" ca="1" si="277"/>
        <v>0</v>
      </c>
      <c r="P1333" s="14">
        <f t="shared" si="282"/>
        <v>1.0724540902016773</v>
      </c>
      <c r="Q1333" s="15">
        <f ca="1">STDEV(P1333:OFFSET(P1333,-$Q$5+1,0))</f>
        <v>1.6720949826655414</v>
      </c>
      <c r="R1333" s="15">
        <f ca="1">STDEV(P1333:OFFSET(P1333,-$R$5+1,0))</f>
        <v>1.3403141950612552</v>
      </c>
      <c r="S1333" s="18">
        <f t="shared" ref="S1333:S1396" si="283">C1333-D1333</f>
        <v>81.4399999999996</v>
      </c>
      <c r="T1333" s="18">
        <f t="shared" ref="T1333:T1396" si="284">MAX(C1333,E1332)-MIN(D1333,E1332)</f>
        <v>81.4399999999996</v>
      </c>
      <c r="U1333" s="18">
        <f t="shared" si="278"/>
        <v>137.71003935080378</v>
      </c>
      <c r="V1333" s="33">
        <f ca="1">AVERAGE(E1333:OFFSET(E1333,-V$5+1,0))</f>
        <v>7431.4021428571423</v>
      </c>
      <c r="W1333" s="33">
        <f t="shared" ref="W1333:W1396" ca="1" si="285">V1333+W$5*U1333</f>
        <v>7637.967201883348</v>
      </c>
      <c r="X1333" s="33">
        <f t="shared" ref="X1333:X1396" ca="1" si="286">V1333-W$5*U1333</f>
        <v>7224.8370838309365</v>
      </c>
      <c r="Y1333" s="32">
        <f t="shared" ca="1" si="279"/>
        <v>0</v>
      </c>
    </row>
    <row r="1334" spans="1:25">
      <c r="A1334" s="5">
        <v>40330</v>
      </c>
      <c r="B1334" s="4">
        <v>7327.01</v>
      </c>
      <c r="C1334" s="4">
        <v>7348.56</v>
      </c>
      <c r="D1334" s="4">
        <v>7276.52</v>
      </c>
      <c r="E1334" s="4">
        <v>7289.33</v>
      </c>
      <c r="F1334" s="4">
        <v>2518000</v>
      </c>
      <c r="G1334" s="8">
        <f t="shared" si="281"/>
        <v>-46.969999999999345</v>
      </c>
      <c r="H1334" s="8">
        <f t="shared" si="280"/>
        <v>-37.680000000000291</v>
      </c>
      <c r="I1334" s="20">
        <f t="shared" ref="I1334:I1397" ca="1" si="287">Y1334</f>
        <v>0</v>
      </c>
      <c r="J1334" s="8">
        <f t="shared" ref="J1334:J1397" ca="1" si="288">IF((J1333+I1333)&gt;=J$5,J$5,IF((J1333+I1333)&lt;=J$7,J$7,J1333+I1333))</f>
        <v>0</v>
      </c>
      <c r="K1334" s="8">
        <f t="shared" ref="K1334:K1397" ca="1" si="289">J1333*G1334+J1334*H1334</f>
        <v>0</v>
      </c>
      <c r="L1334" s="8">
        <f t="shared" ref="L1334:L1397" ca="1" si="290">L1333+K1334</f>
        <v>17065.790000000015</v>
      </c>
      <c r="M1334" s="9">
        <f ca="1">AVERAGE(E1334:OFFSET(E1334,-M$5+1,0))</f>
        <v>7299.9540000000006</v>
      </c>
      <c r="N1334" s="9">
        <f ca="1">AVERAGE(E1334:OFFSET(E1334,-N$5+1,0))</f>
        <v>7472.2805000000008</v>
      </c>
      <c r="O1334" s="9">
        <f t="shared" ref="O1334:O1397" ca="1" si="291">IF(AND(M1333&lt;=N1333,M1334&gt;N1334),1,IF(AND(M1333&gt;=N1333,M1334&lt;N1334),-1,0))</f>
        <v>0</v>
      </c>
      <c r="P1334" s="14">
        <f t="shared" si="282"/>
        <v>-1.1545952500758601</v>
      </c>
      <c r="Q1334" s="15">
        <f ca="1">STDEV(P1334:OFFSET(P1334,-$Q$5+1,0))</f>
        <v>1.6925395431095522</v>
      </c>
      <c r="R1334" s="15">
        <f ca="1">STDEV(P1334:OFFSET(P1334,-$R$5+1,0))</f>
        <v>1.3382949681869694</v>
      </c>
      <c r="S1334" s="18">
        <f t="shared" si="283"/>
        <v>72.039999999999964</v>
      </c>
      <c r="T1334" s="18">
        <f t="shared" si="284"/>
        <v>97.459999999999127</v>
      </c>
      <c r="U1334" s="18">
        <f t="shared" ref="U1334:U1397" si="292">$U$5*T1334+(1-$U$5)*U1333</f>
        <v>132.34336743736316</v>
      </c>
      <c r="V1334" s="33">
        <f ca="1">AVERAGE(E1334:OFFSET(E1334,-V$5+1,0))</f>
        <v>7409.0185714285717</v>
      </c>
      <c r="W1334" s="33">
        <f t="shared" ca="1" si="285"/>
        <v>7607.5336225846168</v>
      </c>
      <c r="X1334" s="33">
        <f t="shared" ca="1" si="286"/>
        <v>7210.5035202725267</v>
      </c>
      <c r="Y1334" s="32">
        <f t="shared" ref="Y1334:Y1397" ca="1" si="293">IF(AND(E1333&gt;X1333,E1334&lt;X1334),-1,IF(AND(E1333&lt;W1333,E1334&gt;W1334),1,0))</f>
        <v>0</v>
      </c>
    </row>
    <row r="1335" spans="1:25">
      <c r="A1335" s="5">
        <v>40331</v>
      </c>
      <c r="B1335" s="4">
        <v>7252.79</v>
      </c>
      <c r="C1335" s="4">
        <v>7304.13</v>
      </c>
      <c r="D1335" s="4">
        <v>7159.75</v>
      </c>
      <c r="E1335" s="4">
        <v>7195.71</v>
      </c>
      <c r="F1335" s="4">
        <v>2794200</v>
      </c>
      <c r="G1335" s="8">
        <f t="shared" si="281"/>
        <v>-36.539999999999964</v>
      </c>
      <c r="H1335" s="8">
        <f t="shared" si="280"/>
        <v>-57.079999999999927</v>
      </c>
      <c r="I1335" s="20">
        <f t="shared" ca="1" si="287"/>
        <v>0</v>
      </c>
      <c r="J1335" s="8">
        <f t="shared" ca="1" si="288"/>
        <v>0</v>
      </c>
      <c r="K1335" s="8">
        <f t="shared" ca="1" si="289"/>
        <v>0</v>
      </c>
      <c r="L1335" s="8">
        <f t="shared" ca="1" si="290"/>
        <v>17065.790000000015</v>
      </c>
      <c r="M1335" s="9">
        <f ca="1">AVERAGE(E1335:OFFSET(E1335,-M$5+1,0))</f>
        <v>7263.6090000000013</v>
      </c>
      <c r="N1335" s="9">
        <f ca="1">AVERAGE(E1335:OFFSET(E1335,-N$5+1,0))</f>
        <v>7447.2210000000005</v>
      </c>
      <c r="O1335" s="9">
        <f t="shared" ca="1" si="291"/>
        <v>0</v>
      </c>
      <c r="P1335" s="14">
        <f t="shared" si="282"/>
        <v>-1.2926619965895092</v>
      </c>
      <c r="Q1335" s="15">
        <f ca="1">STDEV(P1335:OFFSET(P1335,-$Q$5+1,0))</f>
        <v>1.7156167479441717</v>
      </c>
      <c r="R1335" s="15">
        <f ca="1">STDEV(P1335:OFFSET(P1335,-$R$5+1,0))</f>
        <v>1.3436752071217406</v>
      </c>
      <c r="S1335" s="18">
        <f t="shared" si="283"/>
        <v>144.38000000000011</v>
      </c>
      <c r="T1335" s="18">
        <f t="shared" si="284"/>
        <v>144.38000000000011</v>
      </c>
      <c r="U1335" s="18">
        <f t="shared" si="292"/>
        <v>133.94825177904809</v>
      </c>
      <c r="V1335" s="33">
        <f ca="1">AVERAGE(E1335:OFFSET(E1335,-V$5+1,0))</f>
        <v>7367.9571428571435</v>
      </c>
      <c r="W1335" s="33">
        <f t="shared" ca="1" si="285"/>
        <v>7568.8795205257156</v>
      </c>
      <c r="X1335" s="33">
        <f t="shared" ca="1" si="286"/>
        <v>7167.0347651885713</v>
      </c>
      <c r="Y1335" s="32">
        <f t="shared" ca="1" si="293"/>
        <v>0</v>
      </c>
    </row>
    <row r="1336" spans="1:25">
      <c r="A1336" s="5">
        <v>40332</v>
      </c>
      <c r="B1336" s="4">
        <v>7322.51</v>
      </c>
      <c r="C1336" s="4">
        <v>7361.7</v>
      </c>
      <c r="D1336" s="4">
        <v>7309.46</v>
      </c>
      <c r="E1336" s="4">
        <v>7360.28</v>
      </c>
      <c r="F1336" s="4">
        <v>2820800</v>
      </c>
      <c r="G1336" s="8">
        <f t="shared" si="281"/>
        <v>126.80000000000018</v>
      </c>
      <c r="H1336" s="8">
        <f t="shared" si="280"/>
        <v>37.769999999999527</v>
      </c>
      <c r="I1336" s="20">
        <f t="shared" ca="1" si="287"/>
        <v>0</v>
      </c>
      <c r="J1336" s="8">
        <f t="shared" ca="1" si="288"/>
        <v>0</v>
      </c>
      <c r="K1336" s="8">
        <f t="shared" ca="1" si="289"/>
        <v>0</v>
      </c>
      <c r="L1336" s="8">
        <f t="shared" ca="1" si="290"/>
        <v>17065.790000000015</v>
      </c>
      <c r="M1336" s="9">
        <f ca="1">AVERAGE(E1336:OFFSET(E1336,-M$5+1,0))</f>
        <v>7257.1940000000004</v>
      </c>
      <c r="N1336" s="9">
        <f ca="1">AVERAGE(E1336:OFFSET(E1336,-N$5+1,0))</f>
        <v>7436.2610000000004</v>
      </c>
      <c r="O1336" s="9">
        <f t="shared" ca="1" si="291"/>
        <v>0</v>
      </c>
      <c r="P1336" s="14">
        <f t="shared" si="282"/>
        <v>2.2612960385957037</v>
      </c>
      <c r="Q1336" s="15">
        <f ca="1">STDEV(P1336:OFFSET(P1336,-$Q$5+1,0))</f>
        <v>1.8475795642846562</v>
      </c>
      <c r="R1336" s="15">
        <f ca="1">STDEV(P1336:OFFSET(P1336,-$R$5+1,0))</f>
        <v>1.4006672018320034</v>
      </c>
      <c r="S1336" s="18">
        <f t="shared" si="283"/>
        <v>52.239999999999782</v>
      </c>
      <c r="T1336" s="18">
        <f t="shared" si="284"/>
        <v>165.98999999999978</v>
      </c>
      <c r="U1336" s="18">
        <f t="shared" si="292"/>
        <v>138.22048487517498</v>
      </c>
      <c r="V1336" s="33">
        <f ca="1">AVERAGE(E1336:OFFSET(E1336,-V$5+1,0))</f>
        <v>7338.5392857142861</v>
      </c>
      <c r="W1336" s="33">
        <f t="shared" ca="1" si="285"/>
        <v>7545.8700130270481</v>
      </c>
      <c r="X1336" s="33">
        <f t="shared" ca="1" si="286"/>
        <v>7131.208558401524</v>
      </c>
      <c r="Y1336" s="32">
        <f t="shared" ca="1" si="293"/>
        <v>0</v>
      </c>
    </row>
    <row r="1337" spans="1:25">
      <c r="A1337" s="5">
        <v>40333</v>
      </c>
      <c r="B1337" s="4">
        <v>7377.56</v>
      </c>
      <c r="C1337" s="4">
        <v>7377.56</v>
      </c>
      <c r="D1337" s="4">
        <v>7337.35</v>
      </c>
      <c r="E1337" s="4">
        <v>7344.59</v>
      </c>
      <c r="F1337" s="4">
        <v>2484600</v>
      </c>
      <c r="G1337" s="8">
        <f t="shared" si="281"/>
        <v>17.280000000000655</v>
      </c>
      <c r="H1337" s="8">
        <f t="shared" si="280"/>
        <v>-32.970000000000255</v>
      </c>
      <c r="I1337" s="20">
        <f t="shared" ca="1" si="287"/>
        <v>0</v>
      </c>
      <c r="J1337" s="8">
        <f t="shared" ca="1" si="288"/>
        <v>0</v>
      </c>
      <c r="K1337" s="8">
        <f t="shared" ca="1" si="289"/>
        <v>0</v>
      </c>
      <c r="L1337" s="8">
        <f t="shared" ca="1" si="290"/>
        <v>17065.790000000015</v>
      </c>
      <c r="M1337" s="9">
        <f ca="1">AVERAGE(E1337:OFFSET(E1337,-M$5+1,0))</f>
        <v>7267.8819999999996</v>
      </c>
      <c r="N1337" s="9">
        <f ca="1">AVERAGE(E1337:OFFSET(E1337,-N$5+1,0))</f>
        <v>7425.1354999999994</v>
      </c>
      <c r="O1337" s="9">
        <f t="shared" ca="1" si="291"/>
        <v>0</v>
      </c>
      <c r="P1337" s="14">
        <f t="shared" si="282"/>
        <v>-0.21339877134892477</v>
      </c>
      <c r="Q1337" s="15">
        <f ca="1">STDEV(P1337:OFFSET(P1337,-$Q$5+1,0))</f>
        <v>1.6377545883831071</v>
      </c>
      <c r="R1337" s="15">
        <f ca="1">STDEV(P1337:OFFSET(P1337,-$R$5+1,0))</f>
        <v>1.3966701646883659</v>
      </c>
      <c r="S1337" s="18">
        <f t="shared" si="283"/>
        <v>40.210000000000036</v>
      </c>
      <c r="T1337" s="18">
        <f t="shared" si="284"/>
        <v>40.210000000000036</v>
      </c>
      <c r="U1337" s="18">
        <f t="shared" si="292"/>
        <v>125.15242022515164</v>
      </c>
      <c r="V1337" s="33">
        <f ca="1">AVERAGE(E1337:OFFSET(E1337,-V$5+1,0))</f>
        <v>7320.3871428571429</v>
      </c>
      <c r="W1337" s="33">
        <f t="shared" ca="1" si="285"/>
        <v>7508.1157731948706</v>
      </c>
      <c r="X1337" s="33">
        <f t="shared" ca="1" si="286"/>
        <v>7132.6585125194151</v>
      </c>
      <c r="Y1337" s="32">
        <f t="shared" ca="1" si="293"/>
        <v>0</v>
      </c>
    </row>
    <row r="1338" spans="1:25">
      <c r="A1338" s="5">
        <v>40336</v>
      </c>
      <c r="B1338" s="4">
        <v>7139.76</v>
      </c>
      <c r="C1338" s="4">
        <v>7172.3</v>
      </c>
      <c r="D1338" s="4">
        <v>7085.55</v>
      </c>
      <c r="E1338" s="4">
        <v>7157.83</v>
      </c>
      <c r="F1338" s="4">
        <v>2801400</v>
      </c>
      <c r="G1338" s="8">
        <f t="shared" si="281"/>
        <v>-204.82999999999993</v>
      </c>
      <c r="H1338" s="8">
        <f t="shared" si="280"/>
        <v>18.069999999999709</v>
      </c>
      <c r="I1338" s="20">
        <f t="shared" ca="1" si="287"/>
        <v>0</v>
      </c>
      <c r="J1338" s="8">
        <f t="shared" ca="1" si="288"/>
        <v>0</v>
      </c>
      <c r="K1338" s="8">
        <f t="shared" ca="1" si="289"/>
        <v>0</v>
      </c>
      <c r="L1338" s="8">
        <f t="shared" ca="1" si="290"/>
        <v>17065.790000000015</v>
      </c>
      <c r="M1338" s="9">
        <f ca="1">AVERAGE(E1338:OFFSET(E1338,-M$5+1,0))</f>
        <v>7251.3919999999998</v>
      </c>
      <c r="N1338" s="9">
        <f ca="1">AVERAGE(E1338:OFFSET(E1338,-N$5+1,0))</f>
        <v>7399.7905000000001</v>
      </c>
      <c r="O1338" s="9">
        <f t="shared" ca="1" si="291"/>
        <v>0</v>
      </c>
      <c r="P1338" s="14">
        <f t="shared" si="282"/>
        <v>-2.57571253708555</v>
      </c>
      <c r="Q1338" s="15">
        <f ca="1">STDEV(P1338:OFFSET(P1338,-$Q$5+1,0))</f>
        <v>1.7983555800818589</v>
      </c>
      <c r="R1338" s="15">
        <f ca="1">STDEV(P1338:OFFSET(P1338,-$R$5+1,0))</f>
        <v>1.4411467244454044</v>
      </c>
      <c r="S1338" s="18">
        <f t="shared" si="283"/>
        <v>86.75</v>
      </c>
      <c r="T1338" s="18">
        <f t="shared" si="284"/>
        <v>259.03999999999996</v>
      </c>
      <c r="U1338" s="18">
        <f t="shared" si="292"/>
        <v>143.00409752846477</v>
      </c>
      <c r="V1338" s="33">
        <f ca="1">AVERAGE(E1338:OFFSET(E1338,-V$5+1,0))</f>
        <v>7289.8535714285726</v>
      </c>
      <c r="W1338" s="33">
        <f t="shared" ca="1" si="285"/>
        <v>7504.3597177212696</v>
      </c>
      <c r="X1338" s="33">
        <f t="shared" ca="1" si="286"/>
        <v>7075.3474251358757</v>
      </c>
      <c r="Y1338" s="32">
        <f t="shared" ca="1" si="293"/>
        <v>0</v>
      </c>
    </row>
    <row r="1339" spans="1:25">
      <c r="A1339" s="5">
        <v>40337</v>
      </c>
      <c r="B1339" s="4">
        <v>7142.31</v>
      </c>
      <c r="C1339" s="4">
        <v>7179.14</v>
      </c>
      <c r="D1339" s="4">
        <v>7128.92</v>
      </c>
      <c r="E1339" s="4">
        <v>7151.99</v>
      </c>
      <c r="F1339" s="4">
        <v>2772200</v>
      </c>
      <c r="G1339" s="8">
        <f t="shared" si="281"/>
        <v>-15.519999999999527</v>
      </c>
      <c r="H1339" s="8">
        <f t="shared" si="280"/>
        <v>9.6799999999993815</v>
      </c>
      <c r="I1339" s="20">
        <f t="shared" ca="1" si="287"/>
        <v>0</v>
      </c>
      <c r="J1339" s="8">
        <f t="shared" ca="1" si="288"/>
        <v>0</v>
      </c>
      <c r="K1339" s="8">
        <f t="shared" ca="1" si="289"/>
        <v>0</v>
      </c>
      <c r="L1339" s="8">
        <f t="shared" ca="1" si="290"/>
        <v>17065.790000000015</v>
      </c>
      <c r="M1339" s="9">
        <f ca="1">AVERAGE(E1339:OFFSET(E1339,-M$5+1,0))</f>
        <v>7257.9540000000006</v>
      </c>
      <c r="N1339" s="9">
        <f ca="1">AVERAGE(E1339:OFFSET(E1339,-N$5+1,0))</f>
        <v>7376.9679999999989</v>
      </c>
      <c r="O1339" s="9">
        <f t="shared" ca="1" si="291"/>
        <v>0</v>
      </c>
      <c r="P1339" s="14">
        <f t="shared" si="282"/>
        <v>-8.1622275112152698E-2</v>
      </c>
      <c r="Q1339" s="15">
        <f ca="1">STDEV(P1339:OFFSET(P1339,-$Q$5+1,0))</f>
        <v>1.4446166352911491</v>
      </c>
      <c r="R1339" s="15">
        <f ca="1">STDEV(P1339:OFFSET(P1339,-$R$5+1,0))</f>
        <v>1.4360429602246958</v>
      </c>
      <c r="S1339" s="18">
        <f t="shared" si="283"/>
        <v>50.220000000000255</v>
      </c>
      <c r="T1339" s="18">
        <f t="shared" si="284"/>
        <v>50.220000000000255</v>
      </c>
      <c r="U1339" s="18">
        <f t="shared" si="292"/>
        <v>130.63288452466949</v>
      </c>
      <c r="V1339" s="33">
        <f ca="1">AVERAGE(E1339:OFFSET(E1339,-V$5+1,0))</f>
        <v>7260.7700000000013</v>
      </c>
      <c r="W1339" s="33">
        <f t="shared" ca="1" si="285"/>
        <v>7456.7193267870052</v>
      </c>
      <c r="X1339" s="33">
        <f t="shared" ca="1" si="286"/>
        <v>7064.8206732129975</v>
      </c>
      <c r="Y1339" s="32">
        <f t="shared" ca="1" si="293"/>
        <v>0</v>
      </c>
    </row>
    <row r="1340" spans="1:25">
      <c r="A1340" s="5">
        <v>40338</v>
      </c>
      <c r="B1340" s="4">
        <v>7166.19</v>
      </c>
      <c r="C1340" s="4">
        <v>7193.04</v>
      </c>
      <c r="D1340" s="4">
        <v>7048.6</v>
      </c>
      <c r="E1340" s="4">
        <v>7071.67</v>
      </c>
      <c r="F1340" s="4">
        <v>3194200</v>
      </c>
      <c r="G1340" s="8">
        <f t="shared" si="281"/>
        <v>14.199999999999818</v>
      </c>
      <c r="H1340" s="8">
        <f t="shared" si="280"/>
        <v>-94.519999999999527</v>
      </c>
      <c r="I1340" s="20">
        <f t="shared" ca="1" si="287"/>
        <v>0</v>
      </c>
      <c r="J1340" s="8">
        <f t="shared" ca="1" si="288"/>
        <v>0</v>
      </c>
      <c r="K1340" s="8">
        <f t="shared" ca="1" si="289"/>
        <v>0</v>
      </c>
      <c r="L1340" s="8">
        <f t="shared" ca="1" si="290"/>
        <v>17065.790000000015</v>
      </c>
      <c r="M1340" s="9">
        <f ca="1">AVERAGE(E1340:OFFSET(E1340,-M$5+1,0))</f>
        <v>7248.3860000000004</v>
      </c>
      <c r="N1340" s="9">
        <f ca="1">AVERAGE(E1340:OFFSET(E1340,-N$5+1,0))</f>
        <v>7350.4165000000012</v>
      </c>
      <c r="O1340" s="9">
        <f t="shared" ca="1" si="291"/>
        <v>0</v>
      </c>
      <c r="P1340" s="14">
        <f t="shared" si="282"/>
        <v>-1.1293978309276789</v>
      </c>
      <c r="Q1340" s="15">
        <f ca="1">STDEV(P1340:OFFSET(P1340,-$Q$5+1,0))</f>
        <v>1.4403323024848627</v>
      </c>
      <c r="R1340" s="15">
        <f ca="1">STDEV(P1340:OFFSET(P1340,-$R$5+1,0))</f>
        <v>1.4301635439038292</v>
      </c>
      <c r="S1340" s="18">
        <f t="shared" si="283"/>
        <v>144.4399999999996</v>
      </c>
      <c r="T1340" s="18">
        <f t="shared" si="284"/>
        <v>144.4399999999996</v>
      </c>
      <c r="U1340" s="18">
        <f t="shared" si="292"/>
        <v>132.4738332547135</v>
      </c>
      <c r="V1340" s="33">
        <f ca="1">AVERAGE(E1340:OFFSET(E1340,-V$5+1,0))</f>
        <v>7235.5728571428572</v>
      </c>
      <c r="W1340" s="33">
        <f t="shared" ca="1" si="285"/>
        <v>7434.2836070249277</v>
      </c>
      <c r="X1340" s="33">
        <f t="shared" ca="1" si="286"/>
        <v>7036.8621072607866</v>
      </c>
      <c r="Y1340" s="32">
        <f t="shared" ca="1" si="293"/>
        <v>0</v>
      </c>
    </row>
    <row r="1341" spans="1:25">
      <c r="A1341" s="5">
        <v>40339</v>
      </c>
      <c r="B1341" s="4">
        <v>7134.16</v>
      </c>
      <c r="C1341" s="4">
        <v>7182.99</v>
      </c>
      <c r="D1341" s="4">
        <v>7085.34</v>
      </c>
      <c r="E1341" s="4">
        <v>7181.77</v>
      </c>
      <c r="F1341" s="4">
        <v>2467200</v>
      </c>
      <c r="G1341" s="8">
        <f t="shared" si="281"/>
        <v>62.489999999999782</v>
      </c>
      <c r="H1341" s="8">
        <f t="shared" si="280"/>
        <v>47.610000000000582</v>
      </c>
      <c r="I1341" s="20">
        <f t="shared" ca="1" si="287"/>
        <v>0</v>
      </c>
      <c r="J1341" s="8">
        <f t="shared" ca="1" si="288"/>
        <v>0</v>
      </c>
      <c r="K1341" s="8">
        <f t="shared" ca="1" si="289"/>
        <v>0</v>
      </c>
      <c r="L1341" s="8">
        <f t="shared" ca="1" si="290"/>
        <v>17065.790000000015</v>
      </c>
      <c r="M1341" s="9">
        <f ca="1">AVERAGE(E1341:OFFSET(E1341,-M$5+1,0))</f>
        <v>7242.2469999999985</v>
      </c>
      <c r="N1341" s="9">
        <f ca="1">AVERAGE(E1341:OFFSET(E1341,-N$5+1,0))</f>
        <v>7320.9764999999998</v>
      </c>
      <c r="O1341" s="9">
        <f t="shared" ca="1" si="291"/>
        <v>0</v>
      </c>
      <c r="P1341" s="14">
        <f t="shared" si="282"/>
        <v>1.5449209434719149</v>
      </c>
      <c r="Q1341" s="15">
        <f ca="1">STDEV(P1341:OFFSET(P1341,-$Q$5+1,0))</f>
        <v>1.4929063397141364</v>
      </c>
      <c r="R1341" s="15">
        <f ca="1">STDEV(P1341:OFFSET(P1341,-$R$5+1,0))</f>
        <v>1.4475789104030821</v>
      </c>
      <c r="S1341" s="18">
        <f t="shared" si="283"/>
        <v>97.649999999999636</v>
      </c>
      <c r="T1341" s="18">
        <f t="shared" si="284"/>
        <v>111.31999999999971</v>
      </c>
      <c r="U1341" s="18">
        <f t="shared" si="292"/>
        <v>129.653322154085</v>
      </c>
      <c r="V1341" s="33">
        <f ca="1">AVERAGE(E1341:OFFSET(E1341,-V$5+1,0))</f>
        <v>7231.5771428571434</v>
      </c>
      <c r="W1341" s="33">
        <f t="shared" ca="1" si="285"/>
        <v>7426.0571260882707</v>
      </c>
      <c r="X1341" s="33">
        <f t="shared" ca="1" si="286"/>
        <v>7037.097159626016</v>
      </c>
      <c r="Y1341" s="32">
        <f t="shared" ca="1" si="293"/>
        <v>0</v>
      </c>
    </row>
    <row r="1342" spans="1:25">
      <c r="A1342" s="5">
        <v>40340</v>
      </c>
      <c r="B1342" s="4">
        <v>7302.97</v>
      </c>
      <c r="C1342" s="4">
        <v>7321.6</v>
      </c>
      <c r="D1342" s="4">
        <v>7273.7</v>
      </c>
      <c r="E1342" s="4">
        <v>7299.49</v>
      </c>
      <c r="F1342" s="4">
        <v>3280800</v>
      </c>
      <c r="G1342" s="8">
        <f t="shared" si="281"/>
        <v>121.19999999999982</v>
      </c>
      <c r="H1342" s="8">
        <f t="shared" si="280"/>
        <v>-3.4800000000004729</v>
      </c>
      <c r="I1342" s="20">
        <f t="shared" ca="1" si="287"/>
        <v>0</v>
      </c>
      <c r="J1342" s="8">
        <f t="shared" ca="1" si="288"/>
        <v>0</v>
      </c>
      <c r="K1342" s="8">
        <f t="shared" ca="1" si="289"/>
        <v>0</v>
      </c>
      <c r="L1342" s="8">
        <f t="shared" ca="1" si="290"/>
        <v>17065.790000000015</v>
      </c>
      <c r="M1342" s="9">
        <f ca="1">AVERAGE(E1342:OFFSET(E1342,-M$5+1,0))</f>
        <v>7242.6639999999998</v>
      </c>
      <c r="N1342" s="9">
        <f ca="1">AVERAGE(E1342:OFFSET(E1342,-N$5+1,0))</f>
        <v>7297.3444999999992</v>
      </c>
      <c r="O1342" s="9">
        <f t="shared" ca="1" si="291"/>
        <v>0</v>
      </c>
      <c r="P1342" s="14">
        <f t="shared" si="282"/>
        <v>1.6258611914725785</v>
      </c>
      <c r="Q1342" s="15">
        <f ca="1">STDEV(P1342:OFFSET(P1342,-$Q$5+1,0))</f>
        <v>1.5726692574755377</v>
      </c>
      <c r="R1342" s="15">
        <f ca="1">STDEV(P1342:OFFSET(P1342,-$R$5+1,0))</f>
        <v>1.4780986828243294</v>
      </c>
      <c r="S1342" s="18">
        <f t="shared" si="283"/>
        <v>47.900000000000546</v>
      </c>
      <c r="T1342" s="18">
        <f t="shared" si="284"/>
        <v>139.82999999999993</v>
      </c>
      <c r="U1342" s="18">
        <f t="shared" si="292"/>
        <v>131.01021253354031</v>
      </c>
      <c r="V1342" s="33">
        <f ca="1">AVERAGE(E1342:OFFSET(E1342,-V$5+1,0))</f>
        <v>7229.9171428571435</v>
      </c>
      <c r="W1342" s="33">
        <f t="shared" ca="1" si="285"/>
        <v>7426.432461657454</v>
      </c>
      <c r="X1342" s="33">
        <f t="shared" ca="1" si="286"/>
        <v>7033.401824056833</v>
      </c>
      <c r="Y1342" s="32">
        <f t="shared" ca="1" si="293"/>
        <v>0</v>
      </c>
    </row>
    <row r="1343" spans="1:25">
      <c r="A1343" s="5">
        <v>40343</v>
      </c>
      <c r="B1343" s="4">
        <v>7372.93</v>
      </c>
      <c r="C1343" s="4">
        <v>7393.41</v>
      </c>
      <c r="D1343" s="4">
        <v>7347.23</v>
      </c>
      <c r="E1343" s="4">
        <v>7387.4</v>
      </c>
      <c r="F1343" s="4">
        <v>2681000</v>
      </c>
      <c r="G1343" s="8">
        <f t="shared" si="281"/>
        <v>73.440000000000509</v>
      </c>
      <c r="H1343" s="8">
        <f t="shared" si="280"/>
        <v>14.469999999999345</v>
      </c>
      <c r="I1343" s="20">
        <f t="shared" ca="1" si="287"/>
        <v>0</v>
      </c>
      <c r="J1343" s="8">
        <f t="shared" ca="1" si="288"/>
        <v>0</v>
      </c>
      <c r="K1343" s="8">
        <f t="shared" ca="1" si="289"/>
        <v>0</v>
      </c>
      <c r="L1343" s="8">
        <f t="shared" ca="1" si="290"/>
        <v>17065.790000000015</v>
      </c>
      <c r="M1343" s="9">
        <f ca="1">AVERAGE(E1343:OFFSET(E1343,-M$5+1,0))</f>
        <v>7244.0059999999994</v>
      </c>
      <c r="N1343" s="9">
        <f ca="1">AVERAGE(E1343:OFFSET(E1343,-N$5+1,0))</f>
        <v>7286.7785000000003</v>
      </c>
      <c r="O1343" s="9">
        <f t="shared" ca="1" si="291"/>
        <v>0</v>
      </c>
      <c r="P1343" s="14">
        <f t="shared" si="282"/>
        <v>1.1971363561467547</v>
      </c>
      <c r="Q1343" s="15">
        <f ca="1">STDEV(P1343:OFFSET(P1343,-$Q$5+1,0))</f>
        <v>1.5825294624177002</v>
      </c>
      <c r="R1343" s="15">
        <f ca="1">STDEV(P1343:OFFSET(P1343,-$R$5+1,0))</f>
        <v>1.4150122157319505</v>
      </c>
      <c r="S1343" s="18">
        <f t="shared" si="283"/>
        <v>46.180000000000291</v>
      </c>
      <c r="T1343" s="18">
        <f t="shared" si="284"/>
        <v>93.920000000000073</v>
      </c>
      <c r="U1343" s="18">
        <f t="shared" si="292"/>
        <v>126.06485086240163</v>
      </c>
      <c r="V1343" s="33">
        <f ca="1">AVERAGE(E1343:OFFSET(E1343,-V$5+1,0))</f>
        <v>7251.4192857142862</v>
      </c>
      <c r="W1343" s="33">
        <f t="shared" ca="1" si="285"/>
        <v>7440.5165620078888</v>
      </c>
      <c r="X1343" s="33">
        <f t="shared" ca="1" si="286"/>
        <v>7062.3220094206836</v>
      </c>
      <c r="Y1343" s="32">
        <f t="shared" ca="1" si="293"/>
        <v>0</v>
      </c>
    </row>
    <row r="1344" spans="1:25">
      <c r="A1344" s="5">
        <v>40344</v>
      </c>
      <c r="B1344" s="4">
        <v>7388.57</v>
      </c>
      <c r="C1344" s="4">
        <v>7489.68</v>
      </c>
      <c r="D1344" s="4">
        <v>7364.34</v>
      </c>
      <c r="E1344" s="4">
        <v>7454.06</v>
      </c>
      <c r="F1344" s="4">
        <v>2928800</v>
      </c>
      <c r="G1344" s="8">
        <f t="shared" si="281"/>
        <v>1.1700000000000728</v>
      </c>
      <c r="H1344" s="8">
        <f t="shared" si="280"/>
        <v>65.490000000000691</v>
      </c>
      <c r="I1344" s="20">
        <f t="shared" ca="1" si="287"/>
        <v>0</v>
      </c>
      <c r="J1344" s="8">
        <f t="shared" ca="1" si="288"/>
        <v>0</v>
      </c>
      <c r="K1344" s="8">
        <f t="shared" ca="1" si="289"/>
        <v>0</v>
      </c>
      <c r="L1344" s="8">
        <f t="shared" ca="1" si="290"/>
        <v>17065.790000000015</v>
      </c>
      <c r="M1344" s="9">
        <f ca="1">AVERAGE(E1344:OFFSET(E1344,-M$5+1,0))</f>
        <v>7260.4789999999994</v>
      </c>
      <c r="N1344" s="9">
        <f ca="1">AVERAGE(E1344:OFFSET(E1344,-N$5+1,0))</f>
        <v>7280.2165000000005</v>
      </c>
      <c r="O1344" s="9">
        <f t="shared" ca="1" si="291"/>
        <v>0</v>
      </c>
      <c r="P1344" s="14">
        <f t="shared" si="282"/>
        <v>0.89830041325565357</v>
      </c>
      <c r="Q1344" s="15">
        <f ca="1">STDEV(P1344:OFFSET(P1344,-$Q$5+1,0))</f>
        <v>1.5462268400450414</v>
      </c>
      <c r="R1344" s="15">
        <f ca="1">STDEV(P1344:OFFSET(P1344,-$R$5+1,0))</f>
        <v>1.4200414284586003</v>
      </c>
      <c r="S1344" s="18">
        <f t="shared" si="283"/>
        <v>125.34000000000015</v>
      </c>
      <c r="T1344" s="18">
        <f t="shared" si="284"/>
        <v>125.34000000000015</v>
      </c>
      <c r="U1344" s="18">
        <f t="shared" si="292"/>
        <v>125.96820408074809</v>
      </c>
      <c r="V1344" s="33">
        <f ca="1">AVERAGE(E1344:OFFSET(E1344,-V$5+1,0))</f>
        <v>7271.8985714285718</v>
      </c>
      <c r="W1344" s="33">
        <f t="shared" ca="1" si="285"/>
        <v>7460.8508775496939</v>
      </c>
      <c r="X1344" s="33">
        <f t="shared" ca="1" si="286"/>
        <v>7082.9462653074497</v>
      </c>
      <c r="Y1344" s="32">
        <f t="shared" ca="1" si="293"/>
        <v>0</v>
      </c>
    </row>
    <row r="1345" spans="1:25">
      <c r="A1345" s="5">
        <v>40346</v>
      </c>
      <c r="B1345" s="4">
        <v>7503.12</v>
      </c>
      <c r="C1345" s="4">
        <v>7534.06</v>
      </c>
      <c r="D1345" s="4">
        <v>7481.72</v>
      </c>
      <c r="E1345" s="4">
        <v>7515.78</v>
      </c>
      <c r="F1345" s="4">
        <v>3259000</v>
      </c>
      <c r="G1345" s="8">
        <f t="shared" si="281"/>
        <v>49.059999999999491</v>
      </c>
      <c r="H1345" s="8">
        <f t="shared" si="280"/>
        <v>12.659999999999854</v>
      </c>
      <c r="I1345" s="20">
        <f t="shared" ca="1" si="287"/>
        <v>1</v>
      </c>
      <c r="J1345" s="8">
        <f t="shared" ca="1" si="288"/>
        <v>0</v>
      </c>
      <c r="K1345" s="8">
        <f t="shared" ca="1" si="289"/>
        <v>0</v>
      </c>
      <c r="L1345" s="8">
        <f t="shared" ca="1" si="290"/>
        <v>17065.790000000015</v>
      </c>
      <c r="M1345" s="9">
        <f ca="1">AVERAGE(E1345:OFFSET(E1345,-M$5+1,0))</f>
        <v>7292.485999999999</v>
      </c>
      <c r="N1345" s="9">
        <f ca="1">AVERAGE(E1345:OFFSET(E1345,-N$5+1,0))</f>
        <v>7278.0475000000006</v>
      </c>
      <c r="O1345" s="9">
        <f t="shared" ca="1" si="291"/>
        <v>1</v>
      </c>
      <c r="P1345" s="14">
        <f t="shared" si="282"/>
        <v>0.82459598399105949</v>
      </c>
      <c r="Q1345" s="15">
        <f ca="1">STDEV(P1345:OFFSET(P1345,-$Q$5+1,0))</f>
        <v>1.4579958059719491</v>
      </c>
      <c r="R1345" s="15">
        <f ca="1">STDEV(P1345:OFFSET(P1345,-$R$5+1,0))</f>
        <v>1.4137196539139389</v>
      </c>
      <c r="S1345" s="18">
        <f t="shared" si="283"/>
        <v>52.340000000000146</v>
      </c>
      <c r="T1345" s="18">
        <f t="shared" si="284"/>
        <v>80</v>
      </c>
      <c r="U1345" s="18">
        <f t="shared" si="292"/>
        <v>119.83911020331503</v>
      </c>
      <c r="V1345" s="33">
        <f ca="1">AVERAGE(E1345:OFFSET(E1345,-V$5+1,0))</f>
        <v>7291.3714285714277</v>
      </c>
      <c r="W1345" s="33">
        <f t="shared" ca="1" si="285"/>
        <v>7471.1300938764007</v>
      </c>
      <c r="X1345" s="33">
        <f t="shared" ca="1" si="286"/>
        <v>7111.6127632664547</v>
      </c>
      <c r="Y1345" s="32">
        <f t="shared" ca="1" si="293"/>
        <v>1</v>
      </c>
    </row>
    <row r="1346" spans="1:25">
      <c r="A1346" s="5">
        <v>40347</v>
      </c>
      <c r="B1346" s="4">
        <v>7538.55</v>
      </c>
      <c r="C1346" s="4">
        <v>7538.55</v>
      </c>
      <c r="D1346" s="4">
        <v>7459.93</v>
      </c>
      <c r="E1346" s="4">
        <v>7493.11</v>
      </c>
      <c r="F1346" s="4">
        <v>2359000</v>
      </c>
      <c r="G1346" s="8">
        <f t="shared" si="281"/>
        <v>22.770000000000437</v>
      </c>
      <c r="H1346" s="8">
        <f t="shared" si="280"/>
        <v>-45.440000000000509</v>
      </c>
      <c r="I1346" s="20">
        <f t="shared" ca="1" si="287"/>
        <v>0</v>
      </c>
      <c r="J1346" s="8">
        <f t="shared" ca="1" si="288"/>
        <v>1</v>
      </c>
      <c r="K1346" s="8">
        <f t="shared" ca="1" si="289"/>
        <v>-45.440000000000509</v>
      </c>
      <c r="L1346" s="8">
        <f t="shared" ca="1" si="290"/>
        <v>17020.350000000013</v>
      </c>
      <c r="M1346" s="9">
        <f ca="1">AVERAGE(E1346:OFFSET(E1346,-M$5+1,0))</f>
        <v>7305.7690000000002</v>
      </c>
      <c r="N1346" s="9">
        <f ca="1">AVERAGE(E1346:OFFSET(E1346,-N$5+1,0))</f>
        <v>7281.4814999999999</v>
      </c>
      <c r="O1346" s="9">
        <f t="shared" ca="1" si="291"/>
        <v>0</v>
      </c>
      <c r="P1346" s="14">
        <f t="shared" si="282"/>
        <v>-0.30208785912855796</v>
      </c>
      <c r="Q1346" s="15">
        <f ca="1">STDEV(P1346:OFFSET(P1346,-$Q$5+1,0))</f>
        <v>1.3200853664707544</v>
      </c>
      <c r="R1346" s="15">
        <f ca="1">STDEV(P1346:OFFSET(P1346,-$R$5+1,0))</f>
        <v>1.4139152815348794</v>
      </c>
      <c r="S1346" s="18">
        <f t="shared" si="283"/>
        <v>78.619999999999891</v>
      </c>
      <c r="T1346" s="18">
        <f t="shared" si="284"/>
        <v>78.619999999999891</v>
      </c>
      <c r="U1346" s="18">
        <f t="shared" si="292"/>
        <v>114.343228842873</v>
      </c>
      <c r="V1346" s="33">
        <f ca="1">AVERAGE(E1346:OFFSET(E1346,-V$5+1,0))</f>
        <v>7305.4992857142852</v>
      </c>
      <c r="W1346" s="33">
        <f t="shared" ca="1" si="285"/>
        <v>7477.0141289785943</v>
      </c>
      <c r="X1346" s="33">
        <f t="shared" ca="1" si="286"/>
        <v>7133.9844424499761</v>
      </c>
      <c r="Y1346" s="32">
        <f t="shared" ca="1" si="293"/>
        <v>0</v>
      </c>
    </row>
    <row r="1347" spans="1:25">
      <c r="A1347" s="5">
        <v>40350</v>
      </c>
      <c r="B1347" s="4">
        <v>7595.93</v>
      </c>
      <c r="C1347" s="4">
        <v>7645.71</v>
      </c>
      <c r="D1347" s="4">
        <v>7562.25</v>
      </c>
      <c r="E1347" s="4">
        <v>7635.56</v>
      </c>
      <c r="F1347" s="4">
        <v>3884600</v>
      </c>
      <c r="G1347" s="8">
        <f t="shared" si="281"/>
        <v>102.82000000000062</v>
      </c>
      <c r="H1347" s="8">
        <f t="shared" si="280"/>
        <v>39.630000000000109</v>
      </c>
      <c r="I1347" s="20">
        <f t="shared" ca="1" si="287"/>
        <v>0</v>
      </c>
      <c r="J1347" s="8">
        <f t="shared" ca="1" si="288"/>
        <v>1</v>
      </c>
      <c r="K1347" s="8">
        <f t="shared" ca="1" si="289"/>
        <v>142.45000000000073</v>
      </c>
      <c r="L1347" s="8">
        <f t="shared" ca="1" si="290"/>
        <v>17162.800000000014</v>
      </c>
      <c r="M1347" s="9">
        <f ca="1">AVERAGE(E1347:OFFSET(E1347,-M$5+1,0))</f>
        <v>7334.8659999999991</v>
      </c>
      <c r="N1347" s="9">
        <f ca="1">AVERAGE(E1347:OFFSET(E1347,-N$5+1,0))</f>
        <v>7301.3739999999989</v>
      </c>
      <c r="O1347" s="9">
        <f t="shared" ca="1" si="291"/>
        <v>0</v>
      </c>
      <c r="P1347" s="14">
        <f t="shared" si="282"/>
        <v>1.883235076902626</v>
      </c>
      <c r="Q1347" s="15">
        <f ca="1">STDEV(P1347:OFFSET(P1347,-$Q$5+1,0))</f>
        <v>1.4140198930509449</v>
      </c>
      <c r="R1347" s="15">
        <f ca="1">STDEV(P1347:OFFSET(P1347,-$R$5+1,0))</f>
        <v>1.4485539741856148</v>
      </c>
      <c r="S1347" s="18">
        <f t="shared" si="283"/>
        <v>83.460000000000036</v>
      </c>
      <c r="T1347" s="18">
        <f t="shared" si="284"/>
        <v>152.60000000000036</v>
      </c>
      <c r="U1347" s="18">
        <f t="shared" si="292"/>
        <v>119.44413166382333</v>
      </c>
      <c r="V1347" s="33">
        <f ca="1">AVERAGE(E1347:OFFSET(E1347,-V$5+1,0))</f>
        <v>7324.1835714285708</v>
      </c>
      <c r="W1347" s="33">
        <f t="shared" ca="1" si="285"/>
        <v>7503.3497689243059</v>
      </c>
      <c r="X1347" s="33">
        <f t="shared" ca="1" si="286"/>
        <v>7145.0173739328357</v>
      </c>
      <c r="Y1347" s="32">
        <f t="shared" ca="1" si="293"/>
        <v>0</v>
      </c>
    </row>
    <row r="1348" spans="1:25">
      <c r="A1348" s="5">
        <v>40351</v>
      </c>
      <c r="B1348" s="4">
        <v>7630.64</v>
      </c>
      <c r="C1348" s="4">
        <v>7639.66</v>
      </c>
      <c r="D1348" s="4">
        <v>7610.62</v>
      </c>
      <c r="E1348" s="4">
        <v>7612.68</v>
      </c>
      <c r="F1348" s="4">
        <v>2901200</v>
      </c>
      <c r="G1348" s="8">
        <f t="shared" si="281"/>
        <v>-4.9200000000000728</v>
      </c>
      <c r="H1348" s="8">
        <f t="shared" ref="H1348:H1411" si="294">E1348-B1348</f>
        <v>-17.960000000000036</v>
      </c>
      <c r="I1348" s="20">
        <f t="shared" ca="1" si="287"/>
        <v>0</v>
      </c>
      <c r="J1348" s="8">
        <f t="shared" ca="1" si="288"/>
        <v>1</v>
      </c>
      <c r="K1348" s="8">
        <f t="shared" ca="1" si="289"/>
        <v>-22.880000000000109</v>
      </c>
      <c r="L1348" s="8">
        <f t="shared" ca="1" si="290"/>
        <v>17139.920000000013</v>
      </c>
      <c r="M1348" s="9">
        <f ca="1">AVERAGE(E1348:OFFSET(E1348,-M$5+1,0))</f>
        <v>7380.3510000000006</v>
      </c>
      <c r="N1348" s="9">
        <f ca="1">AVERAGE(E1348:OFFSET(E1348,-N$5+1,0))</f>
        <v>7315.8714999999993</v>
      </c>
      <c r="O1348" s="9">
        <f t="shared" ca="1" si="291"/>
        <v>0</v>
      </c>
      <c r="P1348" s="14">
        <f t="shared" si="282"/>
        <v>-0.30010043351218629</v>
      </c>
      <c r="Q1348" s="15">
        <f ca="1">STDEV(P1348:OFFSET(P1348,-$Q$5+1,0))</f>
        <v>1.0091106885200873</v>
      </c>
      <c r="R1348" s="15">
        <f ca="1">STDEV(P1348:OFFSET(P1348,-$R$5+1,0))</f>
        <v>1.4113872228034536</v>
      </c>
      <c r="S1348" s="18">
        <f t="shared" si="283"/>
        <v>29.039999999999964</v>
      </c>
      <c r="T1348" s="18">
        <f t="shared" si="284"/>
        <v>29.039999999999964</v>
      </c>
      <c r="U1348" s="18">
        <f t="shared" si="292"/>
        <v>107.39024744198022</v>
      </c>
      <c r="V1348" s="33">
        <f ca="1">AVERAGE(E1348:OFFSET(E1348,-V$5+1,0))</f>
        <v>7347.2799999999988</v>
      </c>
      <c r="W1348" s="33">
        <f t="shared" ca="1" si="285"/>
        <v>7508.3653711629695</v>
      </c>
      <c r="X1348" s="33">
        <f t="shared" ca="1" si="286"/>
        <v>7186.1946288370282</v>
      </c>
      <c r="Y1348" s="32">
        <f t="shared" ca="1" si="293"/>
        <v>0</v>
      </c>
    </row>
    <row r="1349" spans="1:25">
      <c r="A1349" s="5">
        <v>40352</v>
      </c>
      <c r="B1349" s="4">
        <v>7576.29</v>
      </c>
      <c r="C1349" s="4">
        <v>7615.44</v>
      </c>
      <c r="D1349" s="4">
        <v>7549.98</v>
      </c>
      <c r="E1349" s="4">
        <v>7582.15</v>
      </c>
      <c r="F1349" s="4">
        <v>2991200</v>
      </c>
      <c r="G1349" s="8">
        <f t="shared" ref="G1349:G1412" si="295">B1349-E1348</f>
        <v>-36.390000000000327</v>
      </c>
      <c r="H1349" s="8">
        <f t="shared" si="294"/>
        <v>5.8599999999996726</v>
      </c>
      <c r="I1349" s="20">
        <f t="shared" ca="1" si="287"/>
        <v>0</v>
      </c>
      <c r="J1349" s="8">
        <f t="shared" ca="1" si="288"/>
        <v>1</v>
      </c>
      <c r="K1349" s="8">
        <f t="shared" ca="1" si="289"/>
        <v>-30.530000000000655</v>
      </c>
      <c r="L1349" s="8">
        <f t="shared" ca="1" si="290"/>
        <v>17109.390000000014</v>
      </c>
      <c r="M1349" s="9">
        <f ca="1">AVERAGE(E1349:OFFSET(E1349,-M$5+1,0))</f>
        <v>7423.3669999999984</v>
      </c>
      <c r="N1349" s="9">
        <f ca="1">AVERAGE(E1349:OFFSET(E1349,-N$5+1,0))</f>
        <v>7340.6605</v>
      </c>
      <c r="O1349" s="9">
        <f t="shared" ca="1" si="291"/>
        <v>0</v>
      </c>
      <c r="P1349" s="14">
        <f t="shared" ref="P1349:P1412" si="296">100*LN(E1349/E1348)</f>
        <v>-0.40184774799853507</v>
      </c>
      <c r="Q1349" s="15">
        <f ca="1">STDEV(P1349:OFFSET(P1349,-$Q$5+1,0))</f>
        <v>1.0383681694211779</v>
      </c>
      <c r="R1349" s="15">
        <f ca="1">STDEV(P1349:OFFSET(P1349,-$R$5+1,0))</f>
        <v>1.4118398104771239</v>
      </c>
      <c r="S1349" s="18">
        <f t="shared" si="283"/>
        <v>65.460000000000036</v>
      </c>
      <c r="T1349" s="18">
        <f t="shared" si="284"/>
        <v>65.460000000000036</v>
      </c>
      <c r="U1349" s="18">
        <f t="shared" si="292"/>
        <v>101.79954778304953</v>
      </c>
      <c r="V1349" s="33">
        <f ca="1">AVERAGE(E1349:OFFSET(E1349,-V$5+1,0))</f>
        <v>7374.8828571428558</v>
      </c>
      <c r="W1349" s="33">
        <f t="shared" ca="1" si="285"/>
        <v>7527.5821788174298</v>
      </c>
      <c r="X1349" s="33">
        <f t="shared" ca="1" si="286"/>
        <v>7222.1835354682817</v>
      </c>
      <c r="Y1349" s="32">
        <f t="shared" ca="1" si="293"/>
        <v>0</v>
      </c>
    </row>
    <row r="1350" spans="1:25">
      <c r="A1350" s="5">
        <v>40353</v>
      </c>
      <c r="B1350" s="4">
        <v>7601.72</v>
      </c>
      <c r="C1350" s="4">
        <v>7607.63</v>
      </c>
      <c r="D1350" s="4">
        <v>7567.96</v>
      </c>
      <c r="E1350" s="4">
        <v>7589.89</v>
      </c>
      <c r="F1350" s="4">
        <v>3013000</v>
      </c>
      <c r="G1350" s="8">
        <f t="shared" si="295"/>
        <v>19.570000000000618</v>
      </c>
      <c r="H1350" s="8">
        <f t="shared" si="294"/>
        <v>-11.829999999999927</v>
      </c>
      <c r="I1350" s="20">
        <f t="shared" ca="1" si="287"/>
        <v>0</v>
      </c>
      <c r="J1350" s="8">
        <f t="shared" ca="1" si="288"/>
        <v>1</v>
      </c>
      <c r="K1350" s="8">
        <f t="shared" ca="1" si="289"/>
        <v>7.7400000000006912</v>
      </c>
      <c r="L1350" s="8">
        <f t="shared" ca="1" si="290"/>
        <v>17117.130000000016</v>
      </c>
      <c r="M1350" s="9">
        <f ca="1">AVERAGE(E1350:OFFSET(E1350,-M$5+1,0))</f>
        <v>7475.1890000000003</v>
      </c>
      <c r="N1350" s="9">
        <f ca="1">AVERAGE(E1350:OFFSET(E1350,-N$5+1,0))</f>
        <v>7361.7875000000004</v>
      </c>
      <c r="O1350" s="9">
        <f t="shared" ca="1" si="291"/>
        <v>0</v>
      </c>
      <c r="P1350" s="14">
        <f t="shared" si="296"/>
        <v>0.10202979522135923</v>
      </c>
      <c r="Q1350" s="15">
        <f ca="1">STDEV(P1350:OFFSET(P1350,-$Q$5+1,0))</f>
        <v>0.8723306020764896</v>
      </c>
      <c r="R1350" s="15">
        <f ca="1">STDEV(P1350:OFFSET(P1350,-$R$5+1,0))</f>
        <v>1.4088779230198589</v>
      </c>
      <c r="S1350" s="18">
        <f t="shared" si="283"/>
        <v>39.670000000000073</v>
      </c>
      <c r="T1350" s="18">
        <f t="shared" si="284"/>
        <v>39.670000000000073</v>
      </c>
      <c r="U1350" s="18">
        <f t="shared" si="292"/>
        <v>93.515608078642941</v>
      </c>
      <c r="V1350" s="33">
        <f ca="1">AVERAGE(E1350:OFFSET(E1350,-V$5+1,0))</f>
        <v>7391.2835714285702</v>
      </c>
      <c r="W1350" s="33">
        <f t="shared" ca="1" si="285"/>
        <v>7531.5569835465349</v>
      </c>
      <c r="X1350" s="33">
        <f t="shared" ca="1" si="286"/>
        <v>7251.0101593106056</v>
      </c>
      <c r="Y1350" s="32">
        <f t="shared" ca="1" si="293"/>
        <v>0</v>
      </c>
    </row>
    <row r="1351" spans="1:25">
      <c r="A1351" s="5">
        <v>40354</v>
      </c>
      <c r="B1351" s="4">
        <v>7509.72</v>
      </c>
      <c r="C1351" s="4">
        <v>7537.37</v>
      </c>
      <c r="D1351" s="4">
        <v>7463.29</v>
      </c>
      <c r="E1351" s="4">
        <v>7474.71</v>
      </c>
      <c r="F1351" s="4">
        <v>3368200</v>
      </c>
      <c r="G1351" s="8">
        <f t="shared" si="295"/>
        <v>-80.170000000000073</v>
      </c>
      <c r="H1351" s="8">
        <f t="shared" si="294"/>
        <v>-35.010000000000218</v>
      </c>
      <c r="I1351" s="20">
        <f t="shared" ca="1" si="287"/>
        <v>0</v>
      </c>
      <c r="J1351" s="8">
        <f t="shared" ca="1" si="288"/>
        <v>1</v>
      </c>
      <c r="K1351" s="8">
        <f t="shared" ca="1" si="289"/>
        <v>-115.18000000000029</v>
      </c>
      <c r="L1351" s="8">
        <f t="shared" ca="1" si="290"/>
        <v>17001.950000000015</v>
      </c>
      <c r="M1351" s="9">
        <f ca="1">AVERAGE(E1351:OFFSET(E1351,-M$5+1,0))</f>
        <v>7504.4830000000002</v>
      </c>
      <c r="N1351" s="9">
        <f ca="1">AVERAGE(E1351:OFFSET(E1351,-N$5+1,0))</f>
        <v>7373.3649999999998</v>
      </c>
      <c r="O1351" s="9">
        <f t="shared" ca="1" si="291"/>
        <v>0</v>
      </c>
      <c r="P1351" s="14">
        <f t="shared" si="296"/>
        <v>-1.5291776011350173</v>
      </c>
      <c r="Q1351" s="15">
        <f ca="1">STDEV(P1351:OFFSET(P1351,-$Q$5+1,0))</f>
        <v>1.0647520944234607</v>
      </c>
      <c r="R1351" s="15">
        <f ca="1">STDEV(P1351:OFFSET(P1351,-$R$5+1,0))</f>
        <v>1.4252890442856003</v>
      </c>
      <c r="S1351" s="18">
        <f t="shared" si="283"/>
        <v>74.079999999999927</v>
      </c>
      <c r="T1351" s="18">
        <f t="shared" si="284"/>
        <v>126.60000000000036</v>
      </c>
      <c r="U1351" s="18">
        <f t="shared" si="292"/>
        <v>97.926860334823942</v>
      </c>
      <c r="V1351" s="33">
        <f ca="1">AVERAGE(E1351:OFFSET(E1351,-V$5+1,0))</f>
        <v>7400.5778571428573</v>
      </c>
      <c r="W1351" s="33">
        <f t="shared" ca="1" si="285"/>
        <v>7547.4681476450933</v>
      </c>
      <c r="X1351" s="33">
        <f t="shared" ca="1" si="286"/>
        <v>7253.6875666406213</v>
      </c>
      <c r="Y1351" s="32">
        <f t="shared" ca="1" si="293"/>
        <v>0</v>
      </c>
    </row>
    <row r="1352" spans="1:25">
      <c r="A1352" s="5">
        <v>40357</v>
      </c>
      <c r="B1352" s="4">
        <v>7507.15</v>
      </c>
      <c r="C1352" s="4">
        <v>7536.61</v>
      </c>
      <c r="D1352" s="4">
        <v>7489.55</v>
      </c>
      <c r="E1352" s="4">
        <v>7500.79</v>
      </c>
      <c r="F1352" s="4">
        <v>3169800</v>
      </c>
      <c r="G1352" s="8">
        <f t="shared" si="295"/>
        <v>32.4399999999996</v>
      </c>
      <c r="H1352" s="8">
        <f t="shared" si="294"/>
        <v>-6.3599999999996726</v>
      </c>
      <c r="I1352" s="20">
        <f t="shared" ca="1" si="287"/>
        <v>0</v>
      </c>
      <c r="J1352" s="8">
        <f t="shared" ca="1" si="288"/>
        <v>1</v>
      </c>
      <c r="K1352" s="8">
        <f t="shared" ca="1" si="289"/>
        <v>26.079999999999927</v>
      </c>
      <c r="L1352" s="8">
        <f t="shared" ca="1" si="290"/>
        <v>17028.030000000013</v>
      </c>
      <c r="M1352" s="9">
        <f ca="1">AVERAGE(E1352:OFFSET(E1352,-M$5+1,0))</f>
        <v>7524.6129999999994</v>
      </c>
      <c r="N1352" s="9">
        <f ca="1">AVERAGE(E1352:OFFSET(E1352,-N$5+1,0))</f>
        <v>7383.6384999999991</v>
      </c>
      <c r="O1352" s="9">
        <f t="shared" ca="1" si="291"/>
        <v>0</v>
      </c>
      <c r="P1352" s="14">
        <f t="shared" si="296"/>
        <v>0.34830257908877638</v>
      </c>
      <c r="Q1352" s="15">
        <f ca="1">STDEV(P1352:OFFSET(P1352,-$Q$5+1,0))</f>
        <v>0.97407902560743687</v>
      </c>
      <c r="R1352" s="15">
        <f ca="1">STDEV(P1352:OFFSET(P1352,-$R$5+1,0))</f>
        <v>1.4259605504617809</v>
      </c>
      <c r="S1352" s="18">
        <f t="shared" si="283"/>
        <v>47.059999999999491</v>
      </c>
      <c r="T1352" s="18">
        <f t="shared" si="284"/>
        <v>61.899999999999636</v>
      </c>
      <c r="U1352" s="18">
        <f t="shared" si="292"/>
        <v>93.123278956847372</v>
      </c>
      <c r="V1352" s="33">
        <f ca="1">AVERAGE(E1352:OFFSET(E1352,-V$5+1,0))</f>
        <v>7425.0749999999998</v>
      </c>
      <c r="W1352" s="33">
        <f t="shared" ca="1" si="285"/>
        <v>7564.7599184352712</v>
      </c>
      <c r="X1352" s="33">
        <f t="shared" ca="1" si="286"/>
        <v>7285.3900815647285</v>
      </c>
      <c r="Y1352" s="32">
        <f t="shared" ca="1" si="293"/>
        <v>0</v>
      </c>
    </row>
    <row r="1353" spans="1:25">
      <c r="A1353" s="5">
        <v>40358</v>
      </c>
      <c r="B1353" s="4">
        <v>7554.78</v>
      </c>
      <c r="C1353" s="4">
        <v>7584.81</v>
      </c>
      <c r="D1353" s="4">
        <v>7423.57</v>
      </c>
      <c r="E1353" s="4">
        <v>7423.57</v>
      </c>
      <c r="F1353" s="4">
        <v>3366600</v>
      </c>
      <c r="G1353" s="8">
        <f t="shared" si="295"/>
        <v>53.989999999999782</v>
      </c>
      <c r="H1353" s="8">
        <f t="shared" si="294"/>
        <v>-131.21000000000004</v>
      </c>
      <c r="I1353" s="20">
        <f t="shared" ca="1" si="287"/>
        <v>0</v>
      </c>
      <c r="J1353" s="8">
        <f t="shared" ca="1" si="288"/>
        <v>1</v>
      </c>
      <c r="K1353" s="8">
        <f t="shared" ca="1" si="289"/>
        <v>-77.220000000000255</v>
      </c>
      <c r="L1353" s="8">
        <f t="shared" ca="1" si="290"/>
        <v>16950.810000000012</v>
      </c>
      <c r="M1353" s="9">
        <f ca="1">AVERAGE(E1353:OFFSET(E1353,-M$5+1,0))</f>
        <v>7528.2299999999987</v>
      </c>
      <c r="N1353" s="9">
        <f ca="1">AVERAGE(E1353:OFFSET(E1353,-N$5+1,0))</f>
        <v>7386.1180000000004</v>
      </c>
      <c r="O1353" s="9">
        <f t="shared" ca="1" si="291"/>
        <v>0</v>
      </c>
      <c r="P1353" s="14">
        <f t="shared" si="296"/>
        <v>-1.0348274780596312</v>
      </c>
      <c r="Q1353" s="15">
        <f ca="1">STDEV(P1353:OFFSET(P1353,-$Q$5+1,0))</f>
        <v>0.99405994767998329</v>
      </c>
      <c r="R1353" s="15">
        <f ca="1">STDEV(P1353:OFFSET(P1353,-$R$5+1,0))</f>
        <v>1.4306012344868442</v>
      </c>
      <c r="S1353" s="18">
        <f t="shared" si="283"/>
        <v>161.24000000000069</v>
      </c>
      <c r="T1353" s="18">
        <f t="shared" si="284"/>
        <v>161.24000000000069</v>
      </c>
      <c r="U1353" s="18">
        <f t="shared" si="292"/>
        <v>102.20550842926781</v>
      </c>
      <c r="V1353" s="33">
        <f ca="1">AVERAGE(E1353:OFFSET(E1353,-V$5+1,0))</f>
        <v>7444.4735714285698</v>
      </c>
      <c r="W1353" s="33">
        <f t="shared" ca="1" si="285"/>
        <v>7597.7818340724716</v>
      </c>
      <c r="X1353" s="33">
        <f t="shared" ca="1" si="286"/>
        <v>7291.165308784668</v>
      </c>
      <c r="Y1353" s="32">
        <f t="shared" ca="1" si="293"/>
        <v>0</v>
      </c>
    </row>
    <row r="1354" spans="1:25">
      <c r="A1354" s="5">
        <v>40359</v>
      </c>
      <c r="B1354" s="4">
        <v>7277.39</v>
      </c>
      <c r="C1354" s="4">
        <v>7337.32</v>
      </c>
      <c r="D1354" s="4">
        <v>7255.09</v>
      </c>
      <c r="E1354" s="4">
        <v>7329.37</v>
      </c>
      <c r="F1354" s="4">
        <v>3332000</v>
      </c>
      <c r="G1354" s="8">
        <f t="shared" si="295"/>
        <v>-146.17999999999938</v>
      </c>
      <c r="H1354" s="8">
        <f t="shared" si="294"/>
        <v>51.979999999999563</v>
      </c>
      <c r="I1354" s="20">
        <f t="shared" ca="1" si="287"/>
        <v>0</v>
      </c>
      <c r="J1354" s="8">
        <f t="shared" ca="1" si="288"/>
        <v>1</v>
      </c>
      <c r="K1354" s="8">
        <f t="shared" ca="1" si="289"/>
        <v>-94.199999999999818</v>
      </c>
      <c r="L1354" s="8">
        <f t="shared" ca="1" si="290"/>
        <v>16856.610000000011</v>
      </c>
      <c r="M1354" s="9">
        <f ca="1">AVERAGE(E1354:OFFSET(E1354,-M$5+1,0))</f>
        <v>7515.7609999999986</v>
      </c>
      <c r="N1354" s="9">
        <f ca="1">AVERAGE(E1354:OFFSET(E1354,-N$5+1,0))</f>
        <v>7388.12</v>
      </c>
      <c r="O1354" s="9">
        <f t="shared" ca="1" si="291"/>
        <v>0</v>
      </c>
      <c r="P1354" s="14">
        <f t="shared" si="296"/>
        <v>-1.2770509501283966</v>
      </c>
      <c r="Q1354" s="15">
        <f ca="1">STDEV(P1354:OFFSET(P1354,-$Q$5+1,0))</f>
        <v>1.0250525714057213</v>
      </c>
      <c r="R1354" s="15">
        <f ca="1">STDEV(P1354:OFFSET(P1354,-$R$5+1,0))</f>
        <v>1.4411934955590042</v>
      </c>
      <c r="S1354" s="18">
        <f t="shared" si="283"/>
        <v>82.229999999999563</v>
      </c>
      <c r="T1354" s="18">
        <f t="shared" si="284"/>
        <v>168.47999999999956</v>
      </c>
      <c r="U1354" s="18">
        <f t="shared" si="292"/>
        <v>111.04210730536538</v>
      </c>
      <c r="V1354" s="33">
        <f ca="1">AVERAGE(E1354:OFFSET(E1354,-V$5+1,0))</f>
        <v>7462.8807142857131</v>
      </c>
      <c r="W1354" s="33">
        <f t="shared" ca="1" si="285"/>
        <v>7629.4438752437609</v>
      </c>
      <c r="X1354" s="33">
        <f t="shared" ca="1" si="286"/>
        <v>7296.3175533276653</v>
      </c>
      <c r="Y1354" s="32">
        <f t="shared" ca="1" si="293"/>
        <v>0</v>
      </c>
    </row>
    <row r="1355" spans="1:25">
      <c r="A1355" s="5">
        <v>40360</v>
      </c>
      <c r="B1355" s="4">
        <v>7326.89</v>
      </c>
      <c r="C1355" s="4">
        <v>7327.4</v>
      </c>
      <c r="D1355" s="4">
        <v>7251.6</v>
      </c>
      <c r="E1355" s="4">
        <v>7254.06</v>
      </c>
      <c r="F1355" s="4">
        <v>3086400</v>
      </c>
      <c r="G1355" s="8">
        <f t="shared" si="295"/>
        <v>-2.4799999999995634</v>
      </c>
      <c r="H1355" s="8">
        <f t="shared" si="294"/>
        <v>-72.829999999999927</v>
      </c>
      <c r="I1355" s="20">
        <f t="shared" ca="1" si="287"/>
        <v>-1</v>
      </c>
      <c r="J1355" s="8">
        <f t="shared" ca="1" si="288"/>
        <v>1</v>
      </c>
      <c r="K1355" s="8">
        <f t="shared" ca="1" si="289"/>
        <v>-75.309999999999491</v>
      </c>
      <c r="L1355" s="8">
        <f t="shared" ca="1" si="290"/>
        <v>16781.30000000001</v>
      </c>
      <c r="M1355" s="9">
        <f ca="1">AVERAGE(E1355:OFFSET(E1355,-M$5+1,0))</f>
        <v>7489.5889999999999</v>
      </c>
      <c r="N1355" s="9">
        <f ca="1">AVERAGE(E1355:OFFSET(E1355,-N$5+1,0))</f>
        <v>7391.0374999999985</v>
      </c>
      <c r="O1355" s="9">
        <f t="shared" ca="1" si="291"/>
        <v>0</v>
      </c>
      <c r="P1355" s="14">
        <f t="shared" si="296"/>
        <v>-1.0328251921454212</v>
      </c>
      <c r="Q1355" s="15">
        <f ca="1">STDEV(P1355:OFFSET(P1355,-$Q$5+1,0))</f>
        <v>0.99284638913149637</v>
      </c>
      <c r="R1355" s="15">
        <f ca="1">STDEV(P1355:OFFSET(P1355,-$R$5+1,0))</f>
        <v>1.3755057065055927</v>
      </c>
      <c r="S1355" s="18">
        <f t="shared" si="283"/>
        <v>75.799999999999272</v>
      </c>
      <c r="T1355" s="18">
        <f t="shared" si="284"/>
        <v>77.769999999999527</v>
      </c>
      <c r="U1355" s="18">
        <f t="shared" si="292"/>
        <v>106.60582633131661</v>
      </c>
      <c r="V1355" s="33">
        <f ca="1">AVERAGE(E1355:OFFSET(E1355,-V$5+1,0))</f>
        <v>7468.0442857142853</v>
      </c>
      <c r="W1355" s="33">
        <f t="shared" ca="1" si="285"/>
        <v>7627.95302521126</v>
      </c>
      <c r="X1355" s="33">
        <f t="shared" ca="1" si="286"/>
        <v>7308.1355462173105</v>
      </c>
      <c r="Y1355" s="32">
        <f t="shared" ca="1" si="293"/>
        <v>-1</v>
      </c>
    </row>
    <row r="1356" spans="1:25">
      <c r="A1356" s="5">
        <v>40361</v>
      </c>
      <c r="B1356" s="4">
        <v>7285.01</v>
      </c>
      <c r="C1356" s="4">
        <v>7378.77</v>
      </c>
      <c r="D1356" s="4">
        <v>7285.01</v>
      </c>
      <c r="E1356" s="4">
        <v>7330.74</v>
      </c>
      <c r="F1356" s="4">
        <v>3677600</v>
      </c>
      <c r="G1356" s="8">
        <f t="shared" si="295"/>
        <v>30.949999999999818</v>
      </c>
      <c r="H1356" s="8">
        <f t="shared" si="294"/>
        <v>45.729999999999563</v>
      </c>
      <c r="I1356" s="20">
        <f t="shared" ca="1" si="287"/>
        <v>0</v>
      </c>
      <c r="J1356" s="8">
        <f t="shared" ca="1" si="288"/>
        <v>0</v>
      </c>
      <c r="K1356" s="8">
        <f t="shared" ca="1" si="289"/>
        <v>30.949999999999818</v>
      </c>
      <c r="L1356" s="8">
        <f t="shared" ca="1" si="290"/>
        <v>16812.250000000011</v>
      </c>
      <c r="M1356" s="9">
        <f ca="1">AVERAGE(E1356:OFFSET(E1356,-M$5+1,0))</f>
        <v>7473.3520000000008</v>
      </c>
      <c r="N1356" s="9">
        <f ca="1">AVERAGE(E1356:OFFSET(E1356,-N$5+1,0))</f>
        <v>7389.5604999999978</v>
      </c>
      <c r="O1356" s="9">
        <f t="shared" ca="1" si="291"/>
        <v>0</v>
      </c>
      <c r="P1356" s="14">
        <f t="shared" si="296"/>
        <v>1.0515153657387779</v>
      </c>
      <c r="Q1356" s="15">
        <f ca="1">STDEV(P1356:OFFSET(P1356,-$Q$5+1,0))</f>
        <v>1.088445760361223</v>
      </c>
      <c r="R1356" s="15">
        <f ca="1">STDEV(P1356:OFFSET(P1356,-$R$5+1,0))</f>
        <v>1.3693575963718976</v>
      </c>
      <c r="S1356" s="18">
        <f t="shared" si="283"/>
        <v>93.760000000000218</v>
      </c>
      <c r="T1356" s="18">
        <f t="shared" si="284"/>
        <v>124.71000000000004</v>
      </c>
      <c r="U1356" s="18">
        <f t="shared" si="292"/>
        <v>109.01971615380774</v>
      </c>
      <c r="V1356" s="33">
        <f ca="1">AVERAGE(E1356:OFFSET(E1356,-V$5+1,0))</f>
        <v>7470.2764285714275</v>
      </c>
      <c r="W1356" s="33">
        <f t="shared" ca="1" si="285"/>
        <v>7633.8060028021391</v>
      </c>
      <c r="X1356" s="33">
        <f t="shared" ca="1" si="286"/>
        <v>7306.7468543407158</v>
      </c>
      <c r="Y1356" s="32">
        <f t="shared" ca="1" si="293"/>
        <v>0</v>
      </c>
    </row>
    <row r="1357" spans="1:25">
      <c r="A1357" s="5">
        <v>40364</v>
      </c>
      <c r="B1357" s="4">
        <v>7351.18</v>
      </c>
      <c r="C1357" s="4">
        <v>7447.18</v>
      </c>
      <c r="D1357" s="4">
        <v>7351.18</v>
      </c>
      <c r="E1357" s="4">
        <v>7439.96</v>
      </c>
      <c r="F1357" s="4">
        <v>3403400</v>
      </c>
      <c r="G1357" s="8">
        <f t="shared" si="295"/>
        <v>20.440000000000509</v>
      </c>
      <c r="H1357" s="8">
        <f t="shared" si="294"/>
        <v>88.779999999999745</v>
      </c>
      <c r="I1357" s="20">
        <f t="shared" ca="1" si="287"/>
        <v>0</v>
      </c>
      <c r="J1357" s="8">
        <f t="shared" ca="1" si="288"/>
        <v>0</v>
      </c>
      <c r="K1357" s="8">
        <f t="shared" ca="1" si="289"/>
        <v>0</v>
      </c>
      <c r="L1357" s="8">
        <f t="shared" ca="1" si="290"/>
        <v>16812.250000000011</v>
      </c>
      <c r="M1357" s="9">
        <f ca="1">AVERAGE(E1357:OFFSET(E1357,-M$5+1,0))</f>
        <v>7453.7920000000013</v>
      </c>
      <c r="N1357" s="9">
        <f ca="1">AVERAGE(E1357:OFFSET(E1357,-N$5+1,0))</f>
        <v>7394.3289999999979</v>
      </c>
      <c r="O1357" s="9">
        <f t="shared" ca="1" si="291"/>
        <v>0</v>
      </c>
      <c r="P1357" s="14">
        <f t="shared" si="296"/>
        <v>1.4789006703976539</v>
      </c>
      <c r="Q1357" s="15">
        <f ca="1">STDEV(P1357:OFFSET(P1357,-$Q$5+1,0))</f>
        <v>1.0060645507178425</v>
      </c>
      <c r="R1357" s="15">
        <f ca="1">STDEV(P1357:OFFSET(P1357,-$R$5+1,0))</f>
        <v>1.3913420326701309</v>
      </c>
      <c r="S1357" s="18">
        <f t="shared" si="283"/>
        <v>96</v>
      </c>
      <c r="T1357" s="18">
        <f t="shared" si="284"/>
        <v>116.44000000000051</v>
      </c>
      <c r="U1357" s="18">
        <f t="shared" si="292"/>
        <v>110.00908733330012</v>
      </c>
      <c r="V1357" s="33">
        <f ca="1">AVERAGE(E1357:OFFSET(E1357,-V$5+1,0))</f>
        <v>7474.0307142857137</v>
      </c>
      <c r="W1357" s="33">
        <f t="shared" ca="1" si="285"/>
        <v>7639.0443452856634</v>
      </c>
      <c r="X1357" s="33">
        <f t="shared" ca="1" si="286"/>
        <v>7309.0170832857639</v>
      </c>
      <c r="Y1357" s="32">
        <f t="shared" ca="1" si="293"/>
        <v>0</v>
      </c>
    </row>
    <row r="1358" spans="1:25">
      <c r="A1358" s="5">
        <v>40365</v>
      </c>
      <c r="B1358" s="4">
        <v>7385.33</v>
      </c>
      <c r="C1358" s="4">
        <v>7548.48</v>
      </c>
      <c r="D1358" s="4">
        <v>7382.37</v>
      </c>
      <c r="E1358" s="4">
        <v>7548.48</v>
      </c>
      <c r="F1358" s="4">
        <v>4087000</v>
      </c>
      <c r="G1358" s="8">
        <f t="shared" si="295"/>
        <v>-54.630000000000109</v>
      </c>
      <c r="H1358" s="8">
        <f t="shared" si="294"/>
        <v>163.14999999999964</v>
      </c>
      <c r="I1358" s="20">
        <f t="shared" ca="1" si="287"/>
        <v>0</v>
      </c>
      <c r="J1358" s="8">
        <f t="shared" ca="1" si="288"/>
        <v>0</v>
      </c>
      <c r="K1358" s="8">
        <f t="shared" ca="1" si="289"/>
        <v>0</v>
      </c>
      <c r="L1358" s="8">
        <f t="shared" ca="1" si="290"/>
        <v>16812.250000000011</v>
      </c>
      <c r="M1358" s="9">
        <f ca="1">AVERAGE(E1358:OFFSET(E1358,-M$5+1,0))</f>
        <v>7447.3720000000003</v>
      </c>
      <c r="N1358" s="9">
        <f ca="1">AVERAGE(E1358:OFFSET(E1358,-N$5+1,0))</f>
        <v>7413.8614999999991</v>
      </c>
      <c r="O1358" s="9">
        <f t="shared" ca="1" si="291"/>
        <v>0</v>
      </c>
      <c r="P1358" s="14">
        <f t="shared" si="296"/>
        <v>1.4480746002661822</v>
      </c>
      <c r="Q1358" s="15">
        <f ca="1">STDEV(P1358:OFFSET(P1358,-$Q$5+1,0))</f>
        <v>1.1410556644871923</v>
      </c>
      <c r="R1358" s="15">
        <f ca="1">STDEV(P1358:OFFSET(P1358,-$R$5+1,0))</f>
        <v>1.3956380110764441</v>
      </c>
      <c r="S1358" s="18">
        <f t="shared" si="283"/>
        <v>166.10999999999967</v>
      </c>
      <c r="T1358" s="18">
        <f t="shared" si="284"/>
        <v>166.10999999999967</v>
      </c>
      <c r="U1358" s="18">
        <f t="shared" si="292"/>
        <v>117.48920902219339</v>
      </c>
      <c r="V1358" s="33">
        <f ca="1">AVERAGE(E1358:OFFSET(E1358,-V$5+1,0))</f>
        <v>7480.7749999999996</v>
      </c>
      <c r="W1358" s="33">
        <f t="shared" ca="1" si="285"/>
        <v>7657.0088135332899</v>
      </c>
      <c r="X1358" s="33">
        <f t="shared" ca="1" si="286"/>
        <v>7304.5411864667094</v>
      </c>
      <c r="Y1358" s="32">
        <f t="shared" ca="1" si="293"/>
        <v>0</v>
      </c>
    </row>
    <row r="1359" spans="1:25">
      <c r="A1359" s="5">
        <v>40366</v>
      </c>
      <c r="B1359" s="4">
        <v>7560.22</v>
      </c>
      <c r="C1359" s="4">
        <v>7565.37</v>
      </c>
      <c r="D1359" s="4">
        <v>7517.68</v>
      </c>
      <c r="E1359" s="4">
        <v>7534.46</v>
      </c>
      <c r="F1359" s="4">
        <v>3765400</v>
      </c>
      <c r="G1359" s="8">
        <f t="shared" si="295"/>
        <v>11.740000000000691</v>
      </c>
      <c r="H1359" s="8">
        <f t="shared" si="294"/>
        <v>-25.760000000000218</v>
      </c>
      <c r="I1359" s="20">
        <f t="shared" ca="1" si="287"/>
        <v>0</v>
      </c>
      <c r="J1359" s="8">
        <f t="shared" ca="1" si="288"/>
        <v>0</v>
      </c>
      <c r="K1359" s="8">
        <f t="shared" ca="1" si="289"/>
        <v>0</v>
      </c>
      <c r="L1359" s="8">
        <f t="shared" ca="1" si="290"/>
        <v>16812.250000000011</v>
      </c>
      <c r="M1359" s="9">
        <f ca="1">AVERAGE(E1359:OFFSET(E1359,-M$5+1,0))</f>
        <v>7442.6030000000001</v>
      </c>
      <c r="N1359" s="9">
        <f ca="1">AVERAGE(E1359:OFFSET(E1359,-N$5+1,0))</f>
        <v>7432.9849999999988</v>
      </c>
      <c r="O1359" s="9">
        <f t="shared" ca="1" si="291"/>
        <v>0</v>
      </c>
      <c r="P1359" s="14">
        <f t="shared" si="296"/>
        <v>-0.18590545394806196</v>
      </c>
      <c r="Q1359" s="15">
        <f ca="1">STDEV(P1359:OFFSET(P1359,-$Q$5+1,0))</f>
        <v>1.1364205474520335</v>
      </c>
      <c r="R1359" s="15">
        <f ca="1">STDEV(P1359:OFFSET(P1359,-$R$5+1,0))</f>
        <v>1.3912746710562931</v>
      </c>
      <c r="S1359" s="18">
        <f t="shared" si="283"/>
        <v>47.6899999999996</v>
      </c>
      <c r="T1359" s="18">
        <f t="shared" si="284"/>
        <v>47.6899999999996</v>
      </c>
      <c r="U1359" s="18">
        <f t="shared" si="292"/>
        <v>108.18264781923422</v>
      </c>
      <c r="V1359" s="33">
        <f ca="1">AVERAGE(E1359:OFFSET(E1359,-V$5+1,0))</f>
        <v>7482.1092857142867</v>
      </c>
      <c r="W1359" s="33">
        <f t="shared" ca="1" si="285"/>
        <v>7644.3832574431381</v>
      </c>
      <c r="X1359" s="33">
        <f t="shared" ca="1" si="286"/>
        <v>7319.8353139854353</v>
      </c>
      <c r="Y1359" s="32">
        <f t="shared" ca="1" si="293"/>
        <v>0</v>
      </c>
    </row>
    <row r="1360" spans="1:25">
      <c r="A1360" s="5">
        <v>40367</v>
      </c>
      <c r="B1360" s="4">
        <v>7612.71</v>
      </c>
      <c r="C1360" s="4">
        <v>7622.46</v>
      </c>
      <c r="D1360" s="4">
        <v>7583.36</v>
      </c>
      <c r="E1360" s="4">
        <v>7608.85</v>
      </c>
      <c r="F1360" s="4">
        <v>4278000</v>
      </c>
      <c r="G1360" s="8">
        <f t="shared" si="295"/>
        <v>78.25</v>
      </c>
      <c r="H1360" s="8">
        <f t="shared" si="294"/>
        <v>-3.8599999999996726</v>
      </c>
      <c r="I1360" s="20">
        <f t="shared" ca="1" si="287"/>
        <v>0</v>
      </c>
      <c r="J1360" s="8">
        <f t="shared" ca="1" si="288"/>
        <v>0</v>
      </c>
      <c r="K1360" s="8">
        <f t="shared" ca="1" si="289"/>
        <v>0</v>
      </c>
      <c r="L1360" s="8">
        <f t="shared" ca="1" si="290"/>
        <v>16812.250000000011</v>
      </c>
      <c r="M1360" s="9">
        <f ca="1">AVERAGE(E1360:OFFSET(E1360,-M$5+1,0))</f>
        <v>7444.4990000000007</v>
      </c>
      <c r="N1360" s="9">
        <f ca="1">AVERAGE(E1360:OFFSET(E1360,-N$5+1,0))</f>
        <v>7459.8440000000001</v>
      </c>
      <c r="O1360" s="9">
        <f t="shared" ca="1" si="291"/>
        <v>-1</v>
      </c>
      <c r="P1360" s="14">
        <f t="shared" si="296"/>
        <v>0.98248795532545619</v>
      </c>
      <c r="Q1360" s="15">
        <f ca="1">STDEV(P1360:OFFSET(P1360,-$Q$5+1,0))</f>
        <v>1.1837569295153949</v>
      </c>
      <c r="R1360" s="15">
        <f ca="1">STDEV(P1360:OFFSET(P1360,-$R$5+1,0))</f>
        <v>1.4003063266840816</v>
      </c>
      <c r="S1360" s="18">
        <f t="shared" si="283"/>
        <v>39.100000000000364</v>
      </c>
      <c r="T1360" s="18">
        <f t="shared" si="284"/>
        <v>88</v>
      </c>
      <c r="U1360" s="18">
        <f t="shared" si="292"/>
        <v>105.49162811000299</v>
      </c>
      <c r="V1360" s="33">
        <f ca="1">AVERAGE(E1360:OFFSET(E1360,-V$5+1,0))</f>
        <v>7490.3764285714296</v>
      </c>
      <c r="W1360" s="33">
        <f t="shared" ca="1" si="285"/>
        <v>7648.6138707364344</v>
      </c>
      <c r="X1360" s="33">
        <f t="shared" ca="1" si="286"/>
        <v>7332.1389864064249</v>
      </c>
      <c r="Y1360" s="32">
        <f t="shared" ca="1" si="293"/>
        <v>0</v>
      </c>
    </row>
    <row r="1361" spans="1:25">
      <c r="A1361" s="5">
        <v>40368</v>
      </c>
      <c r="B1361" s="4">
        <v>7644.11</v>
      </c>
      <c r="C1361" s="4">
        <v>7652.55</v>
      </c>
      <c r="D1361" s="4">
        <v>7599.84</v>
      </c>
      <c r="E1361" s="4">
        <v>7647.25</v>
      </c>
      <c r="F1361" s="4">
        <v>3585200</v>
      </c>
      <c r="G1361" s="8">
        <f t="shared" si="295"/>
        <v>35.259999999999309</v>
      </c>
      <c r="H1361" s="8">
        <f t="shared" si="294"/>
        <v>3.1400000000003274</v>
      </c>
      <c r="I1361" s="20">
        <f t="shared" ca="1" si="287"/>
        <v>1</v>
      </c>
      <c r="J1361" s="8">
        <f t="shared" ca="1" si="288"/>
        <v>0</v>
      </c>
      <c r="K1361" s="8">
        <f t="shared" ca="1" si="289"/>
        <v>0</v>
      </c>
      <c r="L1361" s="8">
        <f t="shared" ca="1" si="290"/>
        <v>16812.250000000011</v>
      </c>
      <c r="M1361" s="9">
        <f ca="1">AVERAGE(E1361:OFFSET(E1361,-M$5+1,0))</f>
        <v>7461.7529999999997</v>
      </c>
      <c r="N1361" s="9">
        <f ca="1">AVERAGE(E1361:OFFSET(E1361,-N$5+1,0))</f>
        <v>7483.1180000000004</v>
      </c>
      <c r="O1361" s="9">
        <f t="shared" ca="1" si="291"/>
        <v>0</v>
      </c>
      <c r="P1361" s="14">
        <f t="shared" si="296"/>
        <v>0.50340625839738362</v>
      </c>
      <c r="Q1361" s="15">
        <f ca="1">STDEV(P1361:OFFSET(P1361,-$Q$5+1,0))</f>
        <v>1.0547245310338045</v>
      </c>
      <c r="R1361" s="15">
        <f ca="1">STDEV(P1361:OFFSET(P1361,-$R$5+1,0))</f>
        <v>1.3577240427087682</v>
      </c>
      <c r="S1361" s="18">
        <f t="shared" si="283"/>
        <v>52.710000000000036</v>
      </c>
      <c r="T1361" s="18">
        <f t="shared" si="284"/>
        <v>52.710000000000036</v>
      </c>
      <c r="U1361" s="18">
        <f t="shared" si="292"/>
        <v>98.45407769533594</v>
      </c>
      <c r="V1361" s="33">
        <f ca="1">AVERAGE(E1361:OFFSET(E1361,-V$5+1,0))</f>
        <v>7491.2114285714297</v>
      </c>
      <c r="W1361" s="33">
        <f t="shared" ca="1" si="285"/>
        <v>7638.8925451144332</v>
      </c>
      <c r="X1361" s="33">
        <f t="shared" ca="1" si="286"/>
        <v>7343.5303120284261</v>
      </c>
      <c r="Y1361" s="32">
        <f t="shared" ca="1" si="293"/>
        <v>1</v>
      </c>
    </row>
    <row r="1362" spans="1:25">
      <c r="A1362" s="5">
        <v>40371</v>
      </c>
      <c r="B1362" s="4">
        <v>7674.26</v>
      </c>
      <c r="C1362" s="4">
        <v>7705.11</v>
      </c>
      <c r="D1362" s="4">
        <v>7636.81</v>
      </c>
      <c r="E1362" s="4">
        <v>7639.55</v>
      </c>
      <c r="F1362" s="4">
        <v>3604800</v>
      </c>
      <c r="G1362" s="8">
        <f t="shared" si="295"/>
        <v>27.010000000000218</v>
      </c>
      <c r="H1362" s="8">
        <f t="shared" si="294"/>
        <v>-34.710000000000036</v>
      </c>
      <c r="I1362" s="20">
        <f t="shared" ca="1" si="287"/>
        <v>0</v>
      </c>
      <c r="J1362" s="8">
        <f t="shared" ca="1" si="288"/>
        <v>1</v>
      </c>
      <c r="K1362" s="8">
        <f t="shared" ca="1" si="289"/>
        <v>-34.710000000000036</v>
      </c>
      <c r="L1362" s="8">
        <f t="shared" ca="1" si="290"/>
        <v>16777.540000000012</v>
      </c>
      <c r="M1362" s="9">
        <f ca="1">AVERAGE(E1362:OFFSET(E1362,-M$5+1,0))</f>
        <v>7475.628999999999</v>
      </c>
      <c r="N1362" s="9">
        <f ca="1">AVERAGE(E1362:OFFSET(E1362,-N$5+1,0))</f>
        <v>7500.1209999999992</v>
      </c>
      <c r="O1362" s="9">
        <f t="shared" ca="1" si="291"/>
        <v>0</v>
      </c>
      <c r="P1362" s="14">
        <f t="shared" si="296"/>
        <v>-0.10074051667065137</v>
      </c>
      <c r="Q1362" s="15">
        <f ca="1">STDEV(P1362:OFFSET(P1362,-$Q$5+1,0))</f>
        <v>1.0585952341584828</v>
      </c>
      <c r="R1362" s="15">
        <f ca="1">STDEV(P1362:OFFSET(P1362,-$R$5+1,0))</f>
        <v>1.3577213724823238</v>
      </c>
      <c r="S1362" s="18">
        <f t="shared" si="283"/>
        <v>68.299999999999272</v>
      </c>
      <c r="T1362" s="18">
        <f t="shared" si="284"/>
        <v>68.299999999999272</v>
      </c>
      <c r="U1362" s="18">
        <f t="shared" si="292"/>
        <v>94.433534002624384</v>
      </c>
      <c r="V1362" s="33">
        <f ca="1">AVERAGE(E1362:OFFSET(E1362,-V$5+1,0))</f>
        <v>7493.1307142857158</v>
      </c>
      <c r="W1362" s="33">
        <f t="shared" ca="1" si="285"/>
        <v>7634.7810152896527</v>
      </c>
      <c r="X1362" s="33">
        <f t="shared" ca="1" si="286"/>
        <v>7351.480413281779</v>
      </c>
      <c r="Y1362" s="32">
        <f t="shared" ca="1" si="293"/>
        <v>0</v>
      </c>
    </row>
    <row r="1363" spans="1:25">
      <c r="A1363" s="5">
        <v>40372</v>
      </c>
      <c r="B1363" s="4">
        <v>7664.71</v>
      </c>
      <c r="C1363" s="4">
        <v>7671.48</v>
      </c>
      <c r="D1363" s="4">
        <v>7587.87</v>
      </c>
      <c r="E1363" s="4">
        <v>7597.42</v>
      </c>
      <c r="F1363" s="4">
        <v>3037600</v>
      </c>
      <c r="G1363" s="8">
        <f t="shared" si="295"/>
        <v>25.159999999999854</v>
      </c>
      <c r="H1363" s="8">
        <f t="shared" si="294"/>
        <v>-67.289999999999964</v>
      </c>
      <c r="I1363" s="20">
        <f t="shared" ca="1" si="287"/>
        <v>0</v>
      </c>
      <c r="J1363" s="8">
        <f t="shared" ca="1" si="288"/>
        <v>1</v>
      </c>
      <c r="K1363" s="8">
        <f t="shared" ca="1" si="289"/>
        <v>-42.130000000000109</v>
      </c>
      <c r="L1363" s="8">
        <f t="shared" ca="1" si="290"/>
        <v>16735.410000000011</v>
      </c>
      <c r="M1363" s="9">
        <f ca="1">AVERAGE(E1363:OFFSET(E1363,-M$5+1,0))</f>
        <v>7493.0140000000001</v>
      </c>
      <c r="N1363" s="9">
        <f ca="1">AVERAGE(E1363:OFFSET(E1363,-N$5+1,0))</f>
        <v>7510.6220000000003</v>
      </c>
      <c r="O1363" s="9">
        <f t="shared" ca="1" si="291"/>
        <v>0</v>
      </c>
      <c r="P1363" s="14">
        <f t="shared" si="296"/>
        <v>-0.55299849463251227</v>
      </c>
      <c r="Q1363" s="15">
        <f ca="1">STDEV(P1363:OFFSET(P1363,-$Q$5+1,0))</f>
        <v>1.0066830260114594</v>
      </c>
      <c r="R1363" s="15">
        <f ca="1">STDEV(P1363:OFFSET(P1363,-$R$5+1,0))</f>
        <v>1.3124761414725676</v>
      </c>
      <c r="S1363" s="18">
        <f t="shared" si="283"/>
        <v>83.609999999999673</v>
      </c>
      <c r="T1363" s="18">
        <f t="shared" si="284"/>
        <v>83.609999999999673</v>
      </c>
      <c r="U1363" s="18">
        <f t="shared" si="292"/>
        <v>92.990396135607753</v>
      </c>
      <c r="V1363" s="33">
        <f ca="1">AVERAGE(E1363:OFFSET(E1363,-V$5+1,0))</f>
        <v>7494.221428571429</v>
      </c>
      <c r="W1363" s="33">
        <f t="shared" ca="1" si="285"/>
        <v>7633.7070227748409</v>
      </c>
      <c r="X1363" s="33">
        <f t="shared" ca="1" si="286"/>
        <v>7354.7358343680171</v>
      </c>
      <c r="Y1363" s="32">
        <f t="shared" ca="1" si="293"/>
        <v>0</v>
      </c>
    </row>
    <row r="1364" spans="1:25">
      <c r="A1364" s="5">
        <v>40373</v>
      </c>
      <c r="B1364" s="4">
        <v>7688.82</v>
      </c>
      <c r="C1364" s="4">
        <v>7720.63</v>
      </c>
      <c r="D1364" s="4">
        <v>7683.83</v>
      </c>
      <c r="E1364" s="4">
        <v>7714.51</v>
      </c>
      <c r="F1364" s="4">
        <v>4078000</v>
      </c>
      <c r="G1364" s="8">
        <f t="shared" si="295"/>
        <v>91.399999999999636</v>
      </c>
      <c r="H1364" s="8">
        <f t="shared" si="294"/>
        <v>25.690000000000509</v>
      </c>
      <c r="I1364" s="20">
        <f t="shared" ca="1" si="287"/>
        <v>1</v>
      </c>
      <c r="J1364" s="8">
        <f t="shared" ca="1" si="288"/>
        <v>1</v>
      </c>
      <c r="K1364" s="8">
        <f t="shared" ca="1" si="289"/>
        <v>117.09000000000015</v>
      </c>
      <c r="L1364" s="8">
        <f t="shared" ca="1" si="290"/>
        <v>16852.500000000011</v>
      </c>
      <c r="M1364" s="9">
        <f ca="1">AVERAGE(E1364:OFFSET(E1364,-M$5+1,0))</f>
        <v>7531.5280000000002</v>
      </c>
      <c r="N1364" s="9">
        <f ca="1">AVERAGE(E1364:OFFSET(E1364,-N$5+1,0))</f>
        <v>7523.6445000000003</v>
      </c>
      <c r="O1364" s="9">
        <f t="shared" ca="1" si="291"/>
        <v>1</v>
      </c>
      <c r="P1364" s="14">
        <f t="shared" si="296"/>
        <v>1.5294255186552674</v>
      </c>
      <c r="Q1364" s="15">
        <f ca="1">STDEV(P1364:OFFSET(P1364,-$Q$5+1,0))</f>
        <v>0.92748323133002086</v>
      </c>
      <c r="R1364" s="15">
        <f ca="1">STDEV(P1364:OFFSET(P1364,-$R$5+1,0))</f>
        <v>1.3341445962329712</v>
      </c>
      <c r="S1364" s="18">
        <f t="shared" si="283"/>
        <v>36.800000000000182</v>
      </c>
      <c r="T1364" s="18">
        <f t="shared" si="284"/>
        <v>123.21000000000004</v>
      </c>
      <c r="U1364" s="18">
        <f t="shared" si="292"/>
        <v>97.019676650860049</v>
      </c>
      <c r="V1364" s="33">
        <f ca="1">AVERAGE(E1364:OFFSET(E1364,-V$5+1,0))</f>
        <v>7503.1228571428574</v>
      </c>
      <c r="W1364" s="33">
        <f t="shared" ca="1" si="285"/>
        <v>7648.652372119147</v>
      </c>
      <c r="X1364" s="33">
        <f t="shared" ca="1" si="286"/>
        <v>7357.5933421665677</v>
      </c>
      <c r="Y1364" s="32">
        <f t="shared" ca="1" si="293"/>
        <v>1</v>
      </c>
    </row>
    <row r="1365" spans="1:25">
      <c r="A1365" s="5">
        <v>40374</v>
      </c>
      <c r="B1365" s="4">
        <v>7699.49</v>
      </c>
      <c r="C1365" s="4">
        <v>7732.31</v>
      </c>
      <c r="D1365" s="4">
        <v>7681.87</v>
      </c>
      <c r="E1365" s="4">
        <v>7704.52</v>
      </c>
      <c r="F1365" s="4">
        <v>3892600</v>
      </c>
      <c r="G1365" s="8">
        <f t="shared" si="295"/>
        <v>-15.020000000000437</v>
      </c>
      <c r="H1365" s="8">
        <f t="shared" si="294"/>
        <v>5.0300000000006548</v>
      </c>
      <c r="I1365" s="20">
        <f t="shared" ca="1" si="287"/>
        <v>0</v>
      </c>
      <c r="J1365" s="8">
        <f t="shared" ca="1" si="288"/>
        <v>2</v>
      </c>
      <c r="K1365" s="8">
        <f t="shared" ca="1" si="289"/>
        <v>-4.9599999999991269</v>
      </c>
      <c r="L1365" s="8">
        <f t="shared" ca="1" si="290"/>
        <v>16847.540000000012</v>
      </c>
      <c r="M1365" s="9">
        <f ca="1">AVERAGE(E1365:OFFSET(E1365,-M$5+1,0))</f>
        <v>7576.5740000000005</v>
      </c>
      <c r="N1365" s="9">
        <f ca="1">AVERAGE(E1365:OFFSET(E1365,-N$5+1,0))</f>
        <v>7533.0815000000021</v>
      </c>
      <c r="O1365" s="9">
        <f t="shared" ca="1" si="291"/>
        <v>0</v>
      </c>
      <c r="P1365" s="14">
        <f t="shared" si="296"/>
        <v>-0.12958015384692639</v>
      </c>
      <c r="Q1365" s="15">
        <f ca="1">STDEV(P1365:OFFSET(P1365,-$Q$5+1,0))</f>
        <v>0.79479830851790634</v>
      </c>
      <c r="R1365" s="15">
        <f ca="1">STDEV(P1365:OFFSET(P1365,-$R$5+1,0))</f>
        <v>1.3329741078552371</v>
      </c>
      <c r="S1365" s="18">
        <f t="shared" si="283"/>
        <v>50.440000000000509</v>
      </c>
      <c r="T1365" s="18">
        <f t="shared" si="284"/>
        <v>50.440000000000509</v>
      </c>
      <c r="U1365" s="18">
        <f t="shared" si="292"/>
        <v>90.809053097412104</v>
      </c>
      <c r="V1365" s="33">
        <f ca="1">AVERAGE(E1365:OFFSET(E1365,-V$5+1,0))</f>
        <v>7519.5378571428573</v>
      </c>
      <c r="W1365" s="33">
        <f t="shared" ca="1" si="285"/>
        <v>7655.7514367889753</v>
      </c>
      <c r="X1365" s="33">
        <f t="shared" ca="1" si="286"/>
        <v>7383.3242774967393</v>
      </c>
      <c r="Y1365" s="32">
        <f t="shared" ca="1" si="293"/>
        <v>0</v>
      </c>
    </row>
    <row r="1366" spans="1:25">
      <c r="A1366" s="5">
        <v>40375</v>
      </c>
      <c r="B1366" s="4">
        <v>7717.24</v>
      </c>
      <c r="C1366" s="4">
        <v>7719.05</v>
      </c>
      <c r="D1366" s="4">
        <v>7660.76</v>
      </c>
      <c r="E1366" s="4">
        <v>7664.57</v>
      </c>
      <c r="F1366" s="4">
        <v>4754200</v>
      </c>
      <c r="G1366" s="8">
        <f t="shared" si="295"/>
        <v>12.719999999999345</v>
      </c>
      <c r="H1366" s="8">
        <f t="shared" si="294"/>
        <v>-52.670000000000073</v>
      </c>
      <c r="I1366" s="20">
        <f t="shared" ca="1" si="287"/>
        <v>0</v>
      </c>
      <c r="J1366" s="8">
        <f t="shared" ca="1" si="288"/>
        <v>2</v>
      </c>
      <c r="K1366" s="8">
        <f t="shared" ca="1" si="289"/>
        <v>-79.900000000001455</v>
      </c>
      <c r="L1366" s="8">
        <f t="shared" ca="1" si="290"/>
        <v>16767.64000000001</v>
      </c>
      <c r="M1366" s="9">
        <f ca="1">AVERAGE(E1366:OFFSET(E1366,-M$5+1,0))</f>
        <v>7609.9570000000003</v>
      </c>
      <c r="N1366" s="9">
        <f ca="1">AVERAGE(E1366:OFFSET(E1366,-N$5+1,0))</f>
        <v>7541.6545000000015</v>
      </c>
      <c r="O1366" s="9">
        <f t="shared" ca="1" si="291"/>
        <v>0</v>
      </c>
      <c r="P1366" s="14">
        <f t="shared" si="296"/>
        <v>-0.51987580237517028</v>
      </c>
      <c r="Q1366" s="15">
        <f ca="1">STDEV(P1366:OFFSET(P1366,-$Q$5+1,0))</f>
        <v>0.8496008601372379</v>
      </c>
      <c r="R1366" s="15">
        <f ca="1">STDEV(P1366:OFFSET(P1366,-$R$5+1,0))</f>
        <v>1.3025548964485423</v>
      </c>
      <c r="S1366" s="18">
        <f t="shared" si="283"/>
        <v>58.289999999999964</v>
      </c>
      <c r="T1366" s="18">
        <f t="shared" si="284"/>
        <v>58.289999999999964</v>
      </c>
      <c r="U1366" s="18">
        <f t="shared" si="292"/>
        <v>86.473179351090479</v>
      </c>
      <c r="V1366" s="33">
        <f ca="1">AVERAGE(E1366:OFFSET(E1366,-V$5+1,0))</f>
        <v>7531.2364285714284</v>
      </c>
      <c r="W1366" s="33">
        <f t="shared" ca="1" si="285"/>
        <v>7660.9461975980639</v>
      </c>
      <c r="X1366" s="33">
        <f t="shared" ca="1" si="286"/>
        <v>7401.5266595447929</v>
      </c>
      <c r="Y1366" s="32">
        <f t="shared" ca="1" si="293"/>
        <v>0</v>
      </c>
    </row>
    <row r="1367" spans="1:25">
      <c r="A1367" s="5">
        <v>40378</v>
      </c>
      <c r="B1367" s="4">
        <v>7602.68</v>
      </c>
      <c r="C1367" s="4">
        <v>7666.58</v>
      </c>
      <c r="D1367" s="4">
        <v>7596.26</v>
      </c>
      <c r="E1367" s="4">
        <v>7649.83</v>
      </c>
      <c r="F1367" s="4">
        <v>3152200</v>
      </c>
      <c r="G1367" s="8">
        <f t="shared" si="295"/>
        <v>-61.889999999999418</v>
      </c>
      <c r="H1367" s="8">
        <f t="shared" si="294"/>
        <v>47.149999999999636</v>
      </c>
      <c r="I1367" s="20">
        <f t="shared" ca="1" si="287"/>
        <v>0</v>
      </c>
      <c r="J1367" s="8">
        <f t="shared" ca="1" si="288"/>
        <v>2</v>
      </c>
      <c r="K1367" s="8">
        <f t="shared" ca="1" si="289"/>
        <v>-29.479999999999563</v>
      </c>
      <c r="L1367" s="8">
        <f t="shared" ca="1" si="290"/>
        <v>16738.160000000011</v>
      </c>
      <c r="M1367" s="9">
        <f ca="1">AVERAGE(E1367:OFFSET(E1367,-M$5+1,0))</f>
        <v>7630.9440000000013</v>
      </c>
      <c r="N1367" s="9">
        <f ca="1">AVERAGE(E1367:OFFSET(E1367,-N$5+1,0))</f>
        <v>7542.3680000000004</v>
      </c>
      <c r="O1367" s="9">
        <f t="shared" ca="1" si="291"/>
        <v>0</v>
      </c>
      <c r="P1367" s="14">
        <f t="shared" si="296"/>
        <v>-0.19249862288665184</v>
      </c>
      <c r="Q1367" s="15">
        <f ca="1">STDEV(P1367:OFFSET(P1367,-$Q$5+1,0))</f>
        <v>0.78567443189227004</v>
      </c>
      <c r="R1367" s="15">
        <f ca="1">STDEV(P1367:OFFSET(P1367,-$R$5+1,0))</f>
        <v>1.2321053523992349</v>
      </c>
      <c r="S1367" s="18">
        <f t="shared" si="283"/>
        <v>70.319999999999709</v>
      </c>
      <c r="T1367" s="18">
        <f t="shared" si="284"/>
        <v>70.319999999999709</v>
      </c>
      <c r="U1367" s="18">
        <f t="shared" si="292"/>
        <v>84.319422104278374</v>
      </c>
      <c r="V1367" s="33">
        <f ca="1">AVERAGE(E1367:OFFSET(E1367,-V$5+1,0))</f>
        <v>7547.397857142857</v>
      </c>
      <c r="W1367" s="33">
        <f t="shared" ca="1" si="285"/>
        <v>7673.8769902992744</v>
      </c>
      <c r="X1367" s="33">
        <f t="shared" ca="1" si="286"/>
        <v>7420.9187239864395</v>
      </c>
      <c r="Y1367" s="32">
        <f t="shared" ca="1" si="293"/>
        <v>0</v>
      </c>
    </row>
    <row r="1368" spans="1:25">
      <c r="A1368" s="5">
        <v>40379</v>
      </c>
      <c r="B1368" s="4">
        <v>7678.89</v>
      </c>
      <c r="C1368" s="4">
        <v>7730.88</v>
      </c>
      <c r="D1368" s="4">
        <v>7638.49</v>
      </c>
      <c r="E1368" s="4">
        <v>7712.03</v>
      </c>
      <c r="F1368" s="4">
        <v>3555000</v>
      </c>
      <c r="G1368" s="8">
        <f t="shared" si="295"/>
        <v>29.0600000000004</v>
      </c>
      <c r="H1368" s="8">
        <f t="shared" si="294"/>
        <v>33.139999999999418</v>
      </c>
      <c r="I1368" s="20">
        <f t="shared" ca="1" si="287"/>
        <v>1</v>
      </c>
      <c r="J1368" s="8">
        <f t="shared" ca="1" si="288"/>
        <v>2</v>
      </c>
      <c r="K1368" s="8">
        <f t="shared" ca="1" si="289"/>
        <v>124.39999999999964</v>
      </c>
      <c r="L1368" s="8">
        <f t="shared" ca="1" si="290"/>
        <v>16862.560000000012</v>
      </c>
      <c r="M1368" s="9">
        <f ca="1">AVERAGE(E1368:OFFSET(E1368,-M$5+1,0))</f>
        <v>7647.2989999999991</v>
      </c>
      <c r="N1368" s="9">
        <f ca="1">AVERAGE(E1368:OFFSET(E1368,-N$5+1,0))</f>
        <v>7547.3354999999992</v>
      </c>
      <c r="O1368" s="9">
        <f t="shared" ca="1" si="291"/>
        <v>0</v>
      </c>
      <c r="P1368" s="14">
        <f t="shared" si="296"/>
        <v>0.80980219728670877</v>
      </c>
      <c r="Q1368" s="15">
        <f ca="1">STDEV(P1368:OFFSET(P1368,-$Q$5+1,0))</f>
        <v>0.70148951316838903</v>
      </c>
      <c r="R1368" s="15">
        <f ca="1">STDEV(P1368:OFFSET(P1368,-$R$5+1,0))</f>
        <v>1.2257193927611154</v>
      </c>
      <c r="S1368" s="18">
        <f t="shared" si="283"/>
        <v>92.390000000000327</v>
      </c>
      <c r="T1368" s="18">
        <f t="shared" si="284"/>
        <v>92.390000000000327</v>
      </c>
      <c r="U1368" s="18">
        <f t="shared" si="292"/>
        <v>85.395499157041314</v>
      </c>
      <c r="V1368" s="33">
        <f ca="1">AVERAGE(E1368:OFFSET(E1368,-V$5+1,0))</f>
        <v>7574.7307142857144</v>
      </c>
      <c r="W1368" s="33">
        <f t="shared" ca="1" si="285"/>
        <v>7702.8239630212765</v>
      </c>
      <c r="X1368" s="33">
        <f t="shared" ca="1" si="286"/>
        <v>7446.6374655501522</v>
      </c>
      <c r="Y1368" s="32">
        <f t="shared" ca="1" si="293"/>
        <v>1</v>
      </c>
    </row>
    <row r="1369" spans="1:25">
      <c r="A1369" s="5">
        <v>40380</v>
      </c>
      <c r="B1369" s="4">
        <v>7742.48</v>
      </c>
      <c r="C1369" s="4">
        <v>7752.8</v>
      </c>
      <c r="D1369" s="4">
        <v>7678.3</v>
      </c>
      <c r="E1369" s="4">
        <v>7701.29</v>
      </c>
      <c r="F1369" s="4">
        <v>3832000</v>
      </c>
      <c r="G1369" s="8">
        <f t="shared" si="295"/>
        <v>30.449999999999818</v>
      </c>
      <c r="H1369" s="8">
        <f t="shared" si="294"/>
        <v>-41.1899999999996</v>
      </c>
      <c r="I1369" s="20">
        <f t="shared" ca="1" si="287"/>
        <v>0</v>
      </c>
      <c r="J1369" s="8">
        <f t="shared" ca="1" si="288"/>
        <v>3</v>
      </c>
      <c r="K1369" s="8">
        <f t="shared" ca="1" si="289"/>
        <v>-62.669999999999163</v>
      </c>
      <c r="L1369" s="8">
        <f t="shared" ca="1" si="290"/>
        <v>16799.890000000014</v>
      </c>
      <c r="M1369" s="9">
        <f ca="1">AVERAGE(E1369:OFFSET(E1369,-M$5+1,0))</f>
        <v>7663.9820000000009</v>
      </c>
      <c r="N1369" s="9">
        <f ca="1">AVERAGE(E1369:OFFSET(E1369,-N$5+1,0))</f>
        <v>7553.2925000000005</v>
      </c>
      <c r="O1369" s="9">
        <f t="shared" ca="1" si="291"/>
        <v>0</v>
      </c>
      <c r="P1369" s="14">
        <f t="shared" si="296"/>
        <v>-0.13936000469981005</v>
      </c>
      <c r="Q1369" s="15">
        <f ca="1">STDEV(P1369:OFFSET(P1369,-$Q$5+1,0))</f>
        <v>0.69868744497177238</v>
      </c>
      <c r="R1369" s="15">
        <f ca="1">STDEV(P1369:OFFSET(P1369,-$R$5+1,0))</f>
        <v>1.0952952620973642</v>
      </c>
      <c r="S1369" s="18">
        <f t="shared" si="283"/>
        <v>74.5</v>
      </c>
      <c r="T1369" s="18">
        <f t="shared" si="284"/>
        <v>74.5</v>
      </c>
      <c r="U1369" s="18">
        <f t="shared" si="292"/>
        <v>83.942765936102475</v>
      </c>
      <c r="V1369" s="33">
        <f ca="1">AVERAGE(E1369:OFFSET(E1369,-V$5+1,0))</f>
        <v>7606.6757142857141</v>
      </c>
      <c r="W1369" s="33">
        <f t="shared" ca="1" si="285"/>
        <v>7732.5898631898681</v>
      </c>
      <c r="X1369" s="33">
        <f t="shared" ca="1" si="286"/>
        <v>7480.7615653815601</v>
      </c>
      <c r="Y1369" s="32">
        <f t="shared" ca="1" si="293"/>
        <v>0</v>
      </c>
    </row>
    <row r="1370" spans="1:25">
      <c r="A1370" s="5">
        <v>40381</v>
      </c>
      <c r="B1370" s="4">
        <v>7699.36</v>
      </c>
      <c r="C1370" s="4">
        <v>7718.92</v>
      </c>
      <c r="D1370" s="4">
        <v>7665.78</v>
      </c>
      <c r="E1370" s="4">
        <v>7666.34</v>
      </c>
      <c r="F1370" s="4">
        <v>3409400</v>
      </c>
      <c r="G1370" s="8">
        <f t="shared" si="295"/>
        <v>-1.930000000000291</v>
      </c>
      <c r="H1370" s="8">
        <f t="shared" si="294"/>
        <v>-33.019999999999527</v>
      </c>
      <c r="I1370" s="20">
        <f t="shared" ca="1" si="287"/>
        <v>0</v>
      </c>
      <c r="J1370" s="8">
        <f t="shared" ca="1" si="288"/>
        <v>3</v>
      </c>
      <c r="K1370" s="8">
        <f t="shared" ca="1" si="289"/>
        <v>-104.84999999999945</v>
      </c>
      <c r="L1370" s="8">
        <f t="shared" ca="1" si="290"/>
        <v>16695.040000000015</v>
      </c>
      <c r="M1370" s="9">
        <f ca="1">AVERAGE(E1370:OFFSET(E1370,-M$5+1,0))</f>
        <v>7669.7309999999998</v>
      </c>
      <c r="N1370" s="9">
        <f ca="1">AVERAGE(E1370:OFFSET(E1370,-N$5+1,0))</f>
        <v>7557.1150000000007</v>
      </c>
      <c r="O1370" s="9">
        <f t="shared" ca="1" si="291"/>
        <v>0</v>
      </c>
      <c r="P1370" s="14">
        <f t="shared" si="296"/>
        <v>-0.45485296375623901</v>
      </c>
      <c r="Q1370" s="15">
        <f ca="1">STDEV(P1370:OFFSET(P1370,-$Q$5+1,0))</f>
        <v>0.67148806748146073</v>
      </c>
      <c r="R1370" s="15">
        <f ca="1">STDEV(P1370:OFFSET(P1370,-$R$5+1,0))</f>
        <v>1.0895976273387298</v>
      </c>
      <c r="S1370" s="18">
        <f t="shared" si="283"/>
        <v>53.140000000000327</v>
      </c>
      <c r="T1370" s="18">
        <f t="shared" si="284"/>
        <v>53.140000000000327</v>
      </c>
      <c r="U1370" s="18">
        <f t="shared" si="292"/>
        <v>79.835730477955522</v>
      </c>
      <c r="V1370" s="33">
        <f ca="1">AVERAGE(E1370:OFFSET(E1370,-V$5+1,0))</f>
        <v>7630.6471428571431</v>
      </c>
      <c r="W1370" s="33">
        <f t="shared" ca="1" si="285"/>
        <v>7750.4007385740761</v>
      </c>
      <c r="X1370" s="33">
        <f t="shared" ca="1" si="286"/>
        <v>7510.8935471402101</v>
      </c>
      <c r="Y1370" s="32">
        <f t="shared" ca="1" si="293"/>
        <v>0</v>
      </c>
    </row>
    <row r="1371" spans="1:25">
      <c r="A1371" s="5">
        <v>40382</v>
      </c>
      <c r="B1371" s="4">
        <v>7747.03</v>
      </c>
      <c r="C1371" s="4">
        <v>7782.02</v>
      </c>
      <c r="D1371" s="4">
        <v>7739.04</v>
      </c>
      <c r="E1371" s="4">
        <v>7761.22</v>
      </c>
      <c r="F1371" s="4">
        <v>4402800</v>
      </c>
      <c r="G1371" s="8">
        <f t="shared" si="295"/>
        <v>80.6899999999996</v>
      </c>
      <c r="H1371" s="8">
        <f t="shared" si="294"/>
        <v>14.190000000000509</v>
      </c>
      <c r="I1371" s="20">
        <f t="shared" ca="1" si="287"/>
        <v>0</v>
      </c>
      <c r="J1371" s="8">
        <f t="shared" ca="1" si="288"/>
        <v>3</v>
      </c>
      <c r="K1371" s="8">
        <f t="shared" ca="1" si="289"/>
        <v>284.64000000000033</v>
      </c>
      <c r="L1371" s="8">
        <f t="shared" ca="1" si="290"/>
        <v>16979.680000000015</v>
      </c>
      <c r="M1371" s="9">
        <f ca="1">AVERAGE(E1371:OFFSET(E1371,-M$5+1,0))</f>
        <v>7681.1280000000015</v>
      </c>
      <c r="N1371" s="9">
        <f ca="1">AVERAGE(E1371:OFFSET(E1371,-N$5+1,0))</f>
        <v>7571.4404999999997</v>
      </c>
      <c r="O1371" s="9">
        <f t="shared" ca="1" si="291"/>
        <v>0</v>
      </c>
      <c r="P1371" s="14">
        <f t="shared" si="296"/>
        <v>1.2300220675143161</v>
      </c>
      <c r="Q1371" s="15">
        <f ca="1">STDEV(P1371:OFFSET(P1371,-$Q$5+1,0))</f>
        <v>0.75685142143070483</v>
      </c>
      <c r="R1371" s="15">
        <f ca="1">STDEV(P1371:OFFSET(P1371,-$R$5+1,0))</f>
        <v>1.0936526486442106</v>
      </c>
      <c r="S1371" s="18">
        <f t="shared" si="283"/>
        <v>42.980000000000473</v>
      </c>
      <c r="T1371" s="18">
        <f t="shared" si="284"/>
        <v>115.68000000000029</v>
      </c>
      <c r="U1371" s="18">
        <f t="shared" si="292"/>
        <v>84.614966414228149</v>
      </c>
      <c r="V1371" s="33">
        <f ca="1">AVERAGE(E1371:OFFSET(E1371,-V$5+1,0))</f>
        <v>7653.5942857142863</v>
      </c>
      <c r="W1371" s="33">
        <f t="shared" ca="1" si="285"/>
        <v>7780.5167353356283</v>
      </c>
      <c r="X1371" s="33">
        <f t="shared" ca="1" si="286"/>
        <v>7526.6718360929444</v>
      </c>
      <c r="Y1371" s="32">
        <f t="shared" ca="1" si="293"/>
        <v>0</v>
      </c>
    </row>
    <row r="1372" spans="1:25">
      <c r="A1372" s="5">
        <v>40385</v>
      </c>
      <c r="B1372" s="4">
        <v>7787.07</v>
      </c>
      <c r="C1372" s="4">
        <v>7807.07</v>
      </c>
      <c r="D1372" s="4">
        <v>7765.68</v>
      </c>
      <c r="E1372" s="4">
        <v>7787.45</v>
      </c>
      <c r="F1372" s="4">
        <v>3916600</v>
      </c>
      <c r="G1372" s="8">
        <f t="shared" si="295"/>
        <v>25.849999999999454</v>
      </c>
      <c r="H1372" s="8">
        <f t="shared" si="294"/>
        <v>0.38000000000010914</v>
      </c>
      <c r="I1372" s="20">
        <f t="shared" ca="1" si="287"/>
        <v>0</v>
      </c>
      <c r="J1372" s="8">
        <f t="shared" ca="1" si="288"/>
        <v>3</v>
      </c>
      <c r="K1372" s="8">
        <f t="shared" ca="1" si="289"/>
        <v>78.68999999999869</v>
      </c>
      <c r="L1372" s="8">
        <f t="shared" ca="1" si="290"/>
        <v>17058.370000000014</v>
      </c>
      <c r="M1372" s="9">
        <f ca="1">AVERAGE(E1372:OFFSET(E1372,-M$5+1,0))</f>
        <v>7695.9179999999997</v>
      </c>
      <c r="N1372" s="9">
        <f ca="1">AVERAGE(E1372:OFFSET(E1372,-N$5+1,0))</f>
        <v>7585.7735000000002</v>
      </c>
      <c r="O1372" s="9">
        <f t="shared" ca="1" si="291"/>
        <v>0</v>
      </c>
      <c r="P1372" s="14">
        <f t="shared" si="296"/>
        <v>0.33739252144584742</v>
      </c>
      <c r="Q1372" s="15">
        <f ca="1">STDEV(P1372:OFFSET(P1372,-$Q$5+1,0))</f>
        <v>0.75353064117699475</v>
      </c>
      <c r="R1372" s="15">
        <f ca="1">STDEV(P1372:OFFSET(P1372,-$R$5+1,0))</f>
        <v>1.0904436233446593</v>
      </c>
      <c r="S1372" s="18">
        <f t="shared" si="283"/>
        <v>41.389999999999418</v>
      </c>
      <c r="T1372" s="18">
        <f t="shared" si="284"/>
        <v>45.849999999999454</v>
      </c>
      <c r="U1372" s="18">
        <f t="shared" si="292"/>
        <v>79.446304225664321</v>
      </c>
      <c r="V1372" s="33">
        <f ca="1">AVERAGE(E1372:OFFSET(E1372,-V$5+1,0))</f>
        <v>7670.6635714285703</v>
      </c>
      <c r="W1372" s="33">
        <f t="shared" ca="1" si="285"/>
        <v>7789.8330277670666</v>
      </c>
      <c r="X1372" s="33">
        <f t="shared" ca="1" si="286"/>
        <v>7551.494115090074</v>
      </c>
      <c r="Y1372" s="32">
        <f t="shared" ca="1" si="293"/>
        <v>0</v>
      </c>
    </row>
    <row r="1373" spans="1:25">
      <c r="A1373" s="5">
        <v>40386</v>
      </c>
      <c r="B1373" s="4">
        <v>7806.25</v>
      </c>
      <c r="C1373" s="4">
        <v>7806.25</v>
      </c>
      <c r="D1373" s="4">
        <v>7748.01</v>
      </c>
      <c r="E1373" s="4">
        <v>7748.01</v>
      </c>
      <c r="F1373" s="4">
        <v>3609200</v>
      </c>
      <c r="G1373" s="8">
        <f t="shared" si="295"/>
        <v>18.800000000000182</v>
      </c>
      <c r="H1373" s="8">
        <f t="shared" si="294"/>
        <v>-58.239999999999782</v>
      </c>
      <c r="I1373" s="20">
        <f t="shared" ca="1" si="287"/>
        <v>0</v>
      </c>
      <c r="J1373" s="8">
        <f t="shared" ca="1" si="288"/>
        <v>3</v>
      </c>
      <c r="K1373" s="8">
        <f t="shared" ca="1" si="289"/>
        <v>-118.3199999999988</v>
      </c>
      <c r="L1373" s="8">
        <f t="shared" ca="1" si="290"/>
        <v>16940.050000000014</v>
      </c>
      <c r="M1373" s="9">
        <f ca="1">AVERAGE(E1373:OFFSET(E1373,-M$5+1,0))</f>
        <v>7710.976999999999</v>
      </c>
      <c r="N1373" s="9">
        <f ca="1">AVERAGE(E1373:OFFSET(E1373,-N$5+1,0))</f>
        <v>7601.9955</v>
      </c>
      <c r="O1373" s="9">
        <f t="shared" ca="1" si="291"/>
        <v>0</v>
      </c>
      <c r="P1373" s="14">
        <f t="shared" si="296"/>
        <v>-0.50774273476436493</v>
      </c>
      <c r="Q1373" s="15">
        <f ca="1">STDEV(P1373:OFFSET(P1373,-$Q$5+1,0))</f>
        <v>0.7486811379525995</v>
      </c>
      <c r="R1373" s="15">
        <f ca="1">STDEV(P1373:OFFSET(P1373,-$R$5+1,0))</f>
        <v>1.0852699466667015</v>
      </c>
      <c r="S1373" s="18">
        <f t="shared" si="283"/>
        <v>58.239999999999782</v>
      </c>
      <c r="T1373" s="18">
        <f t="shared" si="284"/>
        <v>58.239999999999782</v>
      </c>
      <c r="U1373" s="18">
        <f t="shared" si="292"/>
        <v>76.618796995575721</v>
      </c>
      <c r="V1373" s="33">
        <f ca="1">AVERAGE(E1373:OFFSET(E1373,-V$5+1,0))</f>
        <v>7685.9171428571426</v>
      </c>
      <c r="W1373" s="33">
        <f t="shared" ca="1" si="285"/>
        <v>7800.8453383505066</v>
      </c>
      <c r="X1373" s="33">
        <f t="shared" ca="1" si="286"/>
        <v>7570.9889473637786</v>
      </c>
      <c r="Y1373" s="32">
        <f t="shared" ca="1" si="293"/>
        <v>0</v>
      </c>
    </row>
    <row r="1374" spans="1:25">
      <c r="A1374" s="5">
        <v>40387</v>
      </c>
      <c r="B1374" s="4">
        <v>7736.59</v>
      </c>
      <c r="C1374" s="4">
        <v>7786.23</v>
      </c>
      <c r="D1374" s="4">
        <v>7726.4</v>
      </c>
      <c r="E1374" s="4">
        <v>7784.81</v>
      </c>
      <c r="F1374" s="4">
        <v>4175400</v>
      </c>
      <c r="G1374" s="8">
        <f t="shared" si="295"/>
        <v>-11.420000000000073</v>
      </c>
      <c r="H1374" s="8">
        <f t="shared" si="294"/>
        <v>48.220000000000255</v>
      </c>
      <c r="I1374" s="20">
        <f t="shared" ca="1" si="287"/>
        <v>0</v>
      </c>
      <c r="J1374" s="8">
        <f t="shared" ca="1" si="288"/>
        <v>3</v>
      </c>
      <c r="K1374" s="8">
        <f t="shared" ca="1" si="289"/>
        <v>110.40000000000055</v>
      </c>
      <c r="L1374" s="8">
        <f t="shared" ca="1" si="290"/>
        <v>17050.450000000015</v>
      </c>
      <c r="M1374" s="9">
        <f ca="1">AVERAGE(E1374:OFFSET(E1374,-M$5+1,0))</f>
        <v>7718.0069999999996</v>
      </c>
      <c r="N1374" s="9">
        <f ca="1">AVERAGE(E1374:OFFSET(E1374,-N$5+1,0))</f>
        <v>7624.7674999999999</v>
      </c>
      <c r="O1374" s="9">
        <f t="shared" ca="1" si="291"/>
        <v>0</v>
      </c>
      <c r="P1374" s="14">
        <f t="shared" si="296"/>
        <v>0.47383628797639948</v>
      </c>
      <c r="Q1374" s="15">
        <f ca="1">STDEV(P1374:OFFSET(P1374,-$Q$5+1,0))</f>
        <v>0.59935431205201617</v>
      </c>
      <c r="R1374" s="15">
        <f ca="1">STDEV(P1374:OFFSET(P1374,-$R$5+1,0))</f>
        <v>1.0664691083300641</v>
      </c>
      <c r="S1374" s="18">
        <f t="shared" si="283"/>
        <v>59.829999999999927</v>
      </c>
      <c r="T1374" s="18">
        <f t="shared" si="284"/>
        <v>59.829999999999927</v>
      </c>
      <c r="U1374" s="18">
        <f t="shared" si="292"/>
        <v>74.380290729498952</v>
      </c>
      <c r="V1374" s="33">
        <f ca="1">AVERAGE(E1374:OFFSET(E1374,-V$5+1,0))</f>
        <v>7698.4857142857136</v>
      </c>
      <c r="W1374" s="33">
        <f t="shared" ca="1" si="285"/>
        <v>7810.0561503799618</v>
      </c>
      <c r="X1374" s="33">
        <f t="shared" ca="1" si="286"/>
        <v>7586.9152781914654</v>
      </c>
      <c r="Y1374" s="32">
        <f t="shared" ca="1" si="293"/>
        <v>0</v>
      </c>
    </row>
    <row r="1375" spans="1:25">
      <c r="A1375" s="5">
        <v>40388</v>
      </c>
      <c r="B1375" s="4">
        <v>7778.74</v>
      </c>
      <c r="C1375" s="4">
        <v>7799.57</v>
      </c>
      <c r="D1375" s="4">
        <v>7738.48</v>
      </c>
      <c r="E1375" s="4">
        <v>7798.99</v>
      </c>
      <c r="F1375" s="4">
        <v>4541000</v>
      </c>
      <c r="G1375" s="8">
        <f t="shared" si="295"/>
        <v>-6.0700000000006185</v>
      </c>
      <c r="H1375" s="8">
        <f t="shared" si="294"/>
        <v>20.25</v>
      </c>
      <c r="I1375" s="20">
        <f t="shared" ca="1" si="287"/>
        <v>0</v>
      </c>
      <c r="J1375" s="8">
        <f t="shared" ca="1" si="288"/>
        <v>3</v>
      </c>
      <c r="K1375" s="8">
        <f t="shared" ca="1" si="289"/>
        <v>42.539999999998145</v>
      </c>
      <c r="L1375" s="8">
        <f t="shared" ca="1" si="290"/>
        <v>17092.990000000013</v>
      </c>
      <c r="M1375" s="9">
        <f ca="1">AVERAGE(E1375:OFFSET(E1375,-M$5+1,0))</f>
        <v>7727.4540000000006</v>
      </c>
      <c r="N1375" s="9">
        <f ca="1">AVERAGE(E1375:OFFSET(E1375,-N$5+1,0))</f>
        <v>7652.0139999999983</v>
      </c>
      <c r="O1375" s="9">
        <f t="shared" ca="1" si="291"/>
        <v>0</v>
      </c>
      <c r="P1375" s="14">
        <f t="shared" si="296"/>
        <v>0.18198390525365002</v>
      </c>
      <c r="Q1375" s="15">
        <f ca="1">STDEV(P1375:OFFSET(P1375,-$Q$5+1,0))</f>
        <v>0.5947103509273225</v>
      </c>
      <c r="R1375" s="15">
        <f ca="1">STDEV(P1375:OFFSET(P1375,-$R$5+1,0))</f>
        <v>1.0399678574995728</v>
      </c>
      <c r="S1375" s="18">
        <f t="shared" si="283"/>
        <v>61.090000000000146</v>
      </c>
      <c r="T1375" s="18">
        <f t="shared" si="284"/>
        <v>61.090000000000146</v>
      </c>
      <c r="U1375" s="18">
        <f t="shared" si="292"/>
        <v>72.608251965565785</v>
      </c>
      <c r="V1375" s="33">
        <f ca="1">AVERAGE(E1375:OFFSET(E1375,-V$5+1,0))</f>
        <v>7709.3242857142859</v>
      </c>
      <c r="W1375" s="33">
        <f t="shared" ca="1" si="285"/>
        <v>7818.2366636626348</v>
      </c>
      <c r="X1375" s="33">
        <f t="shared" ca="1" si="286"/>
        <v>7600.411907765937</v>
      </c>
      <c r="Y1375" s="32">
        <f t="shared" ca="1" si="293"/>
        <v>0</v>
      </c>
    </row>
    <row r="1376" spans="1:25">
      <c r="A1376" s="5">
        <v>40389</v>
      </c>
      <c r="B1376" s="4">
        <v>7765.25</v>
      </c>
      <c r="C1376" s="4">
        <v>7781.24</v>
      </c>
      <c r="D1376" s="4">
        <v>7731.19</v>
      </c>
      <c r="E1376" s="4">
        <v>7760.63</v>
      </c>
      <c r="F1376" s="4">
        <v>4154600</v>
      </c>
      <c r="G1376" s="8">
        <f t="shared" si="295"/>
        <v>-33.739999999999782</v>
      </c>
      <c r="H1376" s="8">
        <f t="shared" si="294"/>
        <v>-4.6199999999998909</v>
      </c>
      <c r="I1376" s="20">
        <f t="shared" ca="1" si="287"/>
        <v>0</v>
      </c>
      <c r="J1376" s="8">
        <f t="shared" ca="1" si="288"/>
        <v>3</v>
      </c>
      <c r="K1376" s="8">
        <f t="shared" ca="1" si="289"/>
        <v>-115.07999999999902</v>
      </c>
      <c r="L1376" s="8">
        <f t="shared" ca="1" si="290"/>
        <v>16977.910000000014</v>
      </c>
      <c r="M1376" s="9">
        <f ca="1">AVERAGE(E1376:OFFSET(E1376,-M$5+1,0))</f>
        <v>7737.06</v>
      </c>
      <c r="N1376" s="9">
        <f ca="1">AVERAGE(E1376:OFFSET(E1376,-N$5+1,0))</f>
        <v>7673.508499999999</v>
      </c>
      <c r="O1376" s="9">
        <f t="shared" ca="1" si="291"/>
        <v>0</v>
      </c>
      <c r="P1376" s="14">
        <f t="shared" si="296"/>
        <v>-0.49307216651023716</v>
      </c>
      <c r="Q1376" s="15">
        <f ca="1">STDEV(P1376:OFFSET(P1376,-$Q$5+1,0))</f>
        <v>0.59154861982682305</v>
      </c>
      <c r="R1376" s="15">
        <f ca="1">STDEV(P1376:OFFSET(P1376,-$R$5+1,0))</f>
        <v>0.99006021110862141</v>
      </c>
      <c r="S1376" s="18">
        <f t="shared" si="283"/>
        <v>50.050000000000182</v>
      </c>
      <c r="T1376" s="18">
        <f t="shared" si="284"/>
        <v>67.800000000000182</v>
      </c>
      <c r="U1376" s="18">
        <f t="shared" si="292"/>
        <v>71.967151703490373</v>
      </c>
      <c r="V1376" s="33">
        <f ca="1">AVERAGE(E1376:OFFSET(E1376,-V$5+1,0))</f>
        <v>7717.9728571428568</v>
      </c>
      <c r="W1376" s="33">
        <f t="shared" ca="1" si="285"/>
        <v>7825.9235846980928</v>
      </c>
      <c r="X1376" s="33">
        <f t="shared" ca="1" si="286"/>
        <v>7610.0221295876208</v>
      </c>
      <c r="Y1376" s="32">
        <f t="shared" ca="1" si="293"/>
        <v>0</v>
      </c>
    </row>
    <row r="1377" spans="1:25">
      <c r="A1377" s="5">
        <v>40392</v>
      </c>
      <c r="B1377" s="4">
        <v>7829.19</v>
      </c>
      <c r="C1377" s="4">
        <v>7917.95</v>
      </c>
      <c r="D1377" s="4">
        <v>7829.19</v>
      </c>
      <c r="E1377" s="4">
        <v>7911.68</v>
      </c>
      <c r="F1377" s="4">
        <v>5231200</v>
      </c>
      <c r="G1377" s="8">
        <f t="shared" si="295"/>
        <v>68.559999999999491</v>
      </c>
      <c r="H1377" s="8">
        <f t="shared" si="294"/>
        <v>82.490000000000691</v>
      </c>
      <c r="I1377" s="20">
        <f t="shared" ca="1" si="287"/>
        <v>1</v>
      </c>
      <c r="J1377" s="8">
        <f t="shared" ca="1" si="288"/>
        <v>3</v>
      </c>
      <c r="K1377" s="8">
        <f t="shared" ca="1" si="289"/>
        <v>453.15000000000055</v>
      </c>
      <c r="L1377" s="8">
        <f t="shared" ca="1" si="290"/>
        <v>17431.060000000016</v>
      </c>
      <c r="M1377" s="9">
        <f ca="1">AVERAGE(E1377:OFFSET(E1377,-M$5+1,0))</f>
        <v>7763.2450000000008</v>
      </c>
      <c r="N1377" s="9">
        <f ca="1">AVERAGE(E1377:OFFSET(E1377,-N$5+1,0))</f>
        <v>7697.0944999999992</v>
      </c>
      <c r="O1377" s="9">
        <f t="shared" ca="1" si="291"/>
        <v>0</v>
      </c>
      <c r="P1377" s="14">
        <f t="shared" si="296"/>
        <v>1.9276632141894137</v>
      </c>
      <c r="Q1377" s="15">
        <f ca="1">STDEV(P1377:OFFSET(P1377,-$Q$5+1,0))</f>
        <v>0.80626383138344726</v>
      </c>
      <c r="R1377" s="15">
        <f ca="1">STDEV(P1377:OFFSET(P1377,-$R$5+1,0))</f>
        <v>1.0280337204223227</v>
      </c>
      <c r="S1377" s="18">
        <f t="shared" si="283"/>
        <v>88.760000000000218</v>
      </c>
      <c r="T1377" s="18">
        <f t="shared" si="284"/>
        <v>157.31999999999971</v>
      </c>
      <c r="U1377" s="18">
        <f t="shared" si="292"/>
        <v>83.347531476358284</v>
      </c>
      <c r="V1377" s="33">
        <f ca="1">AVERAGE(E1377:OFFSET(E1377,-V$5+1,0))</f>
        <v>7740.42</v>
      </c>
      <c r="W1377" s="33">
        <f t="shared" ca="1" si="285"/>
        <v>7865.4412972145374</v>
      </c>
      <c r="X1377" s="33">
        <f t="shared" ca="1" si="286"/>
        <v>7615.3987027854628</v>
      </c>
      <c r="Y1377" s="32">
        <f t="shared" ca="1" si="293"/>
        <v>1</v>
      </c>
    </row>
    <row r="1378" spans="1:25">
      <c r="A1378" s="5">
        <v>40393</v>
      </c>
      <c r="B1378" s="4">
        <v>7961.68</v>
      </c>
      <c r="C1378" s="4">
        <v>7970.58</v>
      </c>
      <c r="D1378" s="4">
        <v>7915.83</v>
      </c>
      <c r="E1378" s="4">
        <v>7957.53</v>
      </c>
      <c r="F1378" s="4">
        <v>5229600</v>
      </c>
      <c r="G1378" s="8">
        <f t="shared" si="295"/>
        <v>50</v>
      </c>
      <c r="H1378" s="8">
        <f t="shared" si="294"/>
        <v>-4.1500000000005457</v>
      </c>
      <c r="I1378" s="20">
        <f t="shared" ca="1" si="287"/>
        <v>0</v>
      </c>
      <c r="J1378" s="8">
        <f t="shared" ca="1" si="288"/>
        <v>3</v>
      </c>
      <c r="K1378" s="8">
        <f t="shared" ca="1" si="289"/>
        <v>137.54999999999836</v>
      </c>
      <c r="L1378" s="8">
        <f t="shared" ca="1" si="290"/>
        <v>17568.610000000015</v>
      </c>
      <c r="M1378" s="9">
        <f ca="1">AVERAGE(E1378:OFFSET(E1378,-M$5+1,0))</f>
        <v>7787.7950000000001</v>
      </c>
      <c r="N1378" s="9">
        <f ca="1">AVERAGE(E1378:OFFSET(E1378,-N$5+1,0))</f>
        <v>7717.5469999999987</v>
      </c>
      <c r="O1378" s="9">
        <f t="shared" ca="1" si="291"/>
        <v>0</v>
      </c>
      <c r="P1378" s="14">
        <f t="shared" si="296"/>
        <v>0.57785015866174227</v>
      </c>
      <c r="Q1378" s="15">
        <f ca="1">STDEV(P1378:OFFSET(P1378,-$Q$5+1,0))</f>
        <v>0.79438573305017235</v>
      </c>
      <c r="R1378" s="15">
        <f ca="1">STDEV(P1378:OFFSET(P1378,-$R$5+1,0))</f>
        <v>0.92674675325078648</v>
      </c>
      <c r="S1378" s="18">
        <f t="shared" si="283"/>
        <v>54.75</v>
      </c>
      <c r="T1378" s="18">
        <f t="shared" si="284"/>
        <v>58.899999999999636</v>
      </c>
      <c r="U1378" s="18">
        <f t="shared" si="292"/>
        <v>80.087860612843798</v>
      </c>
      <c r="V1378" s="33">
        <f ca="1">AVERAGE(E1378:OFFSET(E1378,-V$5+1,0))</f>
        <v>7757.778571428571</v>
      </c>
      <c r="W1378" s="33">
        <f t="shared" ca="1" si="285"/>
        <v>7877.9103623478368</v>
      </c>
      <c r="X1378" s="33">
        <f t="shared" ca="1" si="286"/>
        <v>7637.6467805093052</v>
      </c>
      <c r="Y1378" s="32">
        <f t="shared" ca="1" si="293"/>
        <v>0</v>
      </c>
    </row>
    <row r="1379" spans="1:25">
      <c r="A1379" s="5">
        <v>40394</v>
      </c>
      <c r="B1379" s="4">
        <v>7960.3</v>
      </c>
      <c r="C1379" s="4">
        <v>7978.16</v>
      </c>
      <c r="D1379" s="4">
        <v>7938.92</v>
      </c>
      <c r="E1379" s="4">
        <v>7972.66</v>
      </c>
      <c r="F1379" s="4">
        <v>4822400</v>
      </c>
      <c r="G1379" s="8">
        <f t="shared" si="295"/>
        <v>2.7700000000004366</v>
      </c>
      <c r="H1379" s="8">
        <f t="shared" si="294"/>
        <v>12.359999999999673</v>
      </c>
      <c r="I1379" s="20">
        <f t="shared" ca="1" si="287"/>
        <v>0</v>
      </c>
      <c r="J1379" s="8">
        <f t="shared" ca="1" si="288"/>
        <v>3</v>
      </c>
      <c r="K1379" s="8">
        <f t="shared" ca="1" si="289"/>
        <v>45.390000000000327</v>
      </c>
      <c r="L1379" s="8">
        <f t="shared" ca="1" si="290"/>
        <v>17614.000000000015</v>
      </c>
      <c r="M1379" s="9">
        <f ca="1">AVERAGE(E1379:OFFSET(E1379,-M$5+1,0))</f>
        <v>7814.9320000000007</v>
      </c>
      <c r="N1379" s="9">
        <f ca="1">AVERAGE(E1379:OFFSET(E1379,-N$5+1,0))</f>
        <v>7739.4570000000003</v>
      </c>
      <c r="O1379" s="9">
        <f t="shared" ca="1" si="291"/>
        <v>0</v>
      </c>
      <c r="P1379" s="14">
        <f t="shared" si="296"/>
        <v>0.18995384925601183</v>
      </c>
      <c r="Q1379" s="15">
        <f ca="1">STDEV(P1379:OFFSET(P1379,-$Q$5+1,0))</f>
        <v>0.7802321041761594</v>
      </c>
      <c r="R1379" s="15">
        <f ca="1">STDEV(P1379:OFFSET(P1379,-$R$5+1,0))</f>
        <v>0.92513731630508633</v>
      </c>
      <c r="S1379" s="18">
        <f t="shared" si="283"/>
        <v>39.239999999999782</v>
      </c>
      <c r="T1379" s="18">
        <f t="shared" si="284"/>
        <v>39.239999999999782</v>
      </c>
      <c r="U1379" s="18">
        <f t="shared" si="292"/>
        <v>74.641479197797935</v>
      </c>
      <c r="V1379" s="33">
        <f ca="1">AVERAGE(E1379:OFFSET(E1379,-V$5+1,0))</f>
        <v>7776.931428571429</v>
      </c>
      <c r="W1379" s="33">
        <f t="shared" ca="1" si="285"/>
        <v>7888.893647368126</v>
      </c>
      <c r="X1379" s="33">
        <f t="shared" ca="1" si="286"/>
        <v>7664.969209774732</v>
      </c>
      <c r="Y1379" s="32">
        <f t="shared" ca="1" si="293"/>
        <v>0</v>
      </c>
    </row>
    <row r="1380" spans="1:25">
      <c r="A1380" s="5">
        <v>40395</v>
      </c>
      <c r="B1380" s="4">
        <v>8010.07</v>
      </c>
      <c r="C1380" s="4">
        <v>8018.74</v>
      </c>
      <c r="D1380" s="4">
        <v>7921.98</v>
      </c>
      <c r="E1380" s="4">
        <v>7936.85</v>
      </c>
      <c r="F1380" s="4">
        <v>6156600</v>
      </c>
      <c r="G1380" s="8">
        <f t="shared" si="295"/>
        <v>37.409999999999854</v>
      </c>
      <c r="H1380" s="8">
        <f t="shared" si="294"/>
        <v>-73.219999999999345</v>
      </c>
      <c r="I1380" s="20">
        <f t="shared" ca="1" si="287"/>
        <v>0</v>
      </c>
      <c r="J1380" s="8">
        <f t="shared" ca="1" si="288"/>
        <v>3</v>
      </c>
      <c r="K1380" s="8">
        <f t="shared" ca="1" si="289"/>
        <v>-107.42999999999847</v>
      </c>
      <c r="L1380" s="8">
        <f t="shared" ca="1" si="290"/>
        <v>17506.570000000014</v>
      </c>
      <c r="M1380" s="9">
        <f ca="1">AVERAGE(E1380:OFFSET(E1380,-M$5+1,0))</f>
        <v>7841.9830000000002</v>
      </c>
      <c r="N1380" s="9">
        <f ca="1">AVERAGE(E1380:OFFSET(E1380,-N$5+1,0))</f>
        <v>7755.8570000000009</v>
      </c>
      <c r="O1380" s="9">
        <f t="shared" ca="1" si="291"/>
        <v>0</v>
      </c>
      <c r="P1380" s="14">
        <f t="shared" si="296"/>
        <v>-0.45017175859587266</v>
      </c>
      <c r="Q1380" s="15">
        <f ca="1">STDEV(P1380:OFFSET(P1380,-$Q$5+1,0))</f>
        <v>0.77969924365880794</v>
      </c>
      <c r="R1380" s="15">
        <f ca="1">STDEV(P1380:OFFSET(P1380,-$R$5+1,0))</f>
        <v>0.90477297392871225</v>
      </c>
      <c r="S1380" s="18">
        <f t="shared" si="283"/>
        <v>96.760000000000218</v>
      </c>
      <c r="T1380" s="18">
        <f t="shared" si="284"/>
        <v>96.760000000000218</v>
      </c>
      <c r="U1380" s="18">
        <f t="shared" si="292"/>
        <v>77.590615304758245</v>
      </c>
      <c r="V1380" s="33">
        <f ca="1">AVERAGE(E1380:OFFSET(E1380,-V$5+1,0))</f>
        <v>7796.38</v>
      </c>
      <c r="W1380" s="33">
        <f t="shared" ca="1" si="285"/>
        <v>7912.7659229571373</v>
      </c>
      <c r="X1380" s="33">
        <f t="shared" ca="1" si="286"/>
        <v>7679.994077042863</v>
      </c>
      <c r="Y1380" s="32">
        <f t="shared" ca="1" si="293"/>
        <v>0</v>
      </c>
    </row>
    <row r="1381" spans="1:25">
      <c r="A1381" s="5">
        <v>40396</v>
      </c>
      <c r="B1381" s="4">
        <v>7938.09</v>
      </c>
      <c r="C1381" s="4">
        <v>7963.3</v>
      </c>
      <c r="D1381" s="4">
        <v>7922.29</v>
      </c>
      <c r="E1381" s="4">
        <v>7963.3</v>
      </c>
      <c r="F1381" s="4">
        <v>4304800</v>
      </c>
      <c r="G1381" s="8">
        <f t="shared" si="295"/>
        <v>1.2399999999997817</v>
      </c>
      <c r="H1381" s="8">
        <f t="shared" si="294"/>
        <v>25.210000000000036</v>
      </c>
      <c r="I1381" s="20">
        <f t="shared" ca="1" si="287"/>
        <v>0</v>
      </c>
      <c r="J1381" s="8">
        <f t="shared" ca="1" si="288"/>
        <v>3</v>
      </c>
      <c r="K1381" s="8">
        <f t="shared" ca="1" si="289"/>
        <v>79.349999999999454</v>
      </c>
      <c r="L1381" s="8">
        <f t="shared" ca="1" si="290"/>
        <v>17585.920000000013</v>
      </c>
      <c r="M1381" s="9">
        <f ca="1">AVERAGE(E1381:OFFSET(E1381,-M$5+1,0))</f>
        <v>7862.1910000000007</v>
      </c>
      <c r="N1381" s="9">
        <f ca="1">AVERAGE(E1381:OFFSET(E1381,-N$5+1,0))</f>
        <v>7771.6594999999998</v>
      </c>
      <c r="O1381" s="9">
        <f t="shared" ca="1" si="291"/>
        <v>0</v>
      </c>
      <c r="P1381" s="14">
        <f t="shared" si="296"/>
        <v>0.33270157071460998</v>
      </c>
      <c r="Q1381" s="15">
        <f ca="1">STDEV(P1381:OFFSET(P1381,-$Q$5+1,0))</f>
        <v>0.71576891424299516</v>
      </c>
      <c r="R1381" s="15">
        <f ca="1">STDEV(P1381:OFFSET(P1381,-$R$5+1,0))</f>
        <v>0.88161702547965182</v>
      </c>
      <c r="S1381" s="18">
        <f t="shared" si="283"/>
        <v>41.010000000000218</v>
      </c>
      <c r="T1381" s="18">
        <f t="shared" si="284"/>
        <v>41.010000000000218</v>
      </c>
      <c r="U1381" s="18">
        <f t="shared" si="292"/>
        <v>72.713199930790509</v>
      </c>
      <c r="V1381" s="33">
        <f ca="1">AVERAGE(E1381:OFFSET(E1381,-V$5+1,0))</f>
        <v>7818.7707142857162</v>
      </c>
      <c r="W1381" s="33">
        <f t="shared" ca="1" si="285"/>
        <v>7927.8405141819021</v>
      </c>
      <c r="X1381" s="33">
        <f t="shared" ca="1" si="286"/>
        <v>7709.7009143895302</v>
      </c>
      <c r="Y1381" s="32">
        <f t="shared" ca="1" si="293"/>
        <v>0</v>
      </c>
    </row>
    <row r="1382" spans="1:25">
      <c r="A1382" s="5">
        <v>40399</v>
      </c>
      <c r="B1382" s="4">
        <v>7974.67</v>
      </c>
      <c r="C1382" s="4">
        <v>8040.94</v>
      </c>
      <c r="D1382" s="4">
        <v>7971.19</v>
      </c>
      <c r="E1382" s="4">
        <v>8034.49</v>
      </c>
      <c r="F1382" s="4">
        <v>4990400</v>
      </c>
      <c r="G1382" s="8">
        <f t="shared" si="295"/>
        <v>11.369999999999891</v>
      </c>
      <c r="H1382" s="8">
        <f t="shared" si="294"/>
        <v>59.819999999999709</v>
      </c>
      <c r="I1382" s="20">
        <f t="shared" ca="1" si="287"/>
        <v>0</v>
      </c>
      <c r="J1382" s="8">
        <f t="shared" ca="1" si="288"/>
        <v>3</v>
      </c>
      <c r="K1382" s="8">
        <f t="shared" ca="1" si="289"/>
        <v>213.5699999999988</v>
      </c>
      <c r="L1382" s="8">
        <f t="shared" ca="1" si="290"/>
        <v>17799.490000000013</v>
      </c>
      <c r="M1382" s="9">
        <f ca="1">AVERAGE(E1382:OFFSET(E1382,-M$5+1,0))</f>
        <v>7886.8949999999995</v>
      </c>
      <c r="N1382" s="9">
        <f ca="1">AVERAGE(E1382:OFFSET(E1382,-N$5+1,0))</f>
        <v>7791.4064999999991</v>
      </c>
      <c r="O1382" s="9">
        <f t="shared" ca="1" si="291"/>
        <v>0</v>
      </c>
      <c r="P1382" s="14">
        <f t="shared" si="296"/>
        <v>0.89000380573469506</v>
      </c>
      <c r="Q1382" s="15">
        <f ca="1">STDEV(P1382:OFFSET(P1382,-$Q$5+1,0))</f>
        <v>0.74345855039032427</v>
      </c>
      <c r="R1382" s="15">
        <f ca="1">STDEV(P1382:OFFSET(P1382,-$R$5+1,0))</f>
        <v>0.85975400747480524</v>
      </c>
      <c r="S1382" s="18">
        <f t="shared" si="283"/>
        <v>69.75</v>
      </c>
      <c r="T1382" s="18">
        <f t="shared" si="284"/>
        <v>77.639999999999418</v>
      </c>
      <c r="U1382" s="18">
        <f t="shared" si="292"/>
        <v>73.370106606685027</v>
      </c>
      <c r="V1382" s="33">
        <f ca="1">AVERAGE(E1382:OFFSET(E1382,-V$5+1,0))</f>
        <v>7841.8035714285725</v>
      </c>
      <c r="W1382" s="33">
        <f t="shared" ca="1" si="285"/>
        <v>7951.8587313385997</v>
      </c>
      <c r="X1382" s="33">
        <f t="shared" ca="1" si="286"/>
        <v>7731.7484115185453</v>
      </c>
      <c r="Y1382" s="32">
        <f t="shared" ca="1" si="293"/>
        <v>0</v>
      </c>
    </row>
    <row r="1383" spans="1:25">
      <c r="A1383" s="5">
        <v>40400</v>
      </c>
      <c r="B1383" s="4">
        <v>8054.29</v>
      </c>
      <c r="C1383" s="4">
        <v>8054.29</v>
      </c>
      <c r="D1383" s="4">
        <v>7975.38</v>
      </c>
      <c r="E1383" s="4">
        <v>7976.74</v>
      </c>
      <c r="F1383" s="4">
        <v>5258800</v>
      </c>
      <c r="G1383" s="8">
        <f t="shared" si="295"/>
        <v>19.800000000000182</v>
      </c>
      <c r="H1383" s="8">
        <f t="shared" si="294"/>
        <v>-77.550000000000182</v>
      </c>
      <c r="I1383" s="20">
        <f t="shared" ca="1" si="287"/>
        <v>0</v>
      </c>
      <c r="J1383" s="8">
        <f t="shared" ca="1" si="288"/>
        <v>3</v>
      </c>
      <c r="K1383" s="8">
        <f t="shared" ca="1" si="289"/>
        <v>-173.25</v>
      </c>
      <c r="L1383" s="8">
        <f t="shared" ca="1" si="290"/>
        <v>17626.240000000013</v>
      </c>
      <c r="M1383" s="9">
        <f ca="1">AVERAGE(E1383:OFFSET(E1383,-M$5+1,0))</f>
        <v>7909.7680000000009</v>
      </c>
      <c r="N1383" s="9">
        <f ca="1">AVERAGE(E1383:OFFSET(E1383,-N$5+1,0))</f>
        <v>7810.3724999999995</v>
      </c>
      <c r="O1383" s="9">
        <f t="shared" ca="1" si="291"/>
        <v>0</v>
      </c>
      <c r="P1383" s="14">
        <f t="shared" si="296"/>
        <v>-0.72137181754753255</v>
      </c>
      <c r="Q1383" s="15">
        <f ca="1">STDEV(P1383:OFFSET(P1383,-$Q$5+1,0))</f>
        <v>0.7721556699971398</v>
      </c>
      <c r="R1383" s="15">
        <f ca="1">STDEV(P1383:OFFSET(P1383,-$R$5+1,0))</f>
        <v>0.85849339360811872</v>
      </c>
      <c r="S1383" s="18">
        <f t="shared" si="283"/>
        <v>78.909999999999854</v>
      </c>
      <c r="T1383" s="18">
        <f t="shared" si="284"/>
        <v>78.909999999999854</v>
      </c>
      <c r="U1383" s="18">
        <f t="shared" si="292"/>
        <v>74.10875905912701</v>
      </c>
      <c r="V1383" s="33">
        <f ca="1">AVERAGE(E1383:OFFSET(E1383,-V$5+1,0))</f>
        <v>7861.4785714285736</v>
      </c>
      <c r="W1383" s="33">
        <f t="shared" ca="1" si="285"/>
        <v>7972.6417100172639</v>
      </c>
      <c r="X1383" s="33">
        <f t="shared" ca="1" si="286"/>
        <v>7750.3154328398832</v>
      </c>
      <c r="Y1383" s="32">
        <f t="shared" ca="1" si="293"/>
        <v>0</v>
      </c>
    </row>
    <row r="1384" spans="1:25">
      <c r="A1384" s="5">
        <v>40401</v>
      </c>
      <c r="B1384" s="4">
        <v>7923.57</v>
      </c>
      <c r="C1384" s="4">
        <v>7956.9</v>
      </c>
      <c r="D1384" s="4">
        <v>7869.52</v>
      </c>
      <c r="E1384" s="4">
        <v>7895.03</v>
      </c>
      <c r="F1384" s="4">
        <v>4870400</v>
      </c>
      <c r="G1384" s="8">
        <f t="shared" si="295"/>
        <v>-53.170000000000073</v>
      </c>
      <c r="H1384" s="8">
        <f t="shared" si="294"/>
        <v>-28.539999999999964</v>
      </c>
      <c r="I1384" s="20">
        <f t="shared" ca="1" si="287"/>
        <v>0</v>
      </c>
      <c r="J1384" s="8">
        <f t="shared" ca="1" si="288"/>
        <v>3</v>
      </c>
      <c r="K1384" s="8">
        <f t="shared" ca="1" si="289"/>
        <v>-245.13000000000011</v>
      </c>
      <c r="L1384" s="8">
        <f t="shared" ca="1" si="290"/>
        <v>17381.110000000011</v>
      </c>
      <c r="M1384" s="9">
        <f ca="1">AVERAGE(E1384:OFFSET(E1384,-M$5+1,0))</f>
        <v>7920.7899999999991</v>
      </c>
      <c r="N1384" s="9">
        <f ca="1">AVERAGE(E1384:OFFSET(E1384,-N$5+1,0))</f>
        <v>7819.3984999999984</v>
      </c>
      <c r="O1384" s="9">
        <f t="shared" ca="1" si="291"/>
        <v>0</v>
      </c>
      <c r="P1384" s="14">
        <f t="shared" si="296"/>
        <v>-1.0296359117175187</v>
      </c>
      <c r="Q1384" s="15">
        <f ca="1">STDEV(P1384:OFFSET(P1384,-$Q$5+1,0))</f>
        <v>0.87244479787855744</v>
      </c>
      <c r="R1384" s="15">
        <f ca="1">STDEV(P1384:OFFSET(P1384,-$R$5+1,0))</f>
        <v>0.87183261340817597</v>
      </c>
      <c r="S1384" s="18">
        <f t="shared" si="283"/>
        <v>87.3799999999992</v>
      </c>
      <c r="T1384" s="18">
        <f t="shared" si="284"/>
        <v>107.21999999999935</v>
      </c>
      <c r="U1384" s="18">
        <f t="shared" si="292"/>
        <v>78.523591184576645</v>
      </c>
      <c r="V1384" s="33">
        <f ca="1">AVERAGE(E1384:OFFSET(E1384,-V$5+1,0))</f>
        <v>7877.8135714285727</v>
      </c>
      <c r="W1384" s="33">
        <f t="shared" ca="1" si="285"/>
        <v>7995.5989582054381</v>
      </c>
      <c r="X1384" s="33">
        <f t="shared" ca="1" si="286"/>
        <v>7760.0281846517073</v>
      </c>
      <c r="Y1384" s="32">
        <f t="shared" ca="1" si="293"/>
        <v>0</v>
      </c>
    </row>
    <row r="1385" spans="1:25">
      <c r="A1385" s="5">
        <v>40402</v>
      </c>
      <c r="B1385" s="4">
        <v>7789.46</v>
      </c>
      <c r="C1385" s="4">
        <v>7837.38</v>
      </c>
      <c r="D1385" s="4">
        <v>7776.66</v>
      </c>
      <c r="E1385" s="4">
        <v>7829.79</v>
      </c>
      <c r="F1385" s="4">
        <v>4390000</v>
      </c>
      <c r="G1385" s="8">
        <f t="shared" si="295"/>
        <v>-105.56999999999971</v>
      </c>
      <c r="H1385" s="8">
        <f t="shared" si="294"/>
        <v>40.329999999999927</v>
      </c>
      <c r="I1385" s="20">
        <f t="shared" ca="1" si="287"/>
        <v>0</v>
      </c>
      <c r="J1385" s="8">
        <f t="shared" ca="1" si="288"/>
        <v>3</v>
      </c>
      <c r="K1385" s="8">
        <f t="shared" ca="1" si="289"/>
        <v>-195.71999999999935</v>
      </c>
      <c r="L1385" s="8">
        <f t="shared" ca="1" si="290"/>
        <v>17185.390000000014</v>
      </c>
      <c r="M1385" s="9">
        <f ca="1">AVERAGE(E1385:OFFSET(E1385,-M$5+1,0))</f>
        <v>7923.87</v>
      </c>
      <c r="N1385" s="9">
        <f ca="1">AVERAGE(E1385:OFFSET(E1385,-N$5+1,0))</f>
        <v>7825.6620000000012</v>
      </c>
      <c r="O1385" s="9">
        <f t="shared" ca="1" si="291"/>
        <v>0</v>
      </c>
      <c r="P1385" s="14">
        <f t="shared" si="296"/>
        <v>-0.82977578540439512</v>
      </c>
      <c r="Q1385" s="15">
        <f ca="1">STDEV(P1385:OFFSET(P1385,-$Q$5+1,0))</f>
        <v>0.92423967816968822</v>
      </c>
      <c r="R1385" s="15">
        <f ca="1">STDEV(P1385:OFFSET(P1385,-$R$5+1,0))</f>
        <v>0.87792236602462093</v>
      </c>
      <c r="S1385" s="18">
        <f t="shared" si="283"/>
        <v>60.720000000000255</v>
      </c>
      <c r="T1385" s="18">
        <f t="shared" si="284"/>
        <v>118.36999999999989</v>
      </c>
      <c r="U1385" s="18">
        <f t="shared" si="292"/>
        <v>83.836445693299751</v>
      </c>
      <c r="V1385" s="33">
        <f ca="1">AVERAGE(E1385:OFFSET(E1385,-V$5+1,0))</f>
        <v>7882.7114285714288</v>
      </c>
      <c r="W1385" s="33">
        <f t="shared" ca="1" si="285"/>
        <v>8008.4660971113781</v>
      </c>
      <c r="X1385" s="33">
        <f t="shared" ca="1" si="286"/>
        <v>7756.9567600314795</v>
      </c>
      <c r="Y1385" s="32">
        <f t="shared" ca="1" si="293"/>
        <v>0</v>
      </c>
    </row>
    <row r="1386" spans="1:25">
      <c r="A1386" s="5">
        <v>40403</v>
      </c>
      <c r="B1386" s="4">
        <v>7845.98</v>
      </c>
      <c r="C1386" s="4">
        <v>7906.35</v>
      </c>
      <c r="D1386" s="4">
        <v>7830.46</v>
      </c>
      <c r="E1386" s="4">
        <v>7891.58</v>
      </c>
      <c r="F1386" s="4">
        <v>4814200</v>
      </c>
      <c r="G1386" s="8">
        <f t="shared" si="295"/>
        <v>16.1899999999996</v>
      </c>
      <c r="H1386" s="8">
        <f t="shared" si="294"/>
        <v>45.600000000000364</v>
      </c>
      <c r="I1386" s="20">
        <f t="shared" ca="1" si="287"/>
        <v>0</v>
      </c>
      <c r="J1386" s="8">
        <f t="shared" ca="1" si="288"/>
        <v>3</v>
      </c>
      <c r="K1386" s="8">
        <f t="shared" ca="1" si="289"/>
        <v>185.36999999999989</v>
      </c>
      <c r="L1386" s="8">
        <f t="shared" ca="1" si="290"/>
        <v>17370.760000000013</v>
      </c>
      <c r="M1386" s="9">
        <f ca="1">AVERAGE(E1386:OFFSET(E1386,-M$5+1,0))</f>
        <v>7936.9649999999992</v>
      </c>
      <c r="N1386" s="9">
        <f ca="1">AVERAGE(E1386:OFFSET(E1386,-N$5+1,0))</f>
        <v>7837.0124999999998</v>
      </c>
      <c r="O1386" s="9">
        <f t="shared" ca="1" si="291"/>
        <v>0</v>
      </c>
      <c r="P1386" s="14">
        <f t="shared" si="296"/>
        <v>0.78606785754750697</v>
      </c>
      <c r="Q1386" s="15">
        <f ca="1">STDEV(P1386:OFFSET(P1386,-$Q$5+1,0))</f>
        <v>0.93084788528878415</v>
      </c>
      <c r="R1386" s="15">
        <f ca="1">STDEV(P1386:OFFSET(P1386,-$R$5+1,0))</f>
        <v>0.88191963160531328</v>
      </c>
      <c r="S1386" s="18">
        <f t="shared" si="283"/>
        <v>75.890000000000327</v>
      </c>
      <c r="T1386" s="18">
        <f t="shared" si="284"/>
        <v>76.5600000000004</v>
      </c>
      <c r="U1386" s="18">
        <f t="shared" si="292"/>
        <v>82.86625293419317</v>
      </c>
      <c r="V1386" s="33">
        <f ca="1">AVERAGE(E1386:OFFSET(E1386,-V$5+1,0))</f>
        <v>7890.1492857142857</v>
      </c>
      <c r="W1386" s="33">
        <f t="shared" ca="1" si="285"/>
        <v>8014.4486651155757</v>
      </c>
      <c r="X1386" s="33">
        <f t="shared" ca="1" si="286"/>
        <v>7765.8499063129957</v>
      </c>
      <c r="Y1386" s="32">
        <f t="shared" ca="1" si="293"/>
        <v>0</v>
      </c>
    </row>
    <row r="1387" spans="1:25">
      <c r="A1387" s="5">
        <v>40406</v>
      </c>
      <c r="B1387" s="4">
        <v>7884.28</v>
      </c>
      <c r="C1387" s="4">
        <v>7941.22</v>
      </c>
      <c r="D1387" s="4">
        <v>7850.13</v>
      </c>
      <c r="E1387" s="4">
        <v>7941.22</v>
      </c>
      <c r="F1387" s="4">
        <v>4424600</v>
      </c>
      <c r="G1387" s="8">
        <f t="shared" si="295"/>
        <v>-7.3000000000001819</v>
      </c>
      <c r="H1387" s="8">
        <f t="shared" si="294"/>
        <v>56.940000000000509</v>
      </c>
      <c r="I1387" s="20">
        <f t="shared" ca="1" si="287"/>
        <v>0</v>
      </c>
      <c r="J1387" s="8">
        <f t="shared" ca="1" si="288"/>
        <v>3</v>
      </c>
      <c r="K1387" s="8">
        <f t="shared" ca="1" si="289"/>
        <v>148.92000000000098</v>
      </c>
      <c r="L1387" s="8">
        <f t="shared" ca="1" si="290"/>
        <v>17519.680000000015</v>
      </c>
      <c r="M1387" s="9">
        <f ca="1">AVERAGE(E1387:OFFSET(E1387,-M$5+1,0))</f>
        <v>7939.9189999999999</v>
      </c>
      <c r="N1387" s="9">
        <f ca="1">AVERAGE(E1387:OFFSET(E1387,-N$5+1,0))</f>
        <v>7851.5820000000022</v>
      </c>
      <c r="O1387" s="9">
        <f t="shared" ca="1" si="291"/>
        <v>0</v>
      </c>
      <c r="P1387" s="14">
        <f t="shared" si="296"/>
        <v>0.6270547553517003</v>
      </c>
      <c r="Q1387" s="15">
        <f ca="1">STDEV(P1387:OFFSET(P1387,-$Q$5+1,0))</f>
        <v>0.72584906642260194</v>
      </c>
      <c r="R1387" s="15">
        <f ca="1">STDEV(P1387:OFFSET(P1387,-$R$5+1,0))</f>
        <v>0.83920153795325669</v>
      </c>
      <c r="S1387" s="18">
        <f t="shared" si="283"/>
        <v>91.090000000000146</v>
      </c>
      <c r="T1387" s="18">
        <f t="shared" si="284"/>
        <v>91.090000000000146</v>
      </c>
      <c r="U1387" s="18">
        <f t="shared" si="292"/>
        <v>83.962752542967436</v>
      </c>
      <c r="V1387" s="33">
        <f ca="1">AVERAGE(E1387:OFFSET(E1387,-V$5+1,0))</f>
        <v>7903.95</v>
      </c>
      <c r="W1387" s="33">
        <f t="shared" ca="1" si="285"/>
        <v>8029.8941288144506</v>
      </c>
      <c r="X1387" s="33">
        <f t="shared" ca="1" si="286"/>
        <v>7778.005871185549</v>
      </c>
      <c r="Y1387" s="32">
        <f t="shared" ca="1" si="293"/>
        <v>0</v>
      </c>
    </row>
    <row r="1388" spans="1:25">
      <c r="A1388" s="5">
        <v>40407</v>
      </c>
      <c r="B1388" s="4">
        <v>7962.7</v>
      </c>
      <c r="C1388" s="4">
        <v>7973.15</v>
      </c>
      <c r="D1388" s="4">
        <v>7931.09</v>
      </c>
      <c r="E1388" s="4">
        <v>7931.09</v>
      </c>
      <c r="F1388" s="4">
        <v>5046000</v>
      </c>
      <c r="G1388" s="8">
        <f t="shared" si="295"/>
        <v>21.479999999999563</v>
      </c>
      <c r="H1388" s="8">
        <f t="shared" si="294"/>
        <v>-31.609999999999673</v>
      </c>
      <c r="I1388" s="20">
        <f t="shared" ca="1" si="287"/>
        <v>0</v>
      </c>
      <c r="J1388" s="8">
        <f t="shared" ca="1" si="288"/>
        <v>3</v>
      </c>
      <c r="K1388" s="8">
        <f t="shared" ca="1" si="289"/>
        <v>-30.390000000000327</v>
      </c>
      <c r="L1388" s="8">
        <f t="shared" ca="1" si="290"/>
        <v>17489.290000000015</v>
      </c>
      <c r="M1388" s="9">
        <f ca="1">AVERAGE(E1388:OFFSET(E1388,-M$5+1,0))</f>
        <v>7937.2749999999996</v>
      </c>
      <c r="N1388" s="9">
        <f ca="1">AVERAGE(E1388:OFFSET(E1388,-N$5+1,0))</f>
        <v>7862.5350000000008</v>
      </c>
      <c r="O1388" s="9">
        <f t="shared" ca="1" si="291"/>
        <v>0</v>
      </c>
      <c r="P1388" s="14">
        <f t="shared" si="296"/>
        <v>-0.1276436936450191</v>
      </c>
      <c r="Q1388" s="15">
        <f ca="1">STDEV(P1388:OFFSET(P1388,-$Q$5+1,0))</f>
        <v>0.70134046112290838</v>
      </c>
      <c r="R1388" s="15">
        <f ca="1">STDEV(P1388:OFFSET(P1388,-$R$5+1,0))</f>
        <v>0.83754454238343945</v>
      </c>
      <c r="S1388" s="18">
        <f t="shared" si="283"/>
        <v>42.059999999999491</v>
      </c>
      <c r="T1388" s="18">
        <f t="shared" si="284"/>
        <v>42.059999999999491</v>
      </c>
      <c r="U1388" s="18">
        <f t="shared" si="292"/>
        <v>78.375718870571717</v>
      </c>
      <c r="V1388" s="33">
        <f ca="1">AVERAGE(E1388:OFFSET(E1388,-V$5+1,0))</f>
        <v>7914.3985714285709</v>
      </c>
      <c r="W1388" s="33">
        <f t="shared" ca="1" si="285"/>
        <v>8031.9621497344287</v>
      </c>
      <c r="X1388" s="33">
        <f t="shared" ca="1" si="286"/>
        <v>7796.8349931227131</v>
      </c>
      <c r="Y1388" s="32">
        <f t="shared" ca="1" si="293"/>
        <v>0</v>
      </c>
    </row>
    <row r="1389" spans="1:25">
      <c r="A1389" s="5">
        <v>40408</v>
      </c>
      <c r="B1389" s="4">
        <v>7978.52</v>
      </c>
      <c r="C1389" s="4">
        <v>7984.57</v>
      </c>
      <c r="D1389" s="4">
        <v>7897.18</v>
      </c>
      <c r="E1389" s="4">
        <v>7924.1</v>
      </c>
      <c r="F1389" s="4">
        <v>5324400</v>
      </c>
      <c r="G1389" s="8">
        <f t="shared" si="295"/>
        <v>47.430000000000291</v>
      </c>
      <c r="H1389" s="8">
        <f t="shared" si="294"/>
        <v>-54.420000000000073</v>
      </c>
      <c r="I1389" s="20">
        <f t="shared" ca="1" si="287"/>
        <v>0</v>
      </c>
      <c r="J1389" s="8">
        <f t="shared" ca="1" si="288"/>
        <v>3</v>
      </c>
      <c r="K1389" s="8">
        <f t="shared" ca="1" si="289"/>
        <v>-20.969999999999345</v>
      </c>
      <c r="L1389" s="8">
        <f t="shared" ca="1" si="290"/>
        <v>17468.320000000014</v>
      </c>
      <c r="M1389" s="9">
        <f ca="1">AVERAGE(E1389:OFFSET(E1389,-M$5+1,0))</f>
        <v>7932.4189999999999</v>
      </c>
      <c r="N1389" s="9">
        <f ca="1">AVERAGE(E1389:OFFSET(E1389,-N$5+1,0))</f>
        <v>7873.6755000000003</v>
      </c>
      <c r="O1389" s="9">
        <f t="shared" ca="1" si="291"/>
        <v>0</v>
      </c>
      <c r="P1389" s="14">
        <f t="shared" si="296"/>
        <v>-8.8173026660204615E-2</v>
      </c>
      <c r="Q1389" s="15">
        <f ca="1">STDEV(P1389:OFFSET(P1389,-$Q$5+1,0))</f>
        <v>0.69700545716945239</v>
      </c>
      <c r="R1389" s="15">
        <f ca="1">STDEV(P1389:OFFSET(P1389,-$R$5+1,0))</f>
        <v>0.83416351790196208</v>
      </c>
      <c r="S1389" s="18">
        <f t="shared" si="283"/>
        <v>87.389999999999418</v>
      </c>
      <c r="T1389" s="18">
        <f t="shared" si="284"/>
        <v>87.389999999999418</v>
      </c>
      <c r="U1389" s="18">
        <f t="shared" si="292"/>
        <v>79.577623021162083</v>
      </c>
      <c r="V1389" s="33">
        <f ca="1">AVERAGE(E1389:OFFSET(E1389,-V$5+1,0))</f>
        <v>7923.335</v>
      </c>
      <c r="W1389" s="33">
        <f t="shared" ca="1" si="285"/>
        <v>8042.701434531743</v>
      </c>
      <c r="X1389" s="33">
        <f t="shared" ca="1" si="286"/>
        <v>7803.9685654682571</v>
      </c>
      <c r="Y1389" s="32">
        <f t="shared" ca="1" si="293"/>
        <v>0</v>
      </c>
    </row>
    <row r="1390" spans="1:25">
      <c r="A1390" s="5">
        <v>40409</v>
      </c>
      <c r="B1390" s="4">
        <v>7925.48</v>
      </c>
      <c r="C1390" s="4">
        <v>7948.73</v>
      </c>
      <c r="D1390" s="4">
        <v>7886.73</v>
      </c>
      <c r="E1390" s="4">
        <v>7928.94</v>
      </c>
      <c r="F1390" s="4">
        <v>4969400</v>
      </c>
      <c r="G1390" s="8">
        <f t="shared" si="295"/>
        <v>1.3799999999991996</v>
      </c>
      <c r="H1390" s="8">
        <f t="shared" si="294"/>
        <v>3.4600000000000364</v>
      </c>
      <c r="I1390" s="20">
        <f t="shared" ca="1" si="287"/>
        <v>0</v>
      </c>
      <c r="J1390" s="8">
        <f t="shared" ca="1" si="288"/>
        <v>3</v>
      </c>
      <c r="K1390" s="8">
        <f t="shared" ca="1" si="289"/>
        <v>14.519999999997708</v>
      </c>
      <c r="L1390" s="8">
        <f t="shared" ca="1" si="290"/>
        <v>17482.840000000011</v>
      </c>
      <c r="M1390" s="9">
        <f ca="1">AVERAGE(E1390:OFFSET(E1390,-M$5+1,0))</f>
        <v>7931.6280000000015</v>
      </c>
      <c r="N1390" s="9">
        <f ca="1">AVERAGE(E1390:OFFSET(E1390,-N$5+1,0))</f>
        <v>7886.8055000000004</v>
      </c>
      <c r="O1390" s="9">
        <f t="shared" ca="1" si="291"/>
        <v>0</v>
      </c>
      <c r="P1390" s="14">
        <f t="shared" si="296"/>
        <v>6.1060845747940129E-2</v>
      </c>
      <c r="Q1390" s="15">
        <f ca="1">STDEV(P1390:OFFSET(P1390,-$Q$5+1,0))</f>
        <v>0.68392285967425093</v>
      </c>
      <c r="R1390" s="15">
        <f ca="1">STDEV(P1390:OFFSET(P1390,-$R$5+1,0))</f>
        <v>0.83419905846479514</v>
      </c>
      <c r="S1390" s="18">
        <f t="shared" si="283"/>
        <v>62</v>
      </c>
      <c r="T1390" s="18">
        <f t="shared" si="284"/>
        <v>62</v>
      </c>
      <c r="U1390" s="18">
        <f t="shared" si="292"/>
        <v>77.233939951673804</v>
      </c>
      <c r="V1390" s="33">
        <f ca="1">AVERAGE(E1390:OFFSET(E1390,-V$5+1,0))</f>
        <v>7935.3571428571431</v>
      </c>
      <c r="W1390" s="33">
        <f t="shared" ca="1" si="285"/>
        <v>8051.2080527846538</v>
      </c>
      <c r="X1390" s="33">
        <f t="shared" ca="1" si="286"/>
        <v>7819.5062329296325</v>
      </c>
      <c r="Y1390" s="32">
        <f t="shared" ca="1" si="293"/>
        <v>0</v>
      </c>
    </row>
    <row r="1391" spans="1:25">
      <c r="A1391" s="5">
        <v>40410</v>
      </c>
      <c r="B1391" s="4">
        <v>7915.16</v>
      </c>
      <c r="C1391" s="4">
        <v>7941.61</v>
      </c>
      <c r="D1391" s="4">
        <v>7905.01</v>
      </c>
      <c r="E1391" s="4">
        <v>7927.31</v>
      </c>
      <c r="F1391" s="4">
        <v>4005400</v>
      </c>
      <c r="G1391" s="8">
        <f t="shared" si="295"/>
        <v>-13.779999999999745</v>
      </c>
      <c r="H1391" s="8">
        <f t="shared" si="294"/>
        <v>12.150000000000546</v>
      </c>
      <c r="I1391" s="20">
        <f t="shared" ca="1" si="287"/>
        <v>0</v>
      </c>
      <c r="J1391" s="8">
        <f t="shared" ca="1" si="288"/>
        <v>3</v>
      </c>
      <c r="K1391" s="8">
        <f t="shared" ca="1" si="289"/>
        <v>-4.8899999999975989</v>
      </c>
      <c r="L1391" s="8">
        <f t="shared" ca="1" si="290"/>
        <v>17477.950000000012</v>
      </c>
      <c r="M1391" s="9">
        <f ca="1">AVERAGE(E1391:OFFSET(E1391,-M$5+1,0))</f>
        <v>7928.0289999999995</v>
      </c>
      <c r="N1391" s="9">
        <f ca="1">AVERAGE(E1391:OFFSET(E1391,-N$5+1,0))</f>
        <v>7895.1100000000006</v>
      </c>
      <c r="O1391" s="9">
        <f t="shared" ca="1" si="291"/>
        <v>0</v>
      </c>
      <c r="P1391" s="14">
        <f t="shared" si="296"/>
        <v>-2.0559716272652132E-2</v>
      </c>
      <c r="Q1391" s="15">
        <f ca="1">STDEV(P1391:OFFSET(P1391,-$Q$5+1,0))</f>
        <v>0.67329723331149671</v>
      </c>
      <c r="R1391" s="15">
        <f ca="1">STDEV(P1391:OFFSET(P1391,-$R$5+1,0))</f>
        <v>0.79121984724556826</v>
      </c>
      <c r="S1391" s="18">
        <f t="shared" si="283"/>
        <v>36.599999999999454</v>
      </c>
      <c r="T1391" s="18">
        <f t="shared" si="284"/>
        <v>36.599999999999454</v>
      </c>
      <c r="U1391" s="18">
        <f t="shared" si="292"/>
        <v>71.816081291450558</v>
      </c>
      <c r="V1391" s="33">
        <f ca="1">AVERAGE(E1391:OFFSET(E1391,-V$5+1,0))</f>
        <v>7936.4735714285716</v>
      </c>
      <c r="W1391" s="33">
        <f t="shared" ca="1" si="285"/>
        <v>8044.1976933657479</v>
      </c>
      <c r="X1391" s="33">
        <f t="shared" ca="1" si="286"/>
        <v>7828.7494494913954</v>
      </c>
      <c r="Y1391" s="32">
        <f t="shared" ca="1" si="293"/>
        <v>0</v>
      </c>
    </row>
    <row r="1392" spans="1:25">
      <c r="A1392" s="5">
        <v>40413</v>
      </c>
      <c r="B1392" s="4">
        <v>7938.21</v>
      </c>
      <c r="C1392" s="4">
        <v>8013.12</v>
      </c>
      <c r="D1392" s="4">
        <v>7924.1</v>
      </c>
      <c r="E1392" s="4">
        <v>7975.93</v>
      </c>
      <c r="F1392" s="4">
        <v>4635000</v>
      </c>
      <c r="G1392" s="8">
        <f t="shared" si="295"/>
        <v>10.899999999999636</v>
      </c>
      <c r="H1392" s="8">
        <f t="shared" si="294"/>
        <v>37.720000000000255</v>
      </c>
      <c r="I1392" s="20">
        <f t="shared" ca="1" si="287"/>
        <v>0</v>
      </c>
      <c r="J1392" s="8">
        <f t="shared" ca="1" si="288"/>
        <v>3</v>
      </c>
      <c r="K1392" s="8">
        <f t="shared" ca="1" si="289"/>
        <v>145.85999999999967</v>
      </c>
      <c r="L1392" s="8">
        <f t="shared" ca="1" si="290"/>
        <v>17623.810000000012</v>
      </c>
      <c r="M1392" s="9">
        <f ca="1">AVERAGE(E1392:OFFSET(E1392,-M$5+1,0))</f>
        <v>7922.1730000000007</v>
      </c>
      <c r="N1392" s="9">
        <f ca="1">AVERAGE(E1392:OFFSET(E1392,-N$5+1,0))</f>
        <v>7904.5339999999997</v>
      </c>
      <c r="O1392" s="9">
        <f t="shared" ca="1" si="291"/>
        <v>0</v>
      </c>
      <c r="P1392" s="14">
        <f t="shared" si="296"/>
        <v>0.61144963516657413</v>
      </c>
      <c r="Q1392" s="15">
        <f ca="1">STDEV(P1392:OFFSET(P1392,-$Q$5+1,0))</f>
        <v>0.63497433305758155</v>
      </c>
      <c r="R1392" s="15">
        <f ca="1">STDEV(P1392:OFFSET(P1392,-$R$5+1,0))</f>
        <v>0.79402576670689218</v>
      </c>
      <c r="S1392" s="18">
        <f t="shared" si="283"/>
        <v>89.019999999999527</v>
      </c>
      <c r="T1392" s="18">
        <f t="shared" si="284"/>
        <v>89.019999999999527</v>
      </c>
      <c r="U1392" s="18">
        <f t="shared" si="292"/>
        <v>74.109937119257083</v>
      </c>
      <c r="V1392" s="33">
        <f ca="1">AVERAGE(E1392:OFFSET(E1392,-V$5+1,0))</f>
        <v>7937.7878571428573</v>
      </c>
      <c r="W1392" s="33">
        <f t="shared" ca="1" si="285"/>
        <v>8048.9527628217429</v>
      </c>
      <c r="X1392" s="33">
        <f t="shared" ca="1" si="286"/>
        <v>7826.6229514639717</v>
      </c>
      <c r="Y1392" s="32">
        <f t="shared" ca="1" si="293"/>
        <v>0</v>
      </c>
    </row>
    <row r="1393" spans="1:25">
      <c r="A1393" s="5">
        <v>40414</v>
      </c>
      <c r="B1393" s="4">
        <v>7983.62</v>
      </c>
      <c r="C1393" s="4">
        <v>7990.49</v>
      </c>
      <c r="D1393" s="4">
        <v>7940.64</v>
      </c>
      <c r="E1393" s="4">
        <v>7940.64</v>
      </c>
      <c r="F1393" s="4">
        <v>4714600</v>
      </c>
      <c r="G1393" s="8">
        <f t="shared" si="295"/>
        <v>7.6899999999995998</v>
      </c>
      <c r="H1393" s="8">
        <f t="shared" si="294"/>
        <v>-42.979999999999563</v>
      </c>
      <c r="I1393" s="20">
        <f t="shared" ca="1" si="287"/>
        <v>0</v>
      </c>
      <c r="J1393" s="8">
        <f t="shared" ca="1" si="288"/>
        <v>3</v>
      </c>
      <c r="K1393" s="8">
        <f t="shared" ca="1" si="289"/>
        <v>-105.86999999999989</v>
      </c>
      <c r="L1393" s="8">
        <f t="shared" ca="1" si="290"/>
        <v>17517.940000000013</v>
      </c>
      <c r="M1393" s="9">
        <f ca="1">AVERAGE(E1393:OFFSET(E1393,-M$5+1,0))</f>
        <v>7918.5630000000001</v>
      </c>
      <c r="N1393" s="9">
        <f ca="1">AVERAGE(E1393:OFFSET(E1393,-N$5+1,0))</f>
        <v>7914.1655000000001</v>
      </c>
      <c r="O1393" s="9">
        <f t="shared" ca="1" si="291"/>
        <v>0</v>
      </c>
      <c r="P1393" s="14">
        <f t="shared" si="296"/>
        <v>-0.44343797473595564</v>
      </c>
      <c r="Q1393" s="15">
        <f ca="1">STDEV(P1393:OFFSET(P1393,-$Q$5+1,0))</f>
        <v>0.60900009697925317</v>
      </c>
      <c r="R1393" s="15">
        <f ca="1">STDEV(P1393:OFFSET(P1393,-$R$5+1,0))</f>
        <v>0.77664647527514552</v>
      </c>
      <c r="S1393" s="18">
        <f t="shared" si="283"/>
        <v>49.849999999999454</v>
      </c>
      <c r="T1393" s="18">
        <f t="shared" si="284"/>
        <v>49.849999999999454</v>
      </c>
      <c r="U1393" s="18">
        <f t="shared" si="292"/>
        <v>70.875278836689404</v>
      </c>
      <c r="V1393" s="33">
        <f ca="1">AVERAGE(E1393:OFFSET(E1393,-V$5+1,0))</f>
        <v>7935.5007142857139</v>
      </c>
      <c r="W1393" s="33">
        <f t="shared" ca="1" si="285"/>
        <v>8041.8136325407477</v>
      </c>
      <c r="X1393" s="33">
        <f t="shared" ca="1" si="286"/>
        <v>7829.1877960306801</v>
      </c>
      <c r="Y1393" s="32">
        <f t="shared" ca="1" si="293"/>
        <v>0</v>
      </c>
    </row>
    <row r="1394" spans="1:25">
      <c r="A1394" s="5">
        <v>40415</v>
      </c>
      <c r="B1394" s="4">
        <v>7889.57</v>
      </c>
      <c r="C1394" s="4">
        <v>7889.57</v>
      </c>
      <c r="D1394" s="4">
        <v>7736.98</v>
      </c>
      <c r="E1394" s="4">
        <v>7736.98</v>
      </c>
      <c r="F1394" s="4">
        <v>5725600</v>
      </c>
      <c r="G1394" s="8">
        <f t="shared" si="295"/>
        <v>-51.070000000000618</v>
      </c>
      <c r="H1394" s="8">
        <f t="shared" si="294"/>
        <v>-152.59000000000015</v>
      </c>
      <c r="I1394" s="20">
        <f t="shared" ca="1" si="287"/>
        <v>-1</v>
      </c>
      <c r="J1394" s="8">
        <f t="shared" ca="1" si="288"/>
        <v>3</v>
      </c>
      <c r="K1394" s="8">
        <f t="shared" ca="1" si="289"/>
        <v>-610.98000000000229</v>
      </c>
      <c r="L1394" s="8">
        <f t="shared" ca="1" si="290"/>
        <v>16906.96000000001</v>
      </c>
      <c r="M1394" s="9">
        <f ca="1">AVERAGE(E1394:OFFSET(E1394,-M$5+1,0))</f>
        <v>7902.7579999999998</v>
      </c>
      <c r="N1394" s="9">
        <f ca="1">AVERAGE(E1394:OFFSET(E1394,-N$5+1,0))</f>
        <v>7911.7740000000003</v>
      </c>
      <c r="O1394" s="9">
        <f t="shared" ca="1" si="291"/>
        <v>-1</v>
      </c>
      <c r="P1394" s="14">
        <f t="shared" si="296"/>
        <v>-2.5982445961961087</v>
      </c>
      <c r="Q1394" s="15">
        <f ca="1">STDEV(P1394:OFFSET(P1394,-$Q$5+1,0))</f>
        <v>0.97981288605741346</v>
      </c>
      <c r="R1394" s="15">
        <f ca="1">STDEV(P1394:OFFSET(P1394,-$R$5+1,0))</f>
        <v>0.86298813246643336</v>
      </c>
      <c r="S1394" s="18">
        <f t="shared" si="283"/>
        <v>152.59000000000015</v>
      </c>
      <c r="T1394" s="18">
        <f t="shared" si="284"/>
        <v>203.66000000000076</v>
      </c>
      <c r="U1394" s="18">
        <f t="shared" si="292"/>
        <v>88.579908325130916</v>
      </c>
      <c r="V1394" s="33">
        <f ca="1">AVERAGE(E1394:OFFSET(E1394,-V$5+1,0))</f>
        <v>7921.2242857142865</v>
      </c>
      <c r="W1394" s="33">
        <f t="shared" ca="1" si="285"/>
        <v>8054.0941482019825</v>
      </c>
      <c r="X1394" s="33">
        <f t="shared" ca="1" si="286"/>
        <v>7788.3544232265904</v>
      </c>
      <c r="Y1394" s="32">
        <f t="shared" ca="1" si="293"/>
        <v>-1</v>
      </c>
    </row>
    <row r="1395" spans="1:25">
      <c r="A1395" s="5">
        <v>40416</v>
      </c>
      <c r="B1395" s="4">
        <v>7743.32</v>
      </c>
      <c r="C1395" s="4">
        <v>7758.14</v>
      </c>
      <c r="D1395" s="4">
        <v>7666.51</v>
      </c>
      <c r="E1395" s="4">
        <v>7689.74</v>
      </c>
      <c r="F1395" s="4">
        <v>4425200</v>
      </c>
      <c r="G1395" s="8">
        <f t="shared" si="295"/>
        <v>6.3400000000001455</v>
      </c>
      <c r="H1395" s="8">
        <f t="shared" si="294"/>
        <v>-53.579999999999927</v>
      </c>
      <c r="I1395" s="20">
        <f t="shared" ca="1" si="287"/>
        <v>0</v>
      </c>
      <c r="J1395" s="8">
        <f t="shared" ca="1" si="288"/>
        <v>2</v>
      </c>
      <c r="K1395" s="8">
        <f t="shared" ca="1" si="289"/>
        <v>-88.139999999999418</v>
      </c>
      <c r="L1395" s="8">
        <f t="shared" ca="1" si="290"/>
        <v>16818.820000000011</v>
      </c>
      <c r="M1395" s="9">
        <f ca="1">AVERAGE(E1395:OFFSET(E1395,-M$5+1,0))</f>
        <v>7888.7529999999997</v>
      </c>
      <c r="N1395" s="9">
        <f ca="1">AVERAGE(E1395:OFFSET(E1395,-N$5+1,0))</f>
        <v>7906.3115000000007</v>
      </c>
      <c r="O1395" s="9">
        <f t="shared" ca="1" si="291"/>
        <v>0</v>
      </c>
      <c r="P1395" s="14">
        <f t="shared" si="296"/>
        <v>-0.61244577797835476</v>
      </c>
      <c r="Q1395" s="15">
        <f ca="1">STDEV(P1395:OFFSET(P1395,-$Q$5+1,0))</f>
        <v>0.96666870062551358</v>
      </c>
      <c r="R1395" s="15">
        <f ca="1">STDEV(P1395:OFFSET(P1395,-$R$5+1,0))</f>
        <v>0.85087251664567121</v>
      </c>
      <c r="S1395" s="18">
        <f t="shared" si="283"/>
        <v>91.630000000000109</v>
      </c>
      <c r="T1395" s="18">
        <f t="shared" si="284"/>
        <v>91.630000000000109</v>
      </c>
      <c r="U1395" s="18">
        <f t="shared" si="292"/>
        <v>88.986587215113474</v>
      </c>
      <c r="V1395" s="33">
        <f ca="1">AVERAGE(E1395:OFFSET(E1395,-V$5+1,0))</f>
        <v>7901.6842857142856</v>
      </c>
      <c r="W1395" s="33">
        <f t="shared" ca="1" si="285"/>
        <v>8035.1641665369561</v>
      </c>
      <c r="X1395" s="33">
        <f t="shared" ca="1" si="286"/>
        <v>7768.204404891615</v>
      </c>
      <c r="Y1395" s="32">
        <f t="shared" ca="1" si="293"/>
        <v>0</v>
      </c>
    </row>
    <row r="1396" spans="1:25">
      <c r="A1396" s="5">
        <v>40417</v>
      </c>
      <c r="B1396" s="4">
        <v>7702.59</v>
      </c>
      <c r="C1396" s="4">
        <v>7722.91</v>
      </c>
      <c r="D1396" s="4">
        <v>7662.23</v>
      </c>
      <c r="E1396" s="4">
        <v>7722.91</v>
      </c>
      <c r="F1396" s="4">
        <v>3458600</v>
      </c>
      <c r="G1396" s="8">
        <f t="shared" si="295"/>
        <v>12.850000000000364</v>
      </c>
      <c r="H1396" s="8">
        <f t="shared" si="294"/>
        <v>20.319999999999709</v>
      </c>
      <c r="I1396" s="20">
        <f t="shared" ca="1" si="287"/>
        <v>0</v>
      </c>
      <c r="J1396" s="8">
        <f t="shared" ca="1" si="288"/>
        <v>2</v>
      </c>
      <c r="K1396" s="8">
        <f t="shared" ca="1" si="289"/>
        <v>66.340000000000146</v>
      </c>
      <c r="L1396" s="8">
        <f t="shared" ca="1" si="290"/>
        <v>16885.160000000011</v>
      </c>
      <c r="M1396" s="9">
        <f ca="1">AVERAGE(E1396:OFFSET(E1396,-M$5+1,0))</f>
        <v>7871.8860000000013</v>
      </c>
      <c r="N1396" s="9">
        <f ca="1">AVERAGE(E1396:OFFSET(E1396,-N$5+1,0))</f>
        <v>7904.4255000000003</v>
      </c>
      <c r="O1396" s="9">
        <f t="shared" ca="1" si="291"/>
        <v>0</v>
      </c>
      <c r="P1396" s="14">
        <f t="shared" si="296"/>
        <v>0.43042632137654974</v>
      </c>
      <c r="Q1396" s="15">
        <f ca="1">STDEV(P1396:OFFSET(P1396,-$Q$5+1,0))</f>
        <v>0.93311747348795282</v>
      </c>
      <c r="R1396" s="15">
        <f ca="1">STDEV(P1396:OFFSET(P1396,-$R$5+1,0))</f>
        <v>0.83951211643061896</v>
      </c>
      <c r="S1396" s="18">
        <f t="shared" si="283"/>
        <v>60.680000000000291</v>
      </c>
      <c r="T1396" s="18">
        <f t="shared" si="284"/>
        <v>60.680000000000291</v>
      </c>
      <c r="U1396" s="18">
        <f t="shared" si="292"/>
        <v>85.212375586431719</v>
      </c>
      <c r="V1396" s="33">
        <f ca="1">AVERAGE(E1396:OFFSET(E1396,-V$5+1,0))</f>
        <v>7879.4285714285725</v>
      </c>
      <c r="W1396" s="33">
        <f t="shared" ca="1" si="285"/>
        <v>8007.2471348082199</v>
      </c>
      <c r="X1396" s="33">
        <f t="shared" ca="1" si="286"/>
        <v>7751.610008048925</v>
      </c>
      <c r="Y1396" s="32">
        <f t="shared" ca="1" si="293"/>
        <v>0</v>
      </c>
    </row>
    <row r="1397" spans="1:25">
      <c r="A1397" s="5">
        <v>40420</v>
      </c>
      <c r="B1397" s="4">
        <v>7797.26</v>
      </c>
      <c r="C1397" s="4">
        <v>7806.91</v>
      </c>
      <c r="D1397" s="4">
        <v>7737.28</v>
      </c>
      <c r="E1397" s="4">
        <v>7741.2</v>
      </c>
      <c r="F1397" s="4">
        <v>3380800</v>
      </c>
      <c r="G1397" s="8">
        <f t="shared" si="295"/>
        <v>74.350000000000364</v>
      </c>
      <c r="H1397" s="8">
        <f t="shared" si="294"/>
        <v>-56.0600000000004</v>
      </c>
      <c r="I1397" s="20">
        <f t="shared" ca="1" si="287"/>
        <v>0</v>
      </c>
      <c r="J1397" s="8">
        <f t="shared" ca="1" si="288"/>
        <v>2</v>
      </c>
      <c r="K1397" s="8">
        <f t="shared" ca="1" si="289"/>
        <v>36.579999999999927</v>
      </c>
      <c r="L1397" s="8">
        <f t="shared" ca="1" si="290"/>
        <v>16921.740000000013</v>
      </c>
      <c r="M1397" s="9">
        <f ca="1">AVERAGE(E1397:OFFSET(E1397,-M$5+1,0))</f>
        <v>7851.884</v>
      </c>
      <c r="N1397" s="9">
        <f ca="1">AVERAGE(E1397:OFFSET(E1397,-N$5+1,0))</f>
        <v>7895.9014999999999</v>
      </c>
      <c r="O1397" s="9">
        <f t="shared" ca="1" si="291"/>
        <v>0</v>
      </c>
      <c r="P1397" s="14">
        <f t="shared" si="296"/>
        <v>0.23654783273599889</v>
      </c>
      <c r="Q1397" s="15">
        <f ca="1">STDEV(P1397:OFFSET(P1397,-$Q$5+1,0))</f>
        <v>0.90155067306178427</v>
      </c>
      <c r="R1397" s="15">
        <f ca="1">STDEV(P1397:OFFSET(P1397,-$R$5+1,0))</f>
        <v>0.81083036711313439</v>
      </c>
      <c r="S1397" s="18">
        <f t="shared" ref="S1397:S1460" si="297">C1397-D1397</f>
        <v>69.630000000000109</v>
      </c>
      <c r="T1397" s="18">
        <f t="shared" ref="T1397:T1460" si="298">MAX(C1397,E1396)-MIN(D1397,E1396)</f>
        <v>84</v>
      </c>
      <c r="U1397" s="18">
        <f t="shared" si="292"/>
        <v>85.050725508240831</v>
      </c>
      <c r="V1397" s="33">
        <f ca="1">AVERAGE(E1397:OFFSET(E1397,-V$5+1,0))</f>
        <v>7862.6042857142866</v>
      </c>
      <c r="W1397" s="33">
        <f t="shared" ref="W1397:W1460" ca="1" si="299">V1397+W$5*U1397</f>
        <v>7990.1803739766474</v>
      </c>
      <c r="X1397" s="33">
        <f t="shared" ref="X1397:X1460" ca="1" si="300">V1397-W$5*U1397</f>
        <v>7735.0281974519257</v>
      </c>
      <c r="Y1397" s="32">
        <f t="shared" ca="1" si="293"/>
        <v>0</v>
      </c>
    </row>
    <row r="1398" spans="1:25">
      <c r="A1398" s="5">
        <v>40421</v>
      </c>
      <c r="B1398" s="4">
        <v>7669.31</v>
      </c>
      <c r="C1398" s="4">
        <v>7687.47</v>
      </c>
      <c r="D1398" s="4">
        <v>7577.1</v>
      </c>
      <c r="E1398" s="4">
        <v>7616.28</v>
      </c>
      <c r="F1398" s="4">
        <v>4190400</v>
      </c>
      <c r="G1398" s="8">
        <f t="shared" si="295"/>
        <v>-71.889999999999418</v>
      </c>
      <c r="H1398" s="8">
        <f t="shared" si="294"/>
        <v>-53.030000000000655</v>
      </c>
      <c r="I1398" s="20">
        <f t="shared" ref="I1398:I1461" ca="1" si="301">Y1398</f>
        <v>-1</v>
      </c>
      <c r="J1398" s="8">
        <f t="shared" ref="J1398:J1461" ca="1" si="302">IF((J1397+I1397)&gt;=J$5,J$5,IF((J1397+I1397)&lt;=J$7,J$7,J1397+I1397))</f>
        <v>2</v>
      </c>
      <c r="K1398" s="8">
        <f t="shared" ref="K1398:K1461" ca="1" si="303">J1397*G1398+J1398*H1398</f>
        <v>-249.84000000000015</v>
      </c>
      <c r="L1398" s="8">
        <f t="shared" ref="L1398:L1461" ca="1" si="304">L1397+K1398</f>
        <v>16671.900000000012</v>
      </c>
      <c r="M1398" s="9">
        <f ca="1">AVERAGE(E1398:OFFSET(E1398,-M$5+1,0))</f>
        <v>7820.4030000000002</v>
      </c>
      <c r="N1398" s="9">
        <f ca="1">AVERAGE(E1398:OFFSET(E1398,-N$5+1,0))</f>
        <v>7878.8389999999999</v>
      </c>
      <c r="O1398" s="9">
        <f t="shared" ref="O1398:O1461" ca="1" si="305">IF(AND(M1397&lt;=N1397,M1398&gt;N1398),1,IF(AND(M1397&gt;=N1397,M1398&lt;N1398),-1,0))</f>
        <v>0</v>
      </c>
      <c r="P1398" s="14">
        <f t="shared" si="296"/>
        <v>-1.6268652824917951</v>
      </c>
      <c r="Q1398" s="15">
        <f ca="1">STDEV(P1398:OFFSET(P1398,-$Q$5+1,0))</f>
        <v>0.99754503356188406</v>
      </c>
      <c r="R1398" s="15">
        <f ca="1">STDEV(P1398:OFFSET(P1398,-$R$5+1,0))</f>
        <v>0.82530522116765737</v>
      </c>
      <c r="S1398" s="18">
        <f t="shared" si="297"/>
        <v>110.36999999999989</v>
      </c>
      <c r="T1398" s="18">
        <f t="shared" si="298"/>
        <v>164.09999999999945</v>
      </c>
      <c r="U1398" s="18">
        <f t="shared" ref="U1398:U1461" si="306">$U$5*T1398+(1-$U$5)*U1397</f>
        <v>95.590628773808646</v>
      </c>
      <c r="V1398" s="33">
        <f ca="1">AVERAGE(E1398:OFFSET(E1398,-V$5+1,0))</f>
        <v>7842.6935714285719</v>
      </c>
      <c r="W1398" s="33">
        <f t="shared" ca="1" si="299"/>
        <v>7986.0795145892853</v>
      </c>
      <c r="X1398" s="33">
        <f t="shared" ca="1" si="300"/>
        <v>7699.3076282678585</v>
      </c>
      <c r="Y1398" s="32">
        <f t="shared" ref="Y1398:Y1461" ca="1" si="307">IF(AND(E1397&gt;X1397,E1398&lt;X1398),-1,IF(AND(E1397&lt;W1397,E1398&gt;W1398),1,0))</f>
        <v>-1</v>
      </c>
    </row>
    <row r="1399" spans="1:25">
      <c r="A1399" s="5">
        <v>40422</v>
      </c>
      <c r="B1399" s="4">
        <v>7643.61</v>
      </c>
      <c r="C1399" s="4">
        <v>7679.43</v>
      </c>
      <c r="D1399" s="4">
        <v>7625.72</v>
      </c>
      <c r="E1399" s="4">
        <v>7668.25</v>
      </c>
      <c r="F1399" s="4">
        <v>3612200</v>
      </c>
      <c r="G1399" s="8">
        <f t="shared" si="295"/>
        <v>27.329999999999927</v>
      </c>
      <c r="H1399" s="8">
        <f t="shared" si="294"/>
        <v>24.640000000000327</v>
      </c>
      <c r="I1399" s="20">
        <f t="shared" ca="1" si="301"/>
        <v>0</v>
      </c>
      <c r="J1399" s="8">
        <f t="shared" ca="1" si="302"/>
        <v>1</v>
      </c>
      <c r="K1399" s="8">
        <f t="shared" ca="1" si="303"/>
        <v>79.300000000000182</v>
      </c>
      <c r="L1399" s="8">
        <f t="shared" ca="1" si="304"/>
        <v>16751.200000000012</v>
      </c>
      <c r="M1399" s="9">
        <f ca="1">AVERAGE(E1399:OFFSET(E1399,-M$5+1,0))</f>
        <v>7794.8179999999993</v>
      </c>
      <c r="N1399" s="9">
        <f ca="1">AVERAGE(E1399:OFFSET(E1399,-N$5+1,0))</f>
        <v>7863.6184999999996</v>
      </c>
      <c r="O1399" s="9">
        <f t="shared" ca="1" si="305"/>
        <v>0</v>
      </c>
      <c r="P1399" s="14">
        <f t="shared" si="296"/>
        <v>0.68003661583505537</v>
      </c>
      <c r="Q1399" s="15">
        <f ca="1">STDEV(P1399:OFFSET(P1399,-$Q$5+1,0))</f>
        <v>1.0527114466058147</v>
      </c>
      <c r="R1399" s="15">
        <f ca="1">STDEV(P1399:OFFSET(P1399,-$R$5+1,0))</f>
        <v>0.83103961142339355</v>
      </c>
      <c r="S1399" s="18">
        <f t="shared" si="297"/>
        <v>53.710000000000036</v>
      </c>
      <c r="T1399" s="18">
        <f t="shared" si="298"/>
        <v>63.150000000000546</v>
      </c>
      <c r="U1399" s="18">
        <f t="shared" si="306"/>
        <v>91.265211603967572</v>
      </c>
      <c r="V1399" s="33">
        <f ca="1">AVERAGE(E1399:OFFSET(E1399,-V$5+1,0))</f>
        <v>7831.1549999999997</v>
      </c>
      <c r="W1399" s="33">
        <f t="shared" ca="1" si="299"/>
        <v>7968.0528174059509</v>
      </c>
      <c r="X1399" s="33">
        <f t="shared" ca="1" si="300"/>
        <v>7694.2571825940486</v>
      </c>
      <c r="Y1399" s="32">
        <f t="shared" ca="1" si="307"/>
        <v>0</v>
      </c>
    </row>
    <row r="1400" spans="1:25">
      <c r="A1400" s="5">
        <v>40423</v>
      </c>
      <c r="B1400" s="4">
        <v>7764.8</v>
      </c>
      <c r="C1400" s="4">
        <v>7780.53</v>
      </c>
      <c r="D1400" s="4">
        <v>7715.31</v>
      </c>
      <c r="E1400" s="4">
        <v>7720.82</v>
      </c>
      <c r="F1400" s="4">
        <v>4080600</v>
      </c>
      <c r="G1400" s="8">
        <f t="shared" si="295"/>
        <v>96.550000000000182</v>
      </c>
      <c r="H1400" s="8">
        <f t="shared" si="294"/>
        <v>-43.980000000000473</v>
      </c>
      <c r="I1400" s="20">
        <f t="shared" ca="1" si="301"/>
        <v>0</v>
      </c>
      <c r="J1400" s="8">
        <f t="shared" ca="1" si="302"/>
        <v>1</v>
      </c>
      <c r="K1400" s="8">
        <f t="shared" ca="1" si="303"/>
        <v>52.569999999999709</v>
      </c>
      <c r="L1400" s="8">
        <f t="shared" ca="1" si="304"/>
        <v>16803.770000000011</v>
      </c>
      <c r="M1400" s="9">
        <f ca="1">AVERAGE(E1400:OFFSET(E1400,-M$5+1,0))</f>
        <v>7774.0059999999994</v>
      </c>
      <c r="N1400" s="9">
        <f ca="1">AVERAGE(E1400:OFFSET(E1400,-N$5+1,0))</f>
        <v>7852.8170000000009</v>
      </c>
      <c r="O1400" s="9">
        <f t="shared" ca="1" si="305"/>
        <v>0</v>
      </c>
      <c r="P1400" s="14">
        <f t="shared" si="296"/>
        <v>0.68321483350816115</v>
      </c>
      <c r="Q1400" s="15">
        <f ca="1">STDEV(P1400:OFFSET(P1400,-$Q$5+1,0))</f>
        <v>1.0957769898379828</v>
      </c>
      <c r="R1400" s="15">
        <f ca="1">STDEV(P1400:OFFSET(P1400,-$R$5+1,0))</f>
        <v>0.82368847323213268</v>
      </c>
      <c r="S1400" s="18">
        <f t="shared" si="297"/>
        <v>65.219999999999345</v>
      </c>
      <c r="T1400" s="18">
        <f t="shared" si="298"/>
        <v>112.27999999999975</v>
      </c>
      <c r="U1400" s="18">
        <f t="shared" si="306"/>
        <v>94.0671833901052</v>
      </c>
      <c r="V1400" s="33">
        <f ca="1">AVERAGE(E1400:OFFSET(E1400,-V$5+1,0))</f>
        <v>7818.9578571428574</v>
      </c>
      <c r="W1400" s="33">
        <f t="shared" ca="1" si="299"/>
        <v>7960.0586322280151</v>
      </c>
      <c r="X1400" s="33">
        <f t="shared" ca="1" si="300"/>
        <v>7677.8570820576997</v>
      </c>
      <c r="Y1400" s="32">
        <f t="shared" ca="1" si="307"/>
        <v>0</v>
      </c>
    </row>
    <row r="1401" spans="1:25">
      <c r="A1401" s="5">
        <v>40424</v>
      </c>
      <c r="B1401" s="4">
        <v>7770.93</v>
      </c>
      <c r="C1401" s="4">
        <v>7830.21</v>
      </c>
      <c r="D1401" s="4">
        <v>7770.93</v>
      </c>
      <c r="E1401" s="4">
        <v>7830.21</v>
      </c>
      <c r="F1401" s="4">
        <v>4494800</v>
      </c>
      <c r="G1401" s="8">
        <f t="shared" si="295"/>
        <v>50.110000000000582</v>
      </c>
      <c r="H1401" s="8">
        <f t="shared" si="294"/>
        <v>59.279999999999745</v>
      </c>
      <c r="I1401" s="20">
        <f t="shared" ca="1" si="301"/>
        <v>0</v>
      </c>
      <c r="J1401" s="8">
        <f t="shared" ca="1" si="302"/>
        <v>1</v>
      </c>
      <c r="K1401" s="8">
        <f t="shared" ca="1" si="303"/>
        <v>109.39000000000033</v>
      </c>
      <c r="L1401" s="8">
        <f t="shared" ca="1" si="304"/>
        <v>16913.160000000011</v>
      </c>
      <c r="M1401" s="9">
        <f ca="1">AVERAGE(E1401:OFFSET(E1401,-M$5+1,0))</f>
        <v>7764.2960000000003</v>
      </c>
      <c r="N1401" s="9">
        <f ca="1">AVERAGE(E1401:OFFSET(E1401,-N$5+1,0))</f>
        <v>7846.1625000000004</v>
      </c>
      <c r="O1401" s="9">
        <f t="shared" ca="1" si="305"/>
        <v>0</v>
      </c>
      <c r="P1401" s="14">
        <f t="shared" si="296"/>
        <v>1.4068753553862217</v>
      </c>
      <c r="Q1401" s="15">
        <f ca="1">STDEV(P1401:OFFSET(P1401,-$Q$5+1,0))</f>
        <v>1.2175122193429742</v>
      </c>
      <c r="R1401" s="15">
        <f ca="1">STDEV(P1401:OFFSET(P1401,-$R$5+1,0))</f>
        <v>0.84882313011451427</v>
      </c>
      <c r="S1401" s="18">
        <f t="shared" si="297"/>
        <v>59.279999999999745</v>
      </c>
      <c r="T1401" s="18">
        <f t="shared" si="298"/>
        <v>109.39000000000033</v>
      </c>
      <c r="U1401" s="18">
        <f t="shared" si="306"/>
        <v>96.110225604757886</v>
      </c>
      <c r="V1401" s="33">
        <f ca="1">AVERAGE(E1401:OFFSET(E1401,-V$5+1,0))</f>
        <v>7811.0285714285719</v>
      </c>
      <c r="W1401" s="33">
        <f t="shared" ca="1" si="299"/>
        <v>7955.1939098357088</v>
      </c>
      <c r="X1401" s="33">
        <f t="shared" ca="1" si="300"/>
        <v>7666.863233021435</v>
      </c>
      <c r="Y1401" s="32">
        <f t="shared" ca="1" si="307"/>
        <v>0</v>
      </c>
    </row>
    <row r="1402" spans="1:25">
      <c r="A1402" s="5">
        <v>40427</v>
      </c>
      <c r="B1402" s="4">
        <v>7879.7</v>
      </c>
      <c r="C1402" s="4">
        <v>7902.56</v>
      </c>
      <c r="D1402" s="4">
        <v>7841.83</v>
      </c>
      <c r="E1402" s="4">
        <v>7890.95</v>
      </c>
      <c r="F1402" s="4">
        <v>4269000</v>
      </c>
      <c r="G1402" s="8">
        <f t="shared" si="295"/>
        <v>49.489999999999782</v>
      </c>
      <c r="H1402" s="8">
        <f t="shared" si="294"/>
        <v>11.25</v>
      </c>
      <c r="I1402" s="20">
        <f t="shared" ca="1" si="301"/>
        <v>0</v>
      </c>
      <c r="J1402" s="8">
        <f t="shared" ca="1" si="302"/>
        <v>1</v>
      </c>
      <c r="K1402" s="8">
        <f t="shared" ca="1" si="303"/>
        <v>60.739999999999782</v>
      </c>
      <c r="L1402" s="8">
        <f t="shared" ca="1" si="304"/>
        <v>16973.900000000009</v>
      </c>
      <c r="M1402" s="9">
        <f ca="1">AVERAGE(E1402:OFFSET(E1402,-M$5+1,0))</f>
        <v>7755.7979999999998</v>
      </c>
      <c r="N1402" s="9">
        <f ca="1">AVERAGE(E1402:OFFSET(E1402,-N$5+1,0))</f>
        <v>7838.9855000000007</v>
      </c>
      <c r="O1402" s="9">
        <f t="shared" ca="1" si="305"/>
        <v>0</v>
      </c>
      <c r="P1402" s="14">
        <f t="shared" si="296"/>
        <v>0.77272036198567862</v>
      </c>
      <c r="Q1402" s="15">
        <f ca="1">STDEV(P1402:OFFSET(P1402,-$Q$5+1,0))</f>
        <v>1.2293358962317318</v>
      </c>
      <c r="R1402" s="15">
        <f ca="1">STDEV(P1402:OFFSET(P1402,-$R$5+1,0))</f>
        <v>0.85581188244412409</v>
      </c>
      <c r="S1402" s="18">
        <f t="shared" si="297"/>
        <v>60.730000000000473</v>
      </c>
      <c r="T1402" s="18">
        <f t="shared" si="298"/>
        <v>72.350000000000364</v>
      </c>
      <c r="U1402" s="18">
        <f t="shared" si="306"/>
        <v>92.942195524123562</v>
      </c>
      <c r="V1402" s="33">
        <f ca="1">AVERAGE(E1402:OFFSET(E1402,-V$5+1,0))</f>
        <v>7808.1614285714295</v>
      </c>
      <c r="W1402" s="33">
        <f t="shared" ca="1" si="299"/>
        <v>7947.5747218576153</v>
      </c>
      <c r="X1402" s="33">
        <f t="shared" ca="1" si="300"/>
        <v>7668.7481352852437</v>
      </c>
      <c r="Y1402" s="32">
        <f t="shared" ca="1" si="307"/>
        <v>0</v>
      </c>
    </row>
    <row r="1403" spans="1:25">
      <c r="A1403" s="5">
        <v>40428</v>
      </c>
      <c r="B1403" s="4">
        <v>7914.38</v>
      </c>
      <c r="C1403" s="4">
        <v>7922.07</v>
      </c>
      <c r="D1403" s="4">
        <v>7876.67</v>
      </c>
      <c r="E1403" s="4">
        <v>7884.4</v>
      </c>
      <c r="F1403" s="4">
        <v>4480400</v>
      </c>
      <c r="G1403" s="8">
        <f t="shared" si="295"/>
        <v>23.430000000000291</v>
      </c>
      <c r="H1403" s="8">
        <f t="shared" si="294"/>
        <v>-29.980000000000473</v>
      </c>
      <c r="I1403" s="20">
        <f t="shared" ca="1" si="301"/>
        <v>0</v>
      </c>
      <c r="J1403" s="8">
        <f t="shared" ca="1" si="302"/>
        <v>1</v>
      </c>
      <c r="K1403" s="8">
        <f t="shared" ca="1" si="303"/>
        <v>-6.5500000000001819</v>
      </c>
      <c r="L1403" s="8">
        <f t="shared" ca="1" si="304"/>
        <v>16967.350000000009</v>
      </c>
      <c r="M1403" s="9">
        <f ca="1">AVERAGE(E1403:OFFSET(E1403,-M$5+1,0))</f>
        <v>7750.1739999999991</v>
      </c>
      <c r="N1403" s="9">
        <f ca="1">AVERAGE(E1403:OFFSET(E1403,-N$5+1,0))</f>
        <v>7834.3684999999996</v>
      </c>
      <c r="O1403" s="9">
        <f t="shared" ca="1" si="305"/>
        <v>0</v>
      </c>
      <c r="P1403" s="14">
        <f t="shared" si="296"/>
        <v>-8.3040951565518578E-2</v>
      </c>
      <c r="Q1403" s="15">
        <f ca="1">STDEV(P1403:OFFSET(P1403,-$Q$5+1,0))</f>
        <v>1.2236502829671185</v>
      </c>
      <c r="R1403" s="15">
        <f ca="1">STDEV(P1403:OFFSET(P1403,-$R$5+1,0))</f>
        <v>0.85009246973529473</v>
      </c>
      <c r="S1403" s="18">
        <f t="shared" si="297"/>
        <v>45.399999999999636</v>
      </c>
      <c r="T1403" s="18">
        <f t="shared" si="298"/>
        <v>45.399999999999636</v>
      </c>
      <c r="U1403" s="18">
        <f t="shared" si="306"/>
        <v>86.603236120907042</v>
      </c>
      <c r="V1403" s="33">
        <f ca="1">AVERAGE(E1403:OFFSET(E1403,-V$5+1,0))</f>
        <v>7805.3257142857137</v>
      </c>
      <c r="W1403" s="33">
        <f t="shared" ca="1" si="299"/>
        <v>7935.2305684670746</v>
      </c>
      <c r="X1403" s="33">
        <f t="shared" ca="1" si="300"/>
        <v>7675.4208601043529</v>
      </c>
      <c r="Y1403" s="32">
        <f t="shared" ca="1" si="307"/>
        <v>0</v>
      </c>
    </row>
    <row r="1404" spans="1:25">
      <c r="A1404" s="5">
        <v>40429</v>
      </c>
      <c r="B1404" s="4">
        <v>7866.35</v>
      </c>
      <c r="C1404" s="4">
        <v>7898.76</v>
      </c>
      <c r="D1404" s="4">
        <v>7824.65</v>
      </c>
      <c r="E1404" s="4">
        <v>7851.31</v>
      </c>
      <c r="F1404" s="4">
        <v>4209200</v>
      </c>
      <c r="G1404" s="8">
        <f t="shared" si="295"/>
        <v>-18.049999999999272</v>
      </c>
      <c r="H1404" s="8">
        <f t="shared" si="294"/>
        <v>-15.039999999999964</v>
      </c>
      <c r="I1404" s="20">
        <f t="shared" ca="1" si="301"/>
        <v>0</v>
      </c>
      <c r="J1404" s="8">
        <f t="shared" ca="1" si="302"/>
        <v>1</v>
      </c>
      <c r="K1404" s="8">
        <f t="shared" ca="1" si="303"/>
        <v>-33.089999999999236</v>
      </c>
      <c r="L1404" s="8">
        <f t="shared" ca="1" si="304"/>
        <v>16934.260000000009</v>
      </c>
      <c r="M1404" s="9">
        <f ca="1">AVERAGE(E1404:OFFSET(E1404,-M$5+1,0))</f>
        <v>7761.6069999999991</v>
      </c>
      <c r="N1404" s="9">
        <f ca="1">AVERAGE(E1404:OFFSET(E1404,-N$5+1,0))</f>
        <v>7832.1824999999999</v>
      </c>
      <c r="O1404" s="9">
        <f t="shared" ca="1" si="305"/>
        <v>0</v>
      </c>
      <c r="P1404" s="14">
        <f t="shared" si="296"/>
        <v>-0.42057268181766594</v>
      </c>
      <c r="Q1404" s="15">
        <f ca="1">STDEV(P1404:OFFSET(P1404,-$Q$5+1,0))</f>
        <v>0.86520569895732991</v>
      </c>
      <c r="R1404" s="15">
        <f ca="1">STDEV(P1404:OFFSET(P1404,-$R$5+1,0))</f>
        <v>0.82100332782034924</v>
      </c>
      <c r="S1404" s="18">
        <f t="shared" si="297"/>
        <v>74.110000000000582</v>
      </c>
      <c r="T1404" s="18">
        <f t="shared" si="298"/>
        <v>74.110000000000582</v>
      </c>
      <c r="U1404" s="18">
        <f t="shared" si="306"/>
        <v>84.937471304786186</v>
      </c>
      <c r="V1404" s="33">
        <f ca="1">AVERAGE(E1404:OFFSET(E1404,-V$5+1,0))</f>
        <v>7799.7807142857137</v>
      </c>
      <c r="W1404" s="33">
        <f t="shared" ca="1" si="299"/>
        <v>7927.1869212428928</v>
      </c>
      <c r="X1404" s="33">
        <f t="shared" ca="1" si="300"/>
        <v>7672.3745073285345</v>
      </c>
      <c r="Y1404" s="32">
        <f t="shared" ca="1" si="307"/>
        <v>0</v>
      </c>
    </row>
    <row r="1405" spans="1:25">
      <c r="A1405" s="5">
        <v>40430</v>
      </c>
      <c r="B1405" s="4">
        <v>7901.83</v>
      </c>
      <c r="C1405" s="4">
        <v>7903.47</v>
      </c>
      <c r="D1405" s="4">
        <v>7817.87</v>
      </c>
      <c r="E1405" s="4">
        <v>7835.54</v>
      </c>
      <c r="F1405" s="4">
        <v>4295800</v>
      </c>
      <c r="G1405" s="8">
        <f t="shared" si="295"/>
        <v>50.519999999999527</v>
      </c>
      <c r="H1405" s="8">
        <f t="shared" si="294"/>
        <v>-66.289999999999964</v>
      </c>
      <c r="I1405" s="20">
        <f t="shared" ca="1" si="301"/>
        <v>0</v>
      </c>
      <c r="J1405" s="8">
        <f t="shared" ca="1" si="302"/>
        <v>1</v>
      </c>
      <c r="K1405" s="8">
        <f t="shared" ca="1" si="303"/>
        <v>-15.770000000000437</v>
      </c>
      <c r="L1405" s="8">
        <f t="shared" ca="1" si="304"/>
        <v>16918.490000000009</v>
      </c>
      <c r="M1405" s="9">
        <f ca="1">AVERAGE(E1405:OFFSET(E1405,-M$5+1,0))</f>
        <v>7776.1869999999999</v>
      </c>
      <c r="N1405" s="9">
        <f ca="1">AVERAGE(E1405:OFFSET(E1405,-N$5+1,0))</f>
        <v>7832.4699999999993</v>
      </c>
      <c r="O1405" s="9">
        <f t="shared" ca="1" si="305"/>
        <v>0</v>
      </c>
      <c r="P1405" s="14">
        <f t="shared" si="296"/>
        <v>-0.20106019133918421</v>
      </c>
      <c r="Q1405" s="15">
        <f ca="1">STDEV(P1405:OFFSET(P1405,-$Q$5+1,0))</f>
        <v>0.83432924803748765</v>
      </c>
      <c r="R1405" s="15">
        <f ca="1">STDEV(P1405:OFFSET(P1405,-$R$5+1,0))</f>
        <v>0.82146836529450173</v>
      </c>
      <c r="S1405" s="18">
        <f t="shared" si="297"/>
        <v>85.600000000000364</v>
      </c>
      <c r="T1405" s="18">
        <f t="shared" si="298"/>
        <v>85.600000000000364</v>
      </c>
      <c r="U1405" s="18">
        <f t="shared" si="306"/>
        <v>85.025808464148085</v>
      </c>
      <c r="V1405" s="33">
        <f ca="1">AVERAGE(E1405:OFFSET(E1405,-V$5+1,0))</f>
        <v>7793.2257142857134</v>
      </c>
      <c r="W1405" s="33">
        <f t="shared" ca="1" si="299"/>
        <v>7920.7644269819357</v>
      </c>
      <c r="X1405" s="33">
        <f t="shared" ca="1" si="300"/>
        <v>7665.687001589491</v>
      </c>
      <c r="Y1405" s="32">
        <f t="shared" ca="1" si="307"/>
        <v>0</v>
      </c>
    </row>
    <row r="1406" spans="1:25">
      <c r="A1406" s="5">
        <v>40431</v>
      </c>
      <c r="B1406" s="4">
        <v>7900.56</v>
      </c>
      <c r="C1406" s="4">
        <v>7911.66</v>
      </c>
      <c r="D1406" s="4">
        <v>7859.33</v>
      </c>
      <c r="E1406" s="4">
        <v>7890.11</v>
      </c>
      <c r="F1406" s="4">
        <v>4179400</v>
      </c>
      <c r="G1406" s="8">
        <f t="shared" si="295"/>
        <v>65.020000000000437</v>
      </c>
      <c r="H1406" s="8">
        <f t="shared" si="294"/>
        <v>-10.450000000000728</v>
      </c>
      <c r="I1406" s="20">
        <f t="shared" ca="1" si="301"/>
        <v>0</v>
      </c>
      <c r="J1406" s="8">
        <f t="shared" ca="1" si="302"/>
        <v>1</v>
      </c>
      <c r="K1406" s="8">
        <f t="shared" ca="1" si="303"/>
        <v>54.569999999999709</v>
      </c>
      <c r="L1406" s="8">
        <f t="shared" ca="1" si="304"/>
        <v>16973.060000000009</v>
      </c>
      <c r="M1406" s="9">
        <f ca="1">AVERAGE(E1406:OFFSET(E1406,-M$5+1,0))</f>
        <v>7792.9069999999992</v>
      </c>
      <c r="N1406" s="9">
        <f ca="1">AVERAGE(E1406:OFFSET(E1406,-N$5+1,0))</f>
        <v>7832.3964999999998</v>
      </c>
      <c r="O1406" s="9">
        <f t="shared" ca="1" si="305"/>
        <v>0</v>
      </c>
      <c r="P1406" s="14">
        <f t="shared" si="296"/>
        <v>0.69402815198818346</v>
      </c>
      <c r="Q1406" s="15">
        <f ca="1">STDEV(P1406:OFFSET(P1406,-$Q$5+1,0))</f>
        <v>0.84691489709563839</v>
      </c>
      <c r="R1406" s="15">
        <f ca="1">STDEV(P1406:OFFSET(P1406,-$R$5+1,0))</f>
        <v>0.82259467306177136</v>
      </c>
      <c r="S1406" s="18">
        <f t="shared" si="297"/>
        <v>52.329999999999927</v>
      </c>
      <c r="T1406" s="18">
        <f t="shared" si="298"/>
        <v>76.119999999999891</v>
      </c>
      <c r="U1406" s="18">
        <f t="shared" si="306"/>
        <v>83.838367335594995</v>
      </c>
      <c r="V1406" s="33">
        <f ca="1">AVERAGE(E1406:OFFSET(E1406,-V$5+1,0))</f>
        <v>7787.0957142857133</v>
      </c>
      <c r="W1406" s="33">
        <f t="shared" ca="1" si="299"/>
        <v>7912.8532652891054</v>
      </c>
      <c r="X1406" s="33">
        <f t="shared" ca="1" si="300"/>
        <v>7661.3381632823211</v>
      </c>
      <c r="Y1406" s="32">
        <f t="shared" ca="1" si="307"/>
        <v>0</v>
      </c>
    </row>
    <row r="1407" spans="1:25">
      <c r="A1407" s="5">
        <v>40434</v>
      </c>
      <c r="B1407" s="4">
        <v>7961.98</v>
      </c>
      <c r="C1407" s="4">
        <v>8091.3</v>
      </c>
      <c r="D1407" s="4">
        <v>7946.98</v>
      </c>
      <c r="E1407" s="4">
        <v>8091.3</v>
      </c>
      <c r="F1407" s="4">
        <v>5166600</v>
      </c>
      <c r="G1407" s="8">
        <f t="shared" si="295"/>
        <v>71.869999999999891</v>
      </c>
      <c r="H1407" s="8">
        <f t="shared" si="294"/>
        <v>129.32000000000062</v>
      </c>
      <c r="I1407" s="20">
        <f t="shared" ca="1" si="301"/>
        <v>1</v>
      </c>
      <c r="J1407" s="8">
        <f t="shared" ca="1" si="302"/>
        <v>1</v>
      </c>
      <c r="K1407" s="8">
        <f t="shared" ca="1" si="303"/>
        <v>201.19000000000051</v>
      </c>
      <c r="L1407" s="8">
        <f t="shared" ca="1" si="304"/>
        <v>17174.250000000007</v>
      </c>
      <c r="M1407" s="9">
        <f ca="1">AVERAGE(E1407:OFFSET(E1407,-M$5+1,0))</f>
        <v>7827.9169999999995</v>
      </c>
      <c r="N1407" s="9">
        <f ca="1">AVERAGE(E1407:OFFSET(E1407,-N$5+1,0))</f>
        <v>7839.9004999999988</v>
      </c>
      <c r="O1407" s="9">
        <f t="shared" ca="1" si="305"/>
        <v>0</v>
      </c>
      <c r="P1407" s="14">
        <f t="shared" si="296"/>
        <v>2.5179333914447306</v>
      </c>
      <c r="Q1407" s="15">
        <f ca="1">STDEV(P1407:OFFSET(P1407,-$Q$5+1,0))</f>
        <v>1.1176191261760002</v>
      </c>
      <c r="R1407" s="15">
        <f ca="1">STDEV(P1407:OFFSET(P1407,-$R$5+1,0))</f>
        <v>0.90746271303815196</v>
      </c>
      <c r="S1407" s="18">
        <f t="shared" si="297"/>
        <v>144.32000000000062</v>
      </c>
      <c r="T1407" s="18">
        <f t="shared" si="298"/>
        <v>201.19000000000051</v>
      </c>
      <c r="U1407" s="18">
        <f t="shared" si="306"/>
        <v>99.485251690849068</v>
      </c>
      <c r="V1407" s="33">
        <f ca="1">AVERAGE(E1407:OFFSET(E1407,-V$5+1,0))</f>
        <v>7797.8571428571422</v>
      </c>
      <c r="W1407" s="33">
        <f t="shared" ca="1" si="299"/>
        <v>7947.085020393416</v>
      </c>
      <c r="X1407" s="33">
        <f t="shared" ca="1" si="300"/>
        <v>7648.6292653208684</v>
      </c>
      <c r="Y1407" s="32">
        <f t="shared" ca="1" si="307"/>
        <v>1</v>
      </c>
    </row>
    <row r="1408" spans="1:25">
      <c r="A1408" s="5">
        <v>40435</v>
      </c>
      <c r="B1408" s="4">
        <v>8121.68</v>
      </c>
      <c r="C1408" s="4">
        <v>8132.6</v>
      </c>
      <c r="D1408" s="4">
        <v>8081.79</v>
      </c>
      <c r="E1408" s="4">
        <v>8132.6</v>
      </c>
      <c r="F1408" s="4">
        <v>4819400</v>
      </c>
      <c r="G1408" s="8">
        <f t="shared" si="295"/>
        <v>30.380000000000109</v>
      </c>
      <c r="H1408" s="8">
        <f t="shared" si="294"/>
        <v>10.920000000000073</v>
      </c>
      <c r="I1408" s="20">
        <f t="shared" ca="1" si="301"/>
        <v>0</v>
      </c>
      <c r="J1408" s="8">
        <f t="shared" ca="1" si="302"/>
        <v>2</v>
      </c>
      <c r="K1408" s="8">
        <f t="shared" ca="1" si="303"/>
        <v>52.220000000000255</v>
      </c>
      <c r="L1408" s="8">
        <f t="shared" ca="1" si="304"/>
        <v>17226.470000000008</v>
      </c>
      <c r="M1408" s="9">
        <f ca="1">AVERAGE(E1408:OFFSET(E1408,-M$5+1,0))</f>
        <v>7879.5490000000009</v>
      </c>
      <c r="N1408" s="9">
        <f ca="1">AVERAGE(E1408:OFFSET(E1408,-N$5+1,0))</f>
        <v>7849.9759999999997</v>
      </c>
      <c r="O1408" s="9">
        <f t="shared" ca="1" si="305"/>
        <v>1</v>
      </c>
      <c r="P1408" s="14">
        <f t="shared" si="296"/>
        <v>0.50912652582105666</v>
      </c>
      <c r="Q1408" s="15">
        <f ca="1">STDEV(P1408:OFFSET(P1408,-$Q$5+1,0))</f>
        <v>0.85037979388192653</v>
      </c>
      <c r="R1408" s="15">
        <f ca="1">STDEV(P1408:OFFSET(P1408,-$R$5+1,0))</f>
        <v>0.90300883154778677</v>
      </c>
      <c r="S1408" s="18">
        <f t="shared" si="297"/>
        <v>50.8100000000004</v>
      </c>
      <c r="T1408" s="18">
        <f t="shared" si="298"/>
        <v>50.8100000000004</v>
      </c>
      <c r="U1408" s="18">
        <f t="shared" si="306"/>
        <v>92.99521813206924</v>
      </c>
      <c r="V1408" s="33">
        <f ca="1">AVERAGE(E1408:OFFSET(E1408,-V$5+1,0))</f>
        <v>7826.1157142857137</v>
      </c>
      <c r="W1408" s="33">
        <f t="shared" ca="1" si="299"/>
        <v>7965.6085414838171</v>
      </c>
      <c r="X1408" s="33">
        <f t="shared" ca="1" si="300"/>
        <v>7686.6228870876103</v>
      </c>
      <c r="Y1408" s="32">
        <f t="shared" ca="1" si="307"/>
        <v>0</v>
      </c>
    </row>
    <row r="1409" spans="1:25">
      <c r="A1409" s="5">
        <v>40436</v>
      </c>
      <c r="B1409" s="4">
        <v>8152.63</v>
      </c>
      <c r="C1409" s="4">
        <v>8163.82</v>
      </c>
      <c r="D1409" s="4">
        <v>8113.97</v>
      </c>
      <c r="E1409" s="4">
        <v>8163.82</v>
      </c>
      <c r="F1409" s="4">
        <v>4851200</v>
      </c>
      <c r="G1409" s="8">
        <f t="shared" si="295"/>
        <v>20.029999999999745</v>
      </c>
      <c r="H1409" s="8">
        <f t="shared" si="294"/>
        <v>11.1899999999996</v>
      </c>
      <c r="I1409" s="20">
        <f t="shared" ca="1" si="301"/>
        <v>0</v>
      </c>
      <c r="J1409" s="8">
        <f t="shared" ca="1" si="302"/>
        <v>2</v>
      </c>
      <c r="K1409" s="8">
        <f t="shared" ca="1" si="303"/>
        <v>62.43999999999869</v>
      </c>
      <c r="L1409" s="8">
        <f t="shared" ca="1" si="304"/>
        <v>17288.910000000007</v>
      </c>
      <c r="M1409" s="9">
        <f ca="1">AVERAGE(E1409:OFFSET(E1409,-M$5+1,0))</f>
        <v>7929.1059999999998</v>
      </c>
      <c r="N1409" s="9">
        <f ca="1">AVERAGE(E1409:OFFSET(E1409,-N$5+1,0))</f>
        <v>7861.9619999999995</v>
      </c>
      <c r="O1409" s="9">
        <f t="shared" ca="1" si="305"/>
        <v>0</v>
      </c>
      <c r="P1409" s="14">
        <f t="shared" si="296"/>
        <v>0.38315210572503172</v>
      </c>
      <c r="Q1409" s="15">
        <f ca="1">STDEV(P1409:OFFSET(P1409,-$Q$5+1,0))</f>
        <v>0.85461638325476708</v>
      </c>
      <c r="R1409" s="15">
        <f ca="1">STDEV(P1409:OFFSET(P1409,-$R$5+1,0))</f>
        <v>0.90275088064453024</v>
      </c>
      <c r="S1409" s="18">
        <f t="shared" si="297"/>
        <v>49.849999999999454</v>
      </c>
      <c r="T1409" s="18">
        <f t="shared" si="298"/>
        <v>49.849999999999454</v>
      </c>
      <c r="U1409" s="18">
        <f t="shared" si="306"/>
        <v>87.242522381126605</v>
      </c>
      <c r="V1409" s="33">
        <f ca="1">AVERAGE(E1409:OFFSET(E1409,-V$5+1,0))</f>
        <v>7859.9785714285726</v>
      </c>
      <c r="W1409" s="33">
        <f t="shared" ca="1" si="299"/>
        <v>7990.8423550002626</v>
      </c>
      <c r="X1409" s="33">
        <f t="shared" ca="1" si="300"/>
        <v>7729.1147878568827</v>
      </c>
      <c r="Y1409" s="32">
        <f t="shared" ca="1" si="307"/>
        <v>0</v>
      </c>
    </row>
    <row r="1410" spans="1:25">
      <c r="A1410" s="5">
        <v>40437</v>
      </c>
      <c r="B1410" s="4">
        <v>8174.85</v>
      </c>
      <c r="C1410" s="4">
        <v>8182.8</v>
      </c>
      <c r="D1410" s="4">
        <v>8099.75</v>
      </c>
      <c r="E1410" s="4">
        <v>8099.75</v>
      </c>
      <c r="F1410" s="4">
        <v>4603800</v>
      </c>
      <c r="G1410" s="8">
        <f t="shared" si="295"/>
        <v>11.030000000000655</v>
      </c>
      <c r="H1410" s="8">
        <f t="shared" si="294"/>
        <v>-75.100000000000364</v>
      </c>
      <c r="I1410" s="20">
        <f t="shared" ca="1" si="301"/>
        <v>0</v>
      </c>
      <c r="J1410" s="8">
        <f t="shared" ca="1" si="302"/>
        <v>2</v>
      </c>
      <c r="K1410" s="8">
        <f t="shared" ca="1" si="303"/>
        <v>-128.13999999999942</v>
      </c>
      <c r="L1410" s="8">
        <f t="shared" ca="1" si="304"/>
        <v>17160.770000000008</v>
      </c>
      <c r="M1410" s="9">
        <f ca="1">AVERAGE(E1410:OFFSET(E1410,-M$5+1,0))</f>
        <v>7966.9989999999989</v>
      </c>
      <c r="N1410" s="9">
        <f ca="1">AVERAGE(E1410:OFFSET(E1410,-N$5+1,0))</f>
        <v>7870.5024999999996</v>
      </c>
      <c r="O1410" s="9">
        <f t="shared" ca="1" si="305"/>
        <v>0</v>
      </c>
      <c r="P1410" s="14">
        <f t="shared" si="296"/>
        <v>-0.78789996843056287</v>
      </c>
      <c r="Q1410" s="15">
        <f ca="1">STDEV(P1410:OFFSET(P1410,-$Q$5+1,0))</f>
        <v>0.96341081056043176</v>
      </c>
      <c r="R1410" s="15">
        <f ca="1">STDEV(P1410:OFFSET(P1410,-$R$5+1,0))</f>
        <v>0.90994016189474325</v>
      </c>
      <c r="S1410" s="18">
        <f t="shared" si="297"/>
        <v>83.050000000000182</v>
      </c>
      <c r="T1410" s="18">
        <f t="shared" si="298"/>
        <v>83.050000000000182</v>
      </c>
      <c r="U1410" s="18">
        <f t="shared" si="306"/>
        <v>86.683519396976408</v>
      </c>
      <c r="V1410" s="33">
        <f ca="1">AVERAGE(E1410:OFFSET(E1410,-V$5+1,0))</f>
        <v>7886.8957142857153</v>
      </c>
      <c r="W1410" s="33">
        <f t="shared" ca="1" si="299"/>
        <v>8016.9209933811799</v>
      </c>
      <c r="X1410" s="33">
        <f t="shared" ca="1" si="300"/>
        <v>7756.8704351902506</v>
      </c>
      <c r="Y1410" s="32">
        <f t="shared" ca="1" si="307"/>
        <v>0</v>
      </c>
    </row>
    <row r="1411" spans="1:25">
      <c r="A1411" s="5">
        <v>40438</v>
      </c>
      <c r="B1411" s="4">
        <v>8150.94</v>
      </c>
      <c r="C1411" s="4">
        <v>8197.82</v>
      </c>
      <c r="D1411" s="4">
        <v>8134.3</v>
      </c>
      <c r="E1411" s="4">
        <v>8158.33</v>
      </c>
      <c r="F1411" s="4">
        <v>5165000</v>
      </c>
      <c r="G1411" s="8">
        <f t="shared" si="295"/>
        <v>51.1899999999996</v>
      </c>
      <c r="H1411" s="8">
        <f t="shared" si="294"/>
        <v>7.3900000000003274</v>
      </c>
      <c r="I1411" s="20">
        <f t="shared" ca="1" si="301"/>
        <v>0</v>
      </c>
      <c r="J1411" s="8">
        <f t="shared" ca="1" si="302"/>
        <v>2</v>
      </c>
      <c r="K1411" s="8">
        <f t="shared" ca="1" si="303"/>
        <v>117.15999999999985</v>
      </c>
      <c r="L1411" s="8">
        <f t="shared" ca="1" si="304"/>
        <v>17277.930000000008</v>
      </c>
      <c r="M1411" s="9">
        <f ca="1">AVERAGE(E1411:OFFSET(E1411,-M$5+1,0))</f>
        <v>7999.8109999999997</v>
      </c>
      <c r="N1411" s="9">
        <f ca="1">AVERAGE(E1411:OFFSET(E1411,-N$5+1,0))</f>
        <v>7882.0534999999991</v>
      </c>
      <c r="O1411" s="9">
        <f t="shared" ca="1" si="305"/>
        <v>0</v>
      </c>
      <c r="P1411" s="14">
        <f t="shared" si="296"/>
        <v>0.72062941636438993</v>
      </c>
      <c r="Q1411" s="15">
        <f ca="1">STDEV(P1411:OFFSET(P1411,-$Q$5+1,0))</f>
        <v>0.91311162041726057</v>
      </c>
      <c r="R1411" s="15">
        <f ca="1">STDEV(P1411:OFFSET(P1411,-$R$5+1,0))</f>
        <v>0.89774054941153658</v>
      </c>
      <c r="S1411" s="18">
        <f t="shared" si="297"/>
        <v>63.519999999999527</v>
      </c>
      <c r="T1411" s="18">
        <f t="shared" si="298"/>
        <v>98.069999999999709</v>
      </c>
      <c r="U1411" s="18">
        <f t="shared" si="306"/>
        <v>88.201716810712853</v>
      </c>
      <c r="V1411" s="33">
        <f ca="1">AVERAGE(E1411:OFFSET(E1411,-V$5+1,0))</f>
        <v>7916.6907142857144</v>
      </c>
      <c r="W1411" s="33">
        <f t="shared" ca="1" si="299"/>
        <v>8048.9932895017837</v>
      </c>
      <c r="X1411" s="33">
        <f t="shared" ca="1" si="300"/>
        <v>7784.3881390696451</v>
      </c>
      <c r="Y1411" s="32">
        <f t="shared" ca="1" si="307"/>
        <v>0</v>
      </c>
    </row>
    <row r="1412" spans="1:25">
      <c r="A1412" s="5">
        <v>40441</v>
      </c>
      <c r="B1412" s="4">
        <v>8174.88</v>
      </c>
      <c r="C1412" s="4">
        <v>8195.74</v>
      </c>
      <c r="D1412" s="4">
        <v>8161.82</v>
      </c>
      <c r="E1412" s="4">
        <v>8186.96</v>
      </c>
      <c r="F1412" s="4">
        <v>4425800</v>
      </c>
      <c r="G1412" s="8">
        <f t="shared" si="295"/>
        <v>16.550000000000182</v>
      </c>
      <c r="H1412" s="8">
        <f t="shared" ref="H1412:H1475" si="308">E1412-B1412</f>
        <v>12.079999999999927</v>
      </c>
      <c r="I1412" s="20">
        <f t="shared" ca="1" si="301"/>
        <v>0</v>
      </c>
      <c r="J1412" s="8">
        <f t="shared" ca="1" si="302"/>
        <v>2</v>
      </c>
      <c r="K1412" s="8">
        <f t="shared" ca="1" si="303"/>
        <v>57.260000000000218</v>
      </c>
      <c r="L1412" s="8">
        <f t="shared" ca="1" si="304"/>
        <v>17335.19000000001</v>
      </c>
      <c r="M1412" s="9">
        <f ca="1">AVERAGE(E1412:OFFSET(E1412,-M$5+1,0))</f>
        <v>8029.4120000000012</v>
      </c>
      <c r="N1412" s="9">
        <f ca="1">AVERAGE(E1412:OFFSET(E1412,-N$5+1,0))</f>
        <v>7892.6049999999987</v>
      </c>
      <c r="O1412" s="9">
        <f t="shared" ca="1" si="305"/>
        <v>0</v>
      </c>
      <c r="P1412" s="14">
        <f t="shared" si="296"/>
        <v>0.35031534196261926</v>
      </c>
      <c r="Q1412" s="15">
        <f ca="1">STDEV(P1412:OFFSET(P1412,-$Q$5+1,0))</f>
        <v>0.90422052679084353</v>
      </c>
      <c r="R1412" s="15">
        <f ca="1">STDEV(P1412:OFFSET(P1412,-$R$5+1,0))</f>
        <v>0.89782135705079158</v>
      </c>
      <c r="S1412" s="18">
        <f t="shared" si="297"/>
        <v>33.920000000000073</v>
      </c>
      <c r="T1412" s="18">
        <f t="shared" si="298"/>
        <v>37.409999999999854</v>
      </c>
      <c r="U1412" s="18">
        <f t="shared" si="306"/>
        <v>81.429487902617794</v>
      </c>
      <c r="V1412" s="33">
        <f ca="1">AVERAGE(E1412:OFFSET(E1412,-V$5+1,0))</f>
        <v>7957.4535714285721</v>
      </c>
      <c r="W1412" s="33">
        <f t="shared" ca="1" si="299"/>
        <v>8079.5978032824987</v>
      </c>
      <c r="X1412" s="33">
        <f t="shared" ca="1" si="300"/>
        <v>7835.3093395746455</v>
      </c>
      <c r="Y1412" s="32">
        <f t="shared" ca="1" si="307"/>
        <v>0</v>
      </c>
    </row>
    <row r="1413" spans="1:25">
      <c r="A1413" s="5">
        <v>40442</v>
      </c>
      <c r="B1413" s="4">
        <v>8249.6</v>
      </c>
      <c r="C1413" s="4">
        <v>8251.42</v>
      </c>
      <c r="D1413" s="4">
        <v>8177.4</v>
      </c>
      <c r="E1413" s="4">
        <v>8196.4</v>
      </c>
      <c r="F1413" s="4">
        <v>4656400</v>
      </c>
      <c r="G1413" s="8">
        <f t="shared" ref="G1413:G1476" si="309">B1413-E1412</f>
        <v>62.640000000000327</v>
      </c>
      <c r="H1413" s="8">
        <f t="shared" si="308"/>
        <v>-53.200000000000728</v>
      </c>
      <c r="I1413" s="20">
        <f t="shared" ca="1" si="301"/>
        <v>0</v>
      </c>
      <c r="J1413" s="8">
        <f t="shared" ca="1" si="302"/>
        <v>2</v>
      </c>
      <c r="K1413" s="8">
        <f t="shared" ca="1" si="303"/>
        <v>18.8799999999992</v>
      </c>
      <c r="L1413" s="8">
        <f t="shared" ca="1" si="304"/>
        <v>17354.070000000007</v>
      </c>
      <c r="M1413" s="9">
        <f ca="1">AVERAGE(E1413:OFFSET(E1413,-M$5+1,0))</f>
        <v>8060.6119999999992</v>
      </c>
      <c r="N1413" s="9">
        <f ca="1">AVERAGE(E1413:OFFSET(E1413,-N$5+1,0))</f>
        <v>7905.3929999999982</v>
      </c>
      <c r="O1413" s="9">
        <f t="shared" ca="1" si="305"/>
        <v>0</v>
      </c>
      <c r="P1413" s="14">
        <f t="shared" ref="P1413:P1476" si="310">100*LN(E1413/E1412)</f>
        <v>0.11523888927170471</v>
      </c>
      <c r="Q1413" s="15">
        <f ca="1">STDEV(P1413:OFFSET(P1413,-$Q$5+1,0))</f>
        <v>0.89535517793639552</v>
      </c>
      <c r="R1413" s="15">
        <f ca="1">STDEV(P1413:OFFSET(P1413,-$R$5+1,0))</f>
        <v>0.89194662856186935</v>
      </c>
      <c r="S1413" s="18">
        <f t="shared" si="297"/>
        <v>74.020000000000437</v>
      </c>
      <c r="T1413" s="18">
        <f t="shared" si="298"/>
        <v>74.020000000000437</v>
      </c>
      <c r="U1413" s="18">
        <f t="shared" si="306"/>
        <v>80.441556182268812</v>
      </c>
      <c r="V1413" s="33">
        <f ca="1">AVERAGE(E1413:OFFSET(E1413,-V$5+1,0))</f>
        <v>7995.1785714285716</v>
      </c>
      <c r="W1413" s="33">
        <f t="shared" ca="1" si="299"/>
        <v>8115.8409057019744</v>
      </c>
      <c r="X1413" s="33">
        <f t="shared" ca="1" si="300"/>
        <v>7874.5162371551687</v>
      </c>
      <c r="Y1413" s="32">
        <f t="shared" ca="1" si="307"/>
        <v>0</v>
      </c>
    </row>
    <row r="1414" spans="1:25">
      <c r="A1414" s="5">
        <v>40444</v>
      </c>
      <c r="B1414" s="4">
        <v>8201.68</v>
      </c>
      <c r="C1414" s="4">
        <v>8223.2199999999993</v>
      </c>
      <c r="D1414" s="4">
        <v>8154.97</v>
      </c>
      <c r="E1414" s="4">
        <v>8202.5400000000009</v>
      </c>
      <c r="F1414" s="4">
        <v>4565800</v>
      </c>
      <c r="G1414" s="8">
        <f t="shared" si="309"/>
        <v>5.2800000000006548</v>
      </c>
      <c r="H1414" s="8">
        <f t="shared" si="308"/>
        <v>0.86000000000058208</v>
      </c>
      <c r="I1414" s="20">
        <f t="shared" ca="1" si="301"/>
        <v>0</v>
      </c>
      <c r="J1414" s="8">
        <f t="shared" ca="1" si="302"/>
        <v>2</v>
      </c>
      <c r="K1414" s="8">
        <f t="shared" ca="1" si="303"/>
        <v>12.280000000002474</v>
      </c>
      <c r="L1414" s="8">
        <f t="shared" ca="1" si="304"/>
        <v>17366.350000000009</v>
      </c>
      <c r="M1414" s="9">
        <f ca="1">AVERAGE(E1414:OFFSET(E1414,-M$5+1,0))</f>
        <v>8095.7350000000006</v>
      </c>
      <c r="N1414" s="9">
        <f ca="1">AVERAGE(E1414:OFFSET(E1414,-N$5+1,0))</f>
        <v>7928.6709999999994</v>
      </c>
      <c r="O1414" s="9">
        <f t="shared" ca="1" si="305"/>
        <v>0</v>
      </c>
      <c r="P1414" s="14">
        <f t="shared" si="310"/>
        <v>7.488289227128217E-2</v>
      </c>
      <c r="Q1414" s="15">
        <f ca="1">STDEV(P1414:OFFSET(P1414,-$Q$5+1,0))</f>
        <v>0.85858829109177326</v>
      </c>
      <c r="R1414" s="15">
        <f ca="1">STDEV(P1414:OFFSET(P1414,-$R$5+1,0))</f>
        <v>0.89035449371104514</v>
      </c>
      <c r="S1414" s="18">
        <f t="shared" si="297"/>
        <v>68.249999999999091</v>
      </c>
      <c r="T1414" s="18">
        <f t="shared" si="298"/>
        <v>68.249999999999091</v>
      </c>
      <c r="U1414" s="18">
        <f t="shared" si="306"/>
        <v>78.816015357966194</v>
      </c>
      <c r="V1414" s="33">
        <f ca="1">AVERAGE(E1414:OFFSET(E1414,-V$5+1,0))</f>
        <v>8029.5871428571427</v>
      </c>
      <c r="W1414" s="33">
        <f t="shared" ca="1" si="299"/>
        <v>8147.8111658940916</v>
      </c>
      <c r="X1414" s="33">
        <f t="shared" ca="1" si="300"/>
        <v>7911.3631198201938</v>
      </c>
      <c r="Y1414" s="32">
        <f t="shared" ca="1" si="307"/>
        <v>0</v>
      </c>
    </row>
    <row r="1415" spans="1:25">
      <c r="A1415" s="5">
        <v>40445</v>
      </c>
      <c r="B1415" s="4">
        <v>8182.16</v>
      </c>
      <c r="C1415" s="4">
        <v>8190.96</v>
      </c>
      <c r="D1415" s="4">
        <v>8129.21</v>
      </c>
      <c r="E1415" s="4">
        <v>8166.62</v>
      </c>
      <c r="F1415" s="4">
        <v>4142800</v>
      </c>
      <c r="G1415" s="8">
        <f t="shared" si="309"/>
        <v>-20.380000000001019</v>
      </c>
      <c r="H1415" s="8">
        <f t="shared" si="308"/>
        <v>-15.539999999999964</v>
      </c>
      <c r="I1415" s="20">
        <f t="shared" ca="1" si="301"/>
        <v>0</v>
      </c>
      <c r="J1415" s="8">
        <f t="shared" ca="1" si="302"/>
        <v>2</v>
      </c>
      <c r="K1415" s="8">
        <f t="shared" ca="1" si="303"/>
        <v>-71.840000000001965</v>
      </c>
      <c r="L1415" s="8">
        <f t="shared" ca="1" si="304"/>
        <v>17294.510000000009</v>
      </c>
      <c r="M1415" s="9">
        <f ca="1">AVERAGE(E1415:OFFSET(E1415,-M$5+1,0))</f>
        <v>8128.8429999999989</v>
      </c>
      <c r="N1415" s="9">
        <f ca="1">AVERAGE(E1415:OFFSET(E1415,-N$5+1,0))</f>
        <v>7952.5150000000012</v>
      </c>
      <c r="O1415" s="9">
        <f t="shared" ca="1" si="305"/>
        <v>0</v>
      </c>
      <c r="P1415" s="14">
        <f t="shared" si="310"/>
        <v>-0.43887478227224103</v>
      </c>
      <c r="Q1415" s="15">
        <f ca="1">STDEV(P1415:OFFSET(P1415,-$Q$5+1,0))</f>
        <v>0.88123945488169031</v>
      </c>
      <c r="R1415" s="15">
        <f ca="1">STDEV(P1415:OFFSET(P1415,-$R$5+1,0))</f>
        <v>0.89483747129580415</v>
      </c>
      <c r="S1415" s="18">
        <f t="shared" si="297"/>
        <v>61.75</v>
      </c>
      <c r="T1415" s="18">
        <f t="shared" si="298"/>
        <v>73.330000000000837</v>
      </c>
      <c r="U1415" s="18">
        <f t="shared" si="306"/>
        <v>78.084546643570818</v>
      </c>
      <c r="V1415" s="33">
        <f ca="1">AVERAGE(E1415:OFFSET(E1415,-V$5+1,0))</f>
        <v>8053.6164285714285</v>
      </c>
      <c r="W1415" s="33">
        <f t="shared" ca="1" si="299"/>
        <v>8170.7432485367844</v>
      </c>
      <c r="X1415" s="33">
        <f t="shared" ca="1" si="300"/>
        <v>7936.4896086060726</v>
      </c>
      <c r="Y1415" s="32">
        <f t="shared" ca="1" si="307"/>
        <v>0</v>
      </c>
    </row>
    <row r="1416" spans="1:25">
      <c r="A1416" s="5">
        <v>40448</v>
      </c>
      <c r="B1416" s="4">
        <v>8239.11</v>
      </c>
      <c r="C1416" s="4">
        <v>8240.86</v>
      </c>
      <c r="D1416" s="4">
        <v>8189.38</v>
      </c>
      <c r="E1416" s="4">
        <v>8191.54</v>
      </c>
      <c r="F1416" s="4">
        <v>4624400</v>
      </c>
      <c r="G1416" s="8">
        <f t="shared" si="309"/>
        <v>72.490000000000691</v>
      </c>
      <c r="H1416" s="8">
        <f t="shared" si="308"/>
        <v>-47.570000000000618</v>
      </c>
      <c r="I1416" s="20">
        <f t="shared" ca="1" si="301"/>
        <v>1</v>
      </c>
      <c r="J1416" s="8">
        <f t="shared" ca="1" si="302"/>
        <v>2</v>
      </c>
      <c r="K1416" s="8">
        <f t="shared" ca="1" si="303"/>
        <v>49.840000000000146</v>
      </c>
      <c r="L1416" s="8">
        <f t="shared" ca="1" si="304"/>
        <v>17344.350000000009</v>
      </c>
      <c r="M1416" s="9">
        <f ca="1">AVERAGE(E1416:OFFSET(E1416,-M$5+1,0))</f>
        <v>8158.9859999999999</v>
      </c>
      <c r="N1416" s="9">
        <f ca="1">AVERAGE(E1416:OFFSET(E1416,-N$5+1,0))</f>
        <v>7975.9465000000009</v>
      </c>
      <c r="O1416" s="9">
        <f t="shared" ca="1" si="305"/>
        <v>0</v>
      </c>
      <c r="P1416" s="14">
        <f t="shared" si="310"/>
        <v>0.30467997962693638</v>
      </c>
      <c r="Q1416" s="15">
        <f ca="1">STDEV(P1416:OFFSET(P1416,-$Q$5+1,0))</f>
        <v>0.87607130462984995</v>
      </c>
      <c r="R1416" s="15">
        <f ca="1">STDEV(P1416:OFFSET(P1416,-$R$5+1,0))</f>
        <v>0.88980988465845767</v>
      </c>
      <c r="S1416" s="18">
        <f t="shared" si="297"/>
        <v>51.480000000000473</v>
      </c>
      <c r="T1416" s="18">
        <f t="shared" si="298"/>
        <v>74.240000000000691</v>
      </c>
      <c r="U1416" s="18">
        <f t="shared" si="306"/>
        <v>77.571940424428135</v>
      </c>
      <c r="V1416" s="33">
        <f ca="1">AVERAGE(E1416:OFFSET(E1416,-V$5+1,0))</f>
        <v>8075.0871428571418</v>
      </c>
      <c r="W1416" s="33">
        <f t="shared" ca="1" si="299"/>
        <v>8191.4450534937841</v>
      </c>
      <c r="X1416" s="33">
        <f t="shared" ca="1" si="300"/>
        <v>7958.7292322204994</v>
      </c>
      <c r="Y1416" s="32">
        <f t="shared" ca="1" si="307"/>
        <v>1</v>
      </c>
    </row>
    <row r="1417" spans="1:25">
      <c r="A1417" s="5">
        <v>40449</v>
      </c>
      <c r="B1417" s="4">
        <v>8201.81</v>
      </c>
      <c r="C1417" s="4">
        <v>8211.42</v>
      </c>
      <c r="D1417" s="4">
        <v>8173.26</v>
      </c>
      <c r="E1417" s="4">
        <v>8189.44</v>
      </c>
      <c r="F1417" s="4">
        <v>3635400</v>
      </c>
      <c r="G1417" s="8">
        <f t="shared" si="309"/>
        <v>10.269999999999527</v>
      </c>
      <c r="H1417" s="8">
        <f t="shared" si="308"/>
        <v>-12.369999999999891</v>
      </c>
      <c r="I1417" s="20">
        <f t="shared" ca="1" si="301"/>
        <v>0</v>
      </c>
      <c r="J1417" s="8">
        <f t="shared" ca="1" si="302"/>
        <v>3</v>
      </c>
      <c r="K1417" s="8">
        <f t="shared" ca="1" si="303"/>
        <v>-16.570000000000618</v>
      </c>
      <c r="L1417" s="8">
        <f t="shared" ca="1" si="304"/>
        <v>17327.78000000001</v>
      </c>
      <c r="M1417" s="9">
        <f ca="1">AVERAGE(E1417:OFFSET(E1417,-M$5+1,0))</f>
        <v>8168.8</v>
      </c>
      <c r="N1417" s="9">
        <f ca="1">AVERAGE(E1417:OFFSET(E1417,-N$5+1,0))</f>
        <v>7998.3585000000003</v>
      </c>
      <c r="O1417" s="9">
        <f t="shared" ca="1" si="305"/>
        <v>0</v>
      </c>
      <c r="P1417" s="14">
        <f t="shared" si="310"/>
        <v>-2.5639491794807505E-2</v>
      </c>
      <c r="Q1417" s="15">
        <f ca="1">STDEV(P1417:OFFSET(P1417,-$Q$5+1,0))</f>
        <v>0.45073586021178114</v>
      </c>
      <c r="R1417" s="15">
        <f ca="1">STDEV(P1417:OFFSET(P1417,-$R$5+1,0))</f>
        <v>0.84118136519030984</v>
      </c>
      <c r="S1417" s="18">
        <f t="shared" si="297"/>
        <v>38.159999999999854</v>
      </c>
      <c r="T1417" s="18">
        <f t="shared" si="298"/>
        <v>38.159999999999854</v>
      </c>
      <c r="U1417" s="18">
        <f t="shared" si="306"/>
        <v>72.317015034504365</v>
      </c>
      <c r="V1417" s="33">
        <f ca="1">AVERAGE(E1417:OFFSET(E1417,-V$5+1,0))</f>
        <v>8096.8757142857139</v>
      </c>
      <c r="W1417" s="33">
        <f t="shared" ca="1" si="299"/>
        <v>8205.3512368374704</v>
      </c>
      <c r="X1417" s="33">
        <f t="shared" ca="1" si="300"/>
        <v>7988.4001917339574</v>
      </c>
      <c r="Y1417" s="32">
        <f t="shared" ca="1" si="307"/>
        <v>0</v>
      </c>
    </row>
    <row r="1418" spans="1:25">
      <c r="A1418" s="5">
        <v>40450</v>
      </c>
      <c r="B1418" s="4">
        <v>8241.65</v>
      </c>
      <c r="C1418" s="4">
        <v>8286.93</v>
      </c>
      <c r="D1418" s="4">
        <v>8218.75</v>
      </c>
      <c r="E1418" s="4">
        <v>8240.89</v>
      </c>
      <c r="F1418" s="4">
        <v>5151200</v>
      </c>
      <c r="G1418" s="8">
        <f t="shared" si="309"/>
        <v>52.210000000000036</v>
      </c>
      <c r="H1418" s="8">
        <f t="shared" si="308"/>
        <v>-0.76000000000021828</v>
      </c>
      <c r="I1418" s="20">
        <f t="shared" ca="1" si="301"/>
        <v>1</v>
      </c>
      <c r="J1418" s="8">
        <f t="shared" ca="1" si="302"/>
        <v>3</v>
      </c>
      <c r="K1418" s="8">
        <f t="shared" ca="1" si="303"/>
        <v>154.34999999999945</v>
      </c>
      <c r="L1418" s="8">
        <f t="shared" ca="1" si="304"/>
        <v>17482.130000000008</v>
      </c>
      <c r="M1418" s="9">
        <f ca="1">AVERAGE(E1418:OFFSET(E1418,-M$5+1,0))</f>
        <v>8179.6290000000008</v>
      </c>
      <c r="N1418" s="9">
        <f ca="1">AVERAGE(E1418:OFFSET(E1418,-N$5+1,0))</f>
        <v>8029.5890000000018</v>
      </c>
      <c r="O1418" s="9">
        <f t="shared" ca="1" si="305"/>
        <v>0</v>
      </c>
      <c r="P1418" s="14">
        <f t="shared" si="310"/>
        <v>0.62628283386375128</v>
      </c>
      <c r="Q1418" s="15">
        <f ca="1">STDEV(P1418:OFFSET(P1418,-$Q$5+1,0))</f>
        <v>0.46330505491376545</v>
      </c>
      <c r="R1418" s="15">
        <f ca="1">STDEV(P1418:OFFSET(P1418,-$R$5+1,0))</f>
        <v>0.8419416247278374</v>
      </c>
      <c r="S1418" s="18">
        <f t="shared" si="297"/>
        <v>68.180000000000291</v>
      </c>
      <c r="T1418" s="18">
        <f t="shared" si="298"/>
        <v>97.490000000000691</v>
      </c>
      <c r="U1418" s="18">
        <f t="shared" si="306"/>
        <v>75.673413029903884</v>
      </c>
      <c r="V1418" s="33">
        <f ca="1">AVERAGE(E1418:OFFSET(E1418,-V$5+1,0))</f>
        <v>8124.7028571428573</v>
      </c>
      <c r="W1418" s="33">
        <f t="shared" ca="1" si="299"/>
        <v>8238.2129766877133</v>
      </c>
      <c r="X1418" s="33">
        <f t="shared" ca="1" si="300"/>
        <v>8011.1927375980013</v>
      </c>
      <c r="Y1418" s="32">
        <f t="shared" ca="1" si="307"/>
        <v>1</v>
      </c>
    </row>
    <row r="1419" spans="1:25">
      <c r="A1419" s="5">
        <v>40451</v>
      </c>
      <c r="B1419" s="4">
        <v>8259.24</v>
      </c>
      <c r="C1419" s="4">
        <v>8267.5499999999993</v>
      </c>
      <c r="D1419" s="4">
        <v>8204.84</v>
      </c>
      <c r="E1419" s="4">
        <v>8237.7800000000007</v>
      </c>
      <c r="F1419" s="4">
        <v>4496600</v>
      </c>
      <c r="G1419" s="8">
        <f t="shared" si="309"/>
        <v>18.350000000000364</v>
      </c>
      <c r="H1419" s="8">
        <f t="shared" si="308"/>
        <v>-21.459999999999127</v>
      </c>
      <c r="I1419" s="20">
        <f t="shared" ca="1" si="301"/>
        <v>0</v>
      </c>
      <c r="J1419" s="8">
        <f t="shared" ca="1" si="302"/>
        <v>3</v>
      </c>
      <c r="K1419" s="8">
        <f t="shared" ca="1" si="303"/>
        <v>-9.3299999999962893</v>
      </c>
      <c r="L1419" s="8">
        <f t="shared" ca="1" si="304"/>
        <v>17472.80000000001</v>
      </c>
      <c r="M1419" s="9">
        <f ca="1">AVERAGE(E1419:OFFSET(E1419,-M$5+1,0))</f>
        <v>8187.0249999999996</v>
      </c>
      <c r="N1419" s="9">
        <f ca="1">AVERAGE(E1419:OFFSET(E1419,-N$5+1,0))</f>
        <v>8058.0655000000015</v>
      </c>
      <c r="O1419" s="9">
        <f t="shared" ca="1" si="305"/>
        <v>0</v>
      </c>
      <c r="P1419" s="14">
        <f t="shared" si="310"/>
        <v>-3.7745765124536867E-2</v>
      </c>
      <c r="Q1419" s="15">
        <f ca="1">STDEV(P1419:OFFSET(P1419,-$Q$5+1,0))</f>
        <v>0.45705796509254881</v>
      </c>
      <c r="R1419" s="15">
        <f ca="1">STDEV(P1419:OFFSET(P1419,-$R$5+1,0))</f>
        <v>0.84200073210667947</v>
      </c>
      <c r="S1419" s="18">
        <f t="shared" si="297"/>
        <v>62.709999999999127</v>
      </c>
      <c r="T1419" s="18">
        <f t="shared" si="298"/>
        <v>62.709999999999127</v>
      </c>
      <c r="U1419" s="18">
        <f t="shared" si="306"/>
        <v>73.944957959249919</v>
      </c>
      <c r="V1419" s="33">
        <f ca="1">AVERAGE(E1419:OFFSET(E1419,-V$5+1,0))</f>
        <v>8153.4342857142847</v>
      </c>
      <c r="W1419" s="33">
        <f t="shared" ca="1" si="299"/>
        <v>8264.3517226531603</v>
      </c>
      <c r="X1419" s="33">
        <f t="shared" ca="1" si="300"/>
        <v>8042.5168487754099</v>
      </c>
      <c r="Y1419" s="32">
        <f t="shared" ca="1" si="307"/>
        <v>0</v>
      </c>
    </row>
    <row r="1420" spans="1:25">
      <c r="A1420" s="5">
        <v>40452</v>
      </c>
      <c r="B1420" s="4">
        <v>8259.08</v>
      </c>
      <c r="C1420" s="4">
        <v>8260.2800000000007</v>
      </c>
      <c r="D1420" s="4">
        <v>8220.73</v>
      </c>
      <c r="E1420" s="4">
        <v>8244.18</v>
      </c>
      <c r="F1420" s="4">
        <v>3893000</v>
      </c>
      <c r="G1420" s="8">
        <f t="shared" si="309"/>
        <v>21.299999999999272</v>
      </c>
      <c r="H1420" s="8">
        <f t="shared" si="308"/>
        <v>-14.899999999999636</v>
      </c>
      <c r="I1420" s="20">
        <f t="shared" ca="1" si="301"/>
        <v>0</v>
      </c>
      <c r="J1420" s="8">
        <f t="shared" ca="1" si="302"/>
        <v>3</v>
      </c>
      <c r="K1420" s="8">
        <f t="shared" ca="1" si="303"/>
        <v>19.199999999998909</v>
      </c>
      <c r="L1420" s="8">
        <f t="shared" ca="1" si="304"/>
        <v>17492.000000000007</v>
      </c>
      <c r="M1420" s="9">
        <f ca="1">AVERAGE(E1420:OFFSET(E1420,-M$5+1,0))</f>
        <v>8201.4680000000026</v>
      </c>
      <c r="N1420" s="9">
        <f ca="1">AVERAGE(E1420:OFFSET(E1420,-N$5+1,0))</f>
        <v>8084.2334999999975</v>
      </c>
      <c r="O1420" s="9">
        <f t="shared" ca="1" si="305"/>
        <v>0</v>
      </c>
      <c r="P1420" s="14">
        <f t="shared" si="310"/>
        <v>7.7660670474421573E-2</v>
      </c>
      <c r="Q1420" s="15">
        <f ca="1">STDEV(P1420:OFFSET(P1420,-$Q$5+1,0))</f>
        <v>0.33900485529022462</v>
      </c>
      <c r="R1420" s="15">
        <f ca="1">STDEV(P1420:OFFSET(P1420,-$R$5+1,0))</f>
        <v>0.83757466332583064</v>
      </c>
      <c r="S1420" s="18">
        <f t="shared" si="297"/>
        <v>39.550000000001091</v>
      </c>
      <c r="T1420" s="18">
        <f t="shared" si="298"/>
        <v>39.550000000001091</v>
      </c>
      <c r="U1420" s="18">
        <f t="shared" si="306"/>
        <v>69.358963564683421</v>
      </c>
      <c r="V1420" s="33">
        <f ca="1">AVERAGE(E1420:OFFSET(E1420,-V$5+1,0))</f>
        <v>8178.7249999999995</v>
      </c>
      <c r="W1420" s="33">
        <f t="shared" ca="1" si="299"/>
        <v>8282.7634453470255</v>
      </c>
      <c r="X1420" s="33">
        <f t="shared" ca="1" si="300"/>
        <v>8074.6865546529743</v>
      </c>
      <c r="Y1420" s="32">
        <f t="shared" ca="1" si="307"/>
        <v>0</v>
      </c>
    </row>
    <row r="1421" spans="1:25">
      <c r="A1421" s="5">
        <v>40455</v>
      </c>
      <c r="B1421" s="4">
        <v>8261.16</v>
      </c>
      <c r="C1421" s="4">
        <v>8300.0400000000009</v>
      </c>
      <c r="D1421" s="4">
        <v>8240.67</v>
      </c>
      <c r="E1421" s="4">
        <v>8246.1</v>
      </c>
      <c r="F1421" s="4">
        <v>5026400</v>
      </c>
      <c r="G1421" s="8">
        <f t="shared" si="309"/>
        <v>16.979999999999563</v>
      </c>
      <c r="H1421" s="8">
        <f t="shared" si="308"/>
        <v>-15.059999999999491</v>
      </c>
      <c r="I1421" s="20">
        <f t="shared" ca="1" si="301"/>
        <v>0</v>
      </c>
      <c r="J1421" s="8">
        <f t="shared" ca="1" si="302"/>
        <v>3</v>
      </c>
      <c r="K1421" s="8">
        <f t="shared" ca="1" si="303"/>
        <v>5.7600000000002183</v>
      </c>
      <c r="L1421" s="8">
        <f t="shared" ca="1" si="304"/>
        <v>17497.760000000009</v>
      </c>
      <c r="M1421" s="9">
        <f ca="1">AVERAGE(E1421:OFFSET(E1421,-M$5+1,0))</f>
        <v>8210.2450000000008</v>
      </c>
      <c r="N1421" s="9">
        <f ca="1">AVERAGE(E1421:OFFSET(E1421,-N$5+1,0))</f>
        <v>8105.0280000000002</v>
      </c>
      <c r="O1421" s="9">
        <f t="shared" ca="1" si="305"/>
        <v>0</v>
      </c>
      <c r="P1421" s="14">
        <f t="shared" si="310"/>
        <v>2.3286445211070532E-2</v>
      </c>
      <c r="Q1421" s="15">
        <f ca="1">STDEV(P1421:OFFSET(P1421,-$Q$5+1,0))</f>
        <v>0.2815485715766492</v>
      </c>
      <c r="R1421" s="15">
        <f ca="1">STDEV(P1421:OFFSET(P1421,-$R$5+1,0))</f>
        <v>0.83675126990086879</v>
      </c>
      <c r="S1421" s="18">
        <f t="shared" si="297"/>
        <v>59.3700000000008</v>
      </c>
      <c r="T1421" s="18">
        <f t="shared" si="298"/>
        <v>59.3700000000008</v>
      </c>
      <c r="U1421" s="18">
        <f t="shared" si="306"/>
        <v>68.027101756059068</v>
      </c>
      <c r="V1421" s="33">
        <f ca="1">AVERAGE(E1421:OFFSET(E1421,-V$5+1,0))</f>
        <v>8189.7821428571433</v>
      </c>
      <c r="W1421" s="33">
        <f t="shared" ca="1" si="299"/>
        <v>8291.8227954912327</v>
      </c>
      <c r="X1421" s="33">
        <f t="shared" ca="1" si="300"/>
        <v>8087.7414902230548</v>
      </c>
      <c r="Y1421" s="32">
        <f t="shared" ca="1" si="307"/>
        <v>0</v>
      </c>
    </row>
    <row r="1422" spans="1:25">
      <c r="A1422" s="5">
        <v>40456</v>
      </c>
      <c r="B1422" s="4">
        <v>8217.86</v>
      </c>
      <c r="C1422" s="4">
        <v>8217.86</v>
      </c>
      <c r="D1422" s="4">
        <v>8155.3</v>
      </c>
      <c r="E1422" s="4">
        <v>8200.43</v>
      </c>
      <c r="F1422" s="4">
        <v>4383800</v>
      </c>
      <c r="G1422" s="8">
        <f t="shared" si="309"/>
        <v>-28.239999999999782</v>
      </c>
      <c r="H1422" s="8">
        <f t="shared" si="308"/>
        <v>-17.430000000000291</v>
      </c>
      <c r="I1422" s="20">
        <f t="shared" ca="1" si="301"/>
        <v>0</v>
      </c>
      <c r="J1422" s="8">
        <f t="shared" ca="1" si="302"/>
        <v>3</v>
      </c>
      <c r="K1422" s="8">
        <f t="shared" ca="1" si="303"/>
        <v>-137.01000000000022</v>
      </c>
      <c r="L1422" s="8">
        <f t="shared" ca="1" si="304"/>
        <v>17360.750000000007</v>
      </c>
      <c r="M1422" s="9">
        <f ca="1">AVERAGE(E1422:OFFSET(E1422,-M$5+1,0))</f>
        <v>8211.5920000000006</v>
      </c>
      <c r="N1422" s="9">
        <f ca="1">AVERAGE(E1422:OFFSET(E1422,-N$5+1,0))</f>
        <v>8120.5019999999986</v>
      </c>
      <c r="O1422" s="9">
        <f t="shared" ca="1" si="305"/>
        <v>0</v>
      </c>
      <c r="P1422" s="14">
        <f t="shared" si="310"/>
        <v>-0.55537693833789892</v>
      </c>
      <c r="Q1422" s="15">
        <f ca="1">STDEV(P1422:OFFSET(P1422,-$Q$5+1,0))</f>
        <v>0.33515421774474746</v>
      </c>
      <c r="R1422" s="15">
        <f ca="1">STDEV(P1422:OFFSET(P1422,-$R$5+1,0))</f>
        <v>0.83239321027076818</v>
      </c>
      <c r="S1422" s="18">
        <f t="shared" si="297"/>
        <v>62.5600000000004</v>
      </c>
      <c r="T1422" s="18">
        <f t="shared" si="298"/>
        <v>90.800000000000182</v>
      </c>
      <c r="U1422" s="18">
        <f t="shared" si="306"/>
        <v>71.063488188584557</v>
      </c>
      <c r="V1422" s="33">
        <f ca="1">AVERAGE(E1422:OFFSET(E1422,-V$5+1,0))</f>
        <v>8194.6271428571436</v>
      </c>
      <c r="W1422" s="33">
        <f t="shared" ca="1" si="299"/>
        <v>8301.2223751400197</v>
      </c>
      <c r="X1422" s="33">
        <f t="shared" ca="1" si="300"/>
        <v>8088.0319105742665</v>
      </c>
      <c r="Y1422" s="32">
        <f t="shared" ca="1" si="307"/>
        <v>0</v>
      </c>
    </row>
    <row r="1423" spans="1:25">
      <c r="A1423" s="5">
        <v>40457</v>
      </c>
      <c r="B1423" s="4">
        <v>8296.23</v>
      </c>
      <c r="C1423" s="4">
        <v>8301.39</v>
      </c>
      <c r="D1423" s="4">
        <v>8267.61</v>
      </c>
      <c r="E1423" s="4">
        <v>8284.0300000000007</v>
      </c>
      <c r="F1423" s="4">
        <v>5662000</v>
      </c>
      <c r="G1423" s="8">
        <f t="shared" si="309"/>
        <v>95.799999999999272</v>
      </c>
      <c r="H1423" s="8">
        <f t="shared" si="308"/>
        <v>-12.199999999998909</v>
      </c>
      <c r="I1423" s="20">
        <f t="shared" ca="1" si="301"/>
        <v>0</v>
      </c>
      <c r="J1423" s="8">
        <f t="shared" ca="1" si="302"/>
        <v>3</v>
      </c>
      <c r="K1423" s="8">
        <f t="shared" ca="1" si="303"/>
        <v>250.80000000000109</v>
      </c>
      <c r="L1423" s="8">
        <f t="shared" ca="1" si="304"/>
        <v>17611.55000000001</v>
      </c>
      <c r="M1423" s="9">
        <f ca="1">AVERAGE(E1423:OFFSET(E1423,-M$5+1,0))</f>
        <v>8220.3549999999996</v>
      </c>
      <c r="N1423" s="9">
        <f ca="1">AVERAGE(E1423:OFFSET(E1423,-N$5+1,0))</f>
        <v>8140.4834999999994</v>
      </c>
      <c r="O1423" s="9">
        <f t="shared" ca="1" si="305"/>
        <v>0</v>
      </c>
      <c r="P1423" s="14">
        <f t="shared" si="310"/>
        <v>1.0142973045978585</v>
      </c>
      <c r="Q1423" s="15">
        <f ca="1">STDEV(P1423:OFFSET(P1423,-$Q$5+1,0))</f>
        <v>0.46140888958396559</v>
      </c>
      <c r="R1423" s="15">
        <f ca="1">STDEV(P1423:OFFSET(P1423,-$R$5+1,0))</f>
        <v>0.83632216591579478</v>
      </c>
      <c r="S1423" s="18">
        <f t="shared" si="297"/>
        <v>33.779999999998836</v>
      </c>
      <c r="T1423" s="18">
        <f t="shared" si="298"/>
        <v>100.95999999999913</v>
      </c>
      <c r="U1423" s="18">
        <f t="shared" si="306"/>
        <v>75.049689763439844</v>
      </c>
      <c r="V1423" s="33">
        <f ca="1">AVERAGE(E1423:OFFSET(E1423,-V$5+1,0))</f>
        <v>8203.2135714285705</v>
      </c>
      <c r="W1423" s="33">
        <f t="shared" ca="1" si="299"/>
        <v>8315.7881060737309</v>
      </c>
      <c r="X1423" s="33">
        <f t="shared" ca="1" si="300"/>
        <v>8090.639036783411</v>
      </c>
      <c r="Y1423" s="32">
        <f t="shared" ca="1" si="307"/>
        <v>0</v>
      </c>
    </row>
    <row r="1424" spans="1:25">
      <c r="A1424" s="5">
        <v>40458</v>
      </c>
      <c r="B1424" s="4">
        <v>8304.91</v>
      </c>
      <c r="C1424" s="4">
        <v>8310.7999999999993</v>
      </c>
      <c r="D1424" s="4">
        <v>8270.31</v>
      </c>
      <c r="E1424" s="4">
        <v>8283.92</v>
      </c>
      <c r="F1424" s="4">
        <v>5161200</v>
      </c>
      <c r="G1424" s="8">
        <f t="shared" si="309"/>
        <v>20.8799999999992</v>
      </c>
      <c r="H1424" s="8">
        <f t="shared" si="308"/>
        <v>-20.989999999999782</v>
      </c>
      <c r="I1424" s="20">
        <f t="shared" ca="1" si="301"/>
        <v>0</v>
      </c>
      <c r="J1424" s="8">
        <f t="shared" ca="1" si="302"/>
        <v>3</v>
      </c>
      <c r="K1424" s="8">
        <f t="shared" ca="1" si="303"/>
        <v>-0.33000000000174623</v>
      </c>
      <c r="L1424" s="8">
        <f t="shared" ca="1" si="304"/>
        <v>17611.220000000008</v>
      </c>
      <c r="M1424" s="9">
        <f ca="1">AVERAGE(E1424:OFFSET(E1424,-M$5+1,0))</f>
        <v>8228.4929999999986</v>
      </c>
      <c r="N1424" s="9">
        <f ca="1">AVERAGE(E1424:OFFSET(E1424,-N$5+1,0))</f>
        <v>8162.1139999999996</v>
      </c>
      <c r="O1424" s="9">
        <f t="shared" ca="1" si="305"/>
        <v>0</v>
      </c>
      <c r="P1424" s="14">
        <f t="shared" si="310"/>
        <v>-1.3278649440847667E-3</v>
      </c>
      <c r="Q1424" s="15">
        <f ca="1">STDEV(P1424:OFFSET(P1424,-$Q$5+1,0))</f>
        <v>0.46261410510094436</v>
      </c>
      <c r="R1424" s="15">
        <f ca="1">STDEV(P1424:OFFSET(P1424,-$R$5+1,0))</f>
        <v>0.81644983643903091</v>
      </c>
      <c r="S1424" s="18">
        <f t="shared" si="297"/>
        <v>40.489999999999782</v>
      </c>
      <c r="T1424" s="18">
        <f t="shared" si="298"/>
        <v>40.489999999999782</v>
      </c>
      <c r="U1424" s="18">
        <f t="shared" si="306"/>
        <v>70.441731128314515</v>
      </c>
      <c r="V1424" s="33">
        <f ca="1">AVERAGE(E1424:OFFSET(E1424,-V$5+1,0))</f>
        <v>8216.368571428573</v>
      </c>
      <c r="W1424" s="33">
        <f t="shared" ca="1" si="299"/>
        <v>8322.0311681210442</v>
      </c>
      <c r="X1424" s="33">
        <f t="shared" ca="1" si="300"/>
        <v>8110.7059747361009</v>
      </c>
      <c r="Y1424" s="32">
        <f t="shared" ca="1" si="307"/>
        <v>0</v>
      </c>
    </row>
    <row r="1425" spans="1:25">
      <c r="A1425" s="5">
        <v>40459</v>
      </c>
      <c r="B1425" s="4">
        <v>8306.32</v>
      </c>
      <c r="C1425" s="4">
        <v>8309.91</v>
      </c>
      <c r="D1425" s="4">
        <v>8232.02</v>
      </c>
      <c r="E1425" s="4">
        <v>8244.19</v>
      </c>
      <c r="F1425" s="4">
        <v>4236200</v>
      </c>
      <c r="G1425" s="8">
        <f t="shared" si="309"/>
        <v>22.399999999999636</v>
      </c>
      <c r="H1425" s="8">
        <f t="shared" si="308"/>
        <v>-62.1299999999992</v>
      </c>
      <c r="I1425" s="20">
        <f t="shared" ca="1" si="301"/>
        <v>0</v>
      </c>
      <c r="J1425" s="8">
        <f t="shared" ca="1" si="302"/>
        <v>3</v>
      </c>
      <c r="K1425" s="8">
        <f t="shared" ca="1" si="303"/>
        <v>-119.18999999999869</v>
      </c>
      <c r="L1425" s="8">
        <f t="shared" ca="1" si="304"/>
        <v>17492.03000000001</v>
      </c>
      <c r="M1425" s="9">
        <f ca="1">AVERAGE(E1425:OFFSET(E1425,-M$5+1,0))</f>
        <v>8236.25</v>
      </c>
      <c r="N1425" s="9">
        <f ca="1">AVERAGE(E1425:OFFSET(E1425,-N$5+1,0))</f>
        <v>8182.5464999999995</v>
      </c>
      <c r="O1425" s="9">
        <f t="shared" ca="1" si="305"/>
        <v>0</v>
      </c>
      <c r="P1425" s="14">
        <f t="shared" si="310"/>
        <v>-0.48075764890930084</v>
      </c>
      <c r="Q1425" s="15">
        <f ca="1">STDEV(P1425:OFFSET(P1425,-$Q$5+1,0))</f>
        <v>0.46817819796482335</v>
      </c>
      <c r="R1425" s="15">
        <f ca="1">STDEV(P1425:OFFSET(P1425,-$R$5+1,0))</f>
        <v>0.80785675439123672</v>
      </c>
      <c r="S1425" s="18">
        <f t="shared" si="297"/>
        <v>77.889999999999418</v>
      </c>
      <c r="T1425" s="18">
        <f t="shared" si="298"/>
        <v>77.889999999999418</v>
      </c>
      <c r="U1425" s="18">
        <f t="shared" si="306"/>
        <v>71.434833644539168</v>
      </c>
      <c r="V1425" s="33">
        <f ca="1">AVERAGE(E1425:OFFSET(E1425,-V$5+1,0))</f>
        <v>8222.5014285714296</v>
      </c>
      <c r="W1425" s="33">
        <f t="shared" ca="1" si="299"/>
        <v>8329.6536790382379</v>
      </c>
      <c r="X1425" s="33">
        <f t="shared" ca="1" si="300"/>
        <v>8115.3491781046205</v>
      </c>
      <c r="Y1425" s="32">
        <f t="shared" ca="1" si="307"/>
        <v>0</v>
      </c>
    </row>
    <row r="1426" spans="1:25">
      <c r="A1426" s="5">
        <v>40462</v>
      </c>
      <c r="B1426" s="4">
        <v>8277.7800000000007</v>
      </c>
      <c r="C1426" s="4">
        <v>8277.7800000000007</v>
      </c>
      <c r="D1426" s="4">
        <v>8165.2</v>
      </c>
      <c r="E1426" s="4">
        <v>8176.76</v>
      </c>
      <c r="F1426" s="4">
        <v>3743400</v>
      </c>
      <c r="G1426" s="8">
        <f t="shared" si="309"/>
        <v>33.590000000000146</v>
      </c>
      <c r="H1426" s="8">
        <f t="shared" si="308"/>
        <v>-101.02000000000044</v>
      </c>
      <c r="I1426" s="20">
        <f t="shared" ca="1" si="301"/>
        <v>0</v>
      </c>
      <c r="J1426" s="8">
        <f t="shared" ca="1" si="302"/>
        <v>3</v>
      </c>
      <c r="K1426" s="8">
        <f t="shared" ca="1" si="303"/>
        <v>-202.29000000000087</v>
      </c>
      <c r="L1426" s="8">
        <f t="shared" ca="1" si="304"/>
        <v>17289.740000000009</v>
      </c>
      <c r="M1426" s="9">
        <f ca="1">AVERAGE(E1426:OFFSET(E1426,-M$5+1,0))</f>
        <v>8234.7720000000008</v>
      </c>
      <c r="N1426" s="9">
        <f ca="1">AVERAGE(E1426:OFFSET(E1426,-N$5+1,0))</f>
        <v>8196.8790000000008</v>
      </c>
      <c r="O1426" s="9">
        <f t="shared" ca="1" si="305"/>
        <v>0</v>
      </c>
      <c r="P1426" s="14">
        <f t="shared" si="310"/>
        <v>-0.82127256956484229</v>
      </c>
      <c r="Q1426" s="15">
        <f ca="1">STDEV(P1426:OFFSET(P1426,-$Q$5+1,0))</f>
        <v>0.54165233294027937</v>
      </c>
      <c r="R1426" s="15">
        <f ca="1">STDEV(P1426:OFFSET(P1426,-$R$5+1,0))</f>
        <v>0.81428186491228216</v>
      </c>
      <c r="S1426" s="18">
        <f t="shared" si="297"/>
        <v>112.58000000000084</v>
      </c>
      <c r="T1426" s="18">
        <f t="shared" si="298"/>
        <v>112.58000000000084</v>
      </c>
      <c r="U1426" s="18">
        <f t="shared" si="306"/>
        <v>76.920855825267395</v>
      </c>
      <c r="V1426" s="33">
        <f ca="1">AVERAGE(E1426:OFFSET(E1426,-V$5+1,0))</f>
        <v>8221.7728571428579</v>
      </c>
      <c r="W1426" s="33">
        <f t="shared" ca="1" si="299"/>
        <v>8337.1541408807589</v>
      </c>
      <c r="X1426" s="33">
        <f t="shared" ca="1" si="300"/>
        <v>8106.3915734049569</v>
      </c>
      <c r="Y1426" s="32">
        <f t="shared" ca="1" si="307"/>
        <v>0</v>
      </c>
    </row>
    <row r="1427" spans="1:25">
      <c r="A1427" s="5">
        <v>40463</v>
      </c>
      <c r="B1427" s="4">
        <v>8176.7</v>
      </c>
      <c r="C1427" s="4">
        <v>8180.39</v>
      </c>
      <c r="D1427" s="4">
        <v>8058.59</v>
      </c>
      <c r="E1427" s="4">
        <v>8090.22</v>
      </c>
      <c r="F1427" s="4">
        <v>4025600</v>
      </c>
      <c r="G1427" s="8">
        <f t="shared" si="309"/>
        <v>-6.0000000000400178E-2</v>
      </c>
      <c r="H1427" s="8">
        <f t="shared" si="308"/>
        <v>-86.479999999999563</v>
      </c>
      <c r="I1427" s="20">
        <f t="shared" ca="1" si="301"/>
        <v>0</v>
      </c>
      <c r="J1427" s="8">
        <f t="shared" ca="1" si="302"/>
        <v>3</v>
      </c>
      <c r="K1427" s="8">
        <f t="shared" ca="1" si="303"/>
        <v>-259.61999999999989</v>
      </c>
      <c r="L1427" s="8">
        <f t="shared" ca="1" si="304"/>
        <v>17030.12000000001</v>
      </c>
      <c r="M1427" s="9">
        <f ca="1">AVERAGE(E1427:OFFSET(E1427,-M$5+1,0))</f>
        <v>8224.8499999999985</v>
      </c>
      <c r="N1427" s="9">
        <f ca="1">AVERAGE(E1427:OFFSET(E1427,-N$5+1,0))</f>
        <v>8196.8250000000007</v>
      </c>
      <c r="O1427" s="9">
        <f t="shared" ca="1" si="305"/>
        <v>0</v>
      </c>
      <c r="P1427" s="14">
        <f t="shared" si="310"/>
        <v>-1.0640059364118994</v>
      </c>
      <c r="Q1427" s="15">
        <f ca="1">STDEV(P1427:OFFSET(P1427,-$Q$5+1,0))</f>
        <v>0.63478882424752392</v>
      </c>
      <c r="R1427" s="15">
        <f ca="1">STDEV(P1427:OFFSET(P1427,-$R$5+1,0))</f>
        <v>0.82937607225558152</v>
      </c>
      <c r="S1427" s="18">
        <f t="shared" si="297"/>
        <v>121.80000000000018</v>
      </c>
      <c r="T1427" s="18">
        <f t="shared" si="298"/>
        <v>121.80000000000018</v>
      </c>
      <c r="U1427" s="18">
        <f t="shared" si="306"/>
        <v>82.904741715231765</v>
      </c>
      <c r="V1427" s="33">
        <f ca="1">AVERAGE(E1427:OFFSET(E1427,-V$5+1,0))</f>
        <v>8214.1885714285709</v>
      </c>
      <c r="W1427" s="33">
        <f t="shared" ca="1" si="299"/>
        <v>8338.5456840014194</v>
      </c>
      <c r="X1427" s="33">
        <f t="shared" ca="1" si="300"/>
        <v>8089.8314588557232</v>
      </c>
      <c r="Y1427" s="32">
        <f t="shared" ca="1" si="307"/>
        <v>0</v>
      </c>
    </row>
    <row r="1428" spans="1:25">
      <c r="A1428" s="5">
        <v>40464</v>
      </c>
      <c r="B1428" s="4">
        <v>8116.69</v>
      </c>
      <c r="C1428" s="4">
        <v>8143.19</v>
      </c>
      <c r="D1428" s="4">
        <v>8067.87</v>
      </c>
      <c r="E1428" s="4">
        <v>8106.66</v>
      </c>
      <c r="F1428" s="4">
        <v>3692600</v>
      </c>
      <c r="G1428" s="8">
        <f t="shared" si="309"/>
        <v>26.469999999999345</v>
      </c>
      <c r="H1428" s="8">
        <f t="shared" si="308"/>
        <v>-10.029999999999745</v>
      </c>
      <c r="I1428" s="20">
        <f t="shared" ca="1" si="301"/>
        <v>0</v>
      </c>
      <c r="J1428" s="8">
        <f t="shared" ca="1" si="302"/>
        <v>3</v>
      </c>
      <c r="K1428" s="8">
        <f t="shared" ca="1" si="303"/>
        <v>49.319999999998799</v>
      </c>
      <c r="L1428" s="8">
        <f t="shared" ca="1" si="304"/>
        <v>17079.44000000001</v>
      </c>
      <c r="M1428" s="9">
        <f ca="1">AVERAGE(E1428:OFFSET(E1428,-M$5+1,0))</f>
        <v>8211.4269999999997</v>
      </c>
      <c r="N1428" s="9">
        <f ca="1">AVERAGE(E1428:OFFSET(E1428,-N$5+1,0))</f>
        <v>8195.5280000000021</v>
      </c>
      <c r="O1428" s="9">
        <f t="shared" ca="1" si="305"/>
        <v>0</v>
      </c>
      <c r="P1428" s="14">
        <f t="shared" si="310"/>
        <v>0.20300212936997952</v>
      </c>
      <c r="Q1428" s="15">
        <f ca="1">STDEV(P1428:OFFSET(P1428,-$Q$5+1,0))</f>
        <v>0.59202874170026532</v>
      </c>
      <c r="R1428" s="15">
        <f ca="1">STDEV(P1428:OFFSET(P1428,-$R$5+1,0))</f>
        <v>0.82924392493624943</v>
      </c>
      <c r="S1428" s="18">
        <f t="shared" si="297"/>
        <v>75.319999999999709</v>
      </c>
      <c r="T1428" s="18">
        <f t="shared" si="298"/>
        <v>75.319999999999709</v>
      </c>
      <c r="U1428" s="18">
        <f t="shared" si="306"/>
        <v>81.893442819867502</v>
      </c>
      <c r="V1428" s="33">
        <f ca="1">AVERAGE(E1428:OFFSET(E1428,-V$5+1,0))</f>
        <v>8207.34</v>
      </c>
      <c r="W1428" s="33">
        <f t="shared" ca="1" si="299"/>
        <v>8330.1801642298014</v>
      </c>
      <c r="X1428" s="33">
        <f t="shared" ca="1" si="300"/>
        <v>8084.4998357701988</v>
      </c>
      <c r="Y1428" s="32">
        <f t="shared" ca="1" si="307"/>
        <v>0</v>
      </c>
    </row>
    <row r="1429" spans="1:25">
      <c r="A1429" s="5">
        <v>40465</v>
      </c>
      <c r="B1429" s="4">
        <v>8181.51</v>
      </c>
      <c r="C1429" s="4">
        <v>8252.2000000000007</v>
      </c>
      <c r="D1429" s="4">
        <v>8178.34</v>
      </c>
      <c r="E1429" s="4">
        <v>8215.4500000000007</v>
      </c>
      <c r="F1429" s="4">
        <v>4537400</v>
      </c>
      <c r="G1429" s="8">
        <f t="shared" si="309"/>
        <v>74.850000000000364</v>
      </c>
      <c r="H1429" s="8">
        <f t="shared" si="308"/>
        <v>33.940000000000509</v>
      </c>
      <c r="I1429" s="20">
        <f t="shared" ca="1" si="301"/>
        <v>0</v>
      </c>
      <c r="J1429" s="8">
        <f t="shared" ca="1" si="302"/>
        <v>3</v>
      </c>
      <c r="K1429" s="8">
        <f t="shared" ca="1" si="303"/>
        <v>326.37000000000262</v>
      </c>
      <c r="L1429" s="8">
        <f t="shared" ca="1" si="304"/>
        <v>17405.810000000012</v>
      </c>
      <c r="M1429" s="9">
        <f ca="1">AVERAGE(E1429:OFFSET(E1429,-M$5+1,0))</f>
        <v>8209.1939999999995</v>
      </c>
      <c r="N1429" s="9">
        <f ca="1">AVERAGE(E1429:OFFSET(E1429,-N$5+1,0))</f>
        <v>8198.1095000000005</v>
      </c>
      <c r="O1429" s="9">
        <f t="shared" ca="1" si="305"/>
        <v>0</v>
      </c>
      <c r="P1429" s="14">
        <f t="shared" si="310"/>
        <v>1.3330581773287449</v>
      </c>
      <c r="Q1429" s="15">
        <f ca="1">STDEV(P1429:OFFSET(P1429,-$Q$5+1,0))</f>
        <v>0.75956340942108258</v>
      </c>
      <c r="R1429" s="15">
        <f ca="1">STDEV(P1429:OFFSET(P1429,-$R$5+1,0))</f>
        <v>0.85306917321270781</v>
      </c>
      <c r="S1429" s="18">
        <f t="shared" si="297"/>
        <v>73.860000000000582</v>
      </c>
      <c r="T1429" s="18">
        <f t="shared" si="298"/>
        <v>145.54000000000087</v>
      </c>
      <c r="U1429" s="18">
        <f t="shared" si="306"/>
        <v>90.379650443885282</v>
      </c>
      <c r="V1429" s="33">
        <f ca="1">AVERAGE(E1429:OFFSET(E1429,-V$5+1,0))</f>
        <v>8210.8278571428564</v>
      </c>
      <c r="W1429" s="33">
        <f t="shared" ca="1" si="299"/>
        <v>8346.397332808685</v>
      </c>
      <c r="X1429" s="33">
        <f t="shared" ca="1" si="300"/>
        <v>8075.2583814770287</v>
      </c>
      <c r="Y1429" s="32">
        <f t="shared" ca="1" si="307"/>
        <v>0</v>
      </c>
    </row>
    <row r="1430" spans="1:25">
      <c r="A1430" s="5">
        <v>40466</v>
      </c>
      <c r="B1430" s="4">
        <v>8216.8700000000008</v>
      </c>
      <c r="C1430" s="4">
        <v>8242.77</v>
      </c>
      <c r="D1430" s="4">
        <v>8184.29</v>
      </c>
      <c r="E1430" s="4">
        <v>8205.2999999999993</v>
      </c>
      <c r="F1430" s="4">
        <v>4791800</v>
      </c>
      <c r="G1430" s="8">
        <f t="shared" si="309"/>
        <v>1.4200000000000728</v>
      </c>
      <c r="H1430" s="8">
        <f t="shared" si="308"/>
        <v>-11.570000000001528</v>
      </c>
      <c r="I1430" s="20">
        <f t="shared" ca="1" si="301"/>
        <v>0</v>
      </c>
      <c r="J1430" s="8">
        <f t="shared" ca="1" si="302"/>
        <v>3</v>
      </c>
      <c r="K1430" s="8">
        <f t="shared" ca="1" si="303"/>
        <v>-30.450000000004366</v>
      </c>
      <c r="L1430" s="8">
        <f t="shared" ca="1" si="304"/>
        <v>17375.360000000008</v>
      </c>
      <c r="M1430" s="9">
        <f ca="1">AVERAGE(E1430:OFFSET(E1430,-M$5+1,0))</f>
        <v>8205.3060000000005</v>
      </c>
      <c r="N1430" s="9">
        <f ca="1">AVERAGE(E1430:OFFSET(E1430,-N$5+1,0))</f>
        <v>8203.3870000000006</v>
      </c>
      <c r="O1430" s="9">
        <f t="shared" ca="1" si="305"/>
        <v>0</v>
      </c>
      <c r="P1430" s="14">
        <f t="shared" si="310"/>
        <v>-0.12362408894455192</v>
      </c>
      <c r="Q1430" s="15">
        <f ca="1">STDEV(P1430:OFFSET(P1430,-$Q$5+1,0))</f>
        <v>0.7591444117685997</v>
      </c>
      <c r="R1430" s="15">
        <f ca="1">STDEV(P1430:OFFSET(P1430,-$R$5+1,0))</f>
        <v>0.85373084911824015</v>
      </c>
      <c r="S1430" s="18">
        <f t="shared" si="297"/>
        <v>58.480000000000473</v>
      </c>
      <c r="T1430" s="18">
        <f t="shared" si="298"/>
        <v>58.480000000000473</v>
      </c>
      <c r="U1430" s="18">
        <f t="shared" si="306"/>
        <v>86.126363718033986</v>
      </c>
      <c r="V1430" s="33">
        <f ca="1">AVERAGE(E1430:OFFSET(E1430,-V$5+1,0))</f>
        <v>8211.8107142857152</v>
      </c>
      <c r="W1430" s="33">
        <f t="shared" ca="1" si="299"/>
        <v>8341.0002598627671</v>
      </c>
      <c r="X1430" s="33">
        <f t="shared" ca="1" si="300"/>
        <v>8082.6211687086643</v>
      </c>
      <c r="Y1430" s="32">
        <f t="shared" ca="1" si="307"/>
        <v>0</v>
      </c>
    </row>
    <row r="1431" spans="1:25">
      <c r="A1431" s="5">
        <v>40469</v>
      </c>
      <c r="B1431" s="4">
        <v>8209.39</v>
      </c>
      <c r="C1431" s="4">
        <v>8209.39</v>
      </c>
      <c r="D1431" s="4">
        <v>8057.12</v>
      </c>
      <c r="E1431" s="4">
        <v>8060.54</v>
      </c>
      <c r="F1431" s="4">
        <v>4396000</v>
      </c>
      <c r="G1431" s="8">
        <f t="shared" si="309"/>
        <v>4.0900000000001455</v>
      </c>
      <c r="H1431" s="8">
        <f t="shared" si="308"/>
        <v>-148.84999999999945</v>
      </c>
      <c r="I1431" s="20">
        <f t="shared" ca="1" si="301"/>
        <v>0</v>
      </c>
      <c r="J1431" s="8">
        <f t="shared" ca="1" si="302"/>
        <v>3</v>
      </c>
      <c r="K1431" s="8">
        <f t="shared" ca="1" si="303"/>
        <v>-434.27999999999793</v>
      </c>
      <c r="L1431" s="8">
        <f t="shared" ca="1" si="304"/>
        <v>16941.080000000009</v>
      </c>
      <c r="M1431" s="9">
        <f ca="1">AVERAGE(E1431:OFFSET(E1431,-M$5+1,0))</f>
        <v>8186.75</v>
      </c>
      <c r="N1431" s="9">
        <f ca="1">AVERAGE(E1431:OFFSET(E1431,-N$5+1,0))</f>
        <v>8198.4975000000013</v>
      </c>
      <c r="O1431" s="9">
        <f t="shared" ca="1" si="305"/>
        <v>-1</v>
      </c>
      <c r="P1431" s="14">
        <f t="shared" si="310"/>
        <v>-1.7799735152025513</v>
      </c>
      <c r="Q1431" s="15">
        <f ca="1">STDEV(P1431:OFFSET(P1431,-$Q$5+1,0))</f>
        <v>0.93445190008328294</v>
      </c>
      <c r="R1431" s="15">
        <f ca="1">STDEV(P1431:OFFSET(P1431,-$R$5+1,0))</f>
        <v>0.90323192495902305</v>
      </c>
      <c r="S1431" s="18">
        <f t="shared" si="297"/>
        <v>152.26999999999953</v>
      </c>
      <c r="T1431" s="18">
        <f t="shared" si="298"/>
        <v>152.26999999999953</v>
      </c>
      <c r="U1431" s="18">
        <f t="shared" si="306"/>
        <v>94.945515222296052</v>
      </c>
      <c r="V1431" s="33">
        <f ca="1">AVERAGE(E1431:OFFSET(E1431,-V$5+1,0))</f>
        <v>8202.6035714285699</v>
      </c>
      <c r="W1431" s="33">
        <f t="shared" ca="1" si="299"/>
        <v>8345.0218442620135</v>
      </c>
      <c r="X1431" s="33">
        <f t="shared" ca="1" si="300"/>
        <v>8060.1852985951255</v>
      </c>
      <c r="Y1431" s="32">
        <f t="shared" ca="1" si="307"/>
        <v>0</v>
      </c>
    </row>
    <row r="1432" spans="1:25">
      <c r="A1432" s="5">
        <v>40470</v>
      </c>
      <c r="B1432" s="4">
        <v>8044.9</v>
      </c>
      <c r="C1432" s="4">
        <v>8074.68</v>
      </c>
      <c r="D1432" s="4">
        <v>8018.31</v>
      </c>
      <c r="E1432" s="4">
        <v>8046.23</v>
      </c>
      <c r="F1432" s="4">
        <v>3176000</v>
      </c>
      <c r="G1432" s="8">
        <f t="shared" si="309"/>
        <v>-15.640000000000327</v>
      </c>
      <c r="H1432" s="8">
        <f t="shared" si="308"/>
        <v>1.3299999999999272</v>
      </c>
      <c r="I1432" s="20">
        <f t="shared" ca="1" si="301"/>
        <v>-1</v>
      </c>
      <c r="J1432" s="8">
        <f t="shared" ca="1" si="302"/>
        <v>3</v>
      </c>
      <c r="K1432" s="8">
        <f t="shared" ca="1" si="303"/>
        <v>-42.930000000001201</v>
      </c>
      <c r="L1432" s="8">
        <f t="shared" ca="1" si="304"/>
        <v>16898.150000000009</v>
      </c>
      <c r="M1432" s="9">
        <f ca="1">AVERAGE(E1432:OFFSET(E1432,-M$5+1,0))</f>
        <v>8171.329999999999</v>
      </c>
      <c r="N1432" s="9">
        <f ca="1">AVERAGE(E1432:OFFSET(E1432,-N$5+1,0))</f>
        <v>8191.4610000000011</v>
      </c>
      <c r="O1432" s="9">
        <f t="shared" ca="1" si="305"/>
        <v>0</v>
      </c>
      <c r="P1432" s="14">
        <f t="shared" si="310"/>
        <v>-0.17768930412663109</v>
      </c>
      <c r="Q1432" s="15">
        <f ca="1">STDEV(P1432:OFFSET(P1432,-$Q$5+1,0))</f>
        <v>0.92733730556081662</v>
      </c>
      <c r="R1432" s="15">
        <f ca="1">STDEV(P1432:OFFSET(P1432,-$R$5+1,0))</f>
        <v>0.89907623387420765</v>
      </c>
      <c r="S1432" s="18">
        <f t="shared" si="297"/>
        <v>56.369999999999891</v>
      </c>
      <c r="T1432" s="18">
        <f t="shared" si="298"/>
        <v>56.369999999999891</v>
      </c>
      <c r="U1432" s="18">
        <f t="shared" si="306"/>
        <v>89.802113192656577</v>
      </c>
      <c r="V1432" s="33">
        <f ca="1">AVERAGE(E1432:OFFSET(E1432,-V$5+1,0))</f>
        <v>8188.699285714285</v>
      </c>
      <c r="W1432" s="33">
        <f t="shared" ca="1" si="299"/>
        <v>8323.4024555032702</v>
      </c>
      <c r="X1432" s="33">
        <f t="shared" ca="1" si="300"/>
        <v>8053.9961159252998</v>
      </c>
      <c r="Y1432" s="32">
        <f t="shared" ca="1" si="307"/>
        <v>-1</v>
      </c>
    </row>
    <row r="1433" spans="1:25">
      <c r="A1433" s="5">
        <v>40471</v>
      </c>
      <c r="B1433" s="4">
        <v>7993.43</v>
      </c>
      <c r="C1433" s="4">
        <v>8131.19</v>
      </c>
      <c r="D1433" s="4">
        <v>7992.81</v>
      </c>
      <c r="E1433" s="4">
        <v>8124.62</v>
      </c>
      <c r="F1433" s="4">
        <v>3668000</v>
      </c>
      <c r="G1433" s="8">
        <f t="shared" si="309"/>
        <v>-52.799999999999272</v>
      </c>
      <c r="H1433" s="8">
        <f t="shared" si="308"/>
        <v>131.1899999999996</v>
      </c>
      <c r="I1433" s="20">
        <f t="shared" ca="1" si="301"/>
        <v>0</v>
      </c>
      <c r="J1433" s="8">
        <f t="shared" ca="1" si="302"/>
        <v>2</v>
      </c>
      <c r="K1433" s="8">
        <f t="shared" ca="1" si="303"/>
        <v>103.98000000000138</v>
      </c>
      <c r="L1433" s="8">
        <f t="shared" ca="1" si="304"/>
        <v>17002.130000000012</v>
      </c>
      <c r="M1433" s="9">
        <f ca="1">AVERAGE(E1433:OFFSET(E1433,-M$5+1,0))</f>
        <v>8155.3890000000001</v>
      </c>
      <c r="N1433" s="9">
        <f ca="1">AVERAGE(E1433:OFFSET(E1433,-N$5+1,0))</f>
        <v>8187.8720000000003</v>
      </c>
      <c r="O1433" s="9">
        <f t="shared" ca="1" si="305"/>
        <v>0</v>
      </c>
      <c r="P1433" s="14">
        <f t="shared" si="310"/>
        <v>0.96952991396698274</v>
      </c>
      <c r="Q1433" s="15">
        <f ca="1">STDEV(P1433:OFFSET(P1433,-$Q$5+1,0))</f>
        <v>0.9209646390189663</v>
      </c>
      <c r="R1433" s="15">
        <f ca="1">STDEV(P1433:OFFSET(P1433,-$R$5+1,0))</f>
        <v>0.90803573787721659</v>
      </c>
      <c r="S1433" s="18">
        <f t="shared" si="297"/>
        <v>138.3799999999992</v>
      </c>
      <c r="T1433" s="18">
        <f t="shared" si="298"/>
        <v>138.3799999999992</v>
      </c>
      <c r="U1433" s="18">
        <f t="shared" si="306"/>
        <v>96.279164766968933</v>
      </c>
      <c r="V1433" s="33">
        <f ca="1">AVERAGE(E1433:OFFSET(E1433,-V$5+1,0))</f>
        <v>8180.6164285714276</v>
      </c>
      <c r="W1433" s="33">
        <f t="shared" ca="1" si="299"/>
        <v>8325.0351757218814</v>
      </c>
      <c r="X1433" s="33">
        <f t="shared" ca="1" si="300"/>
        <v>8036.1976814209738</v>
      </c>
      <c r="Y1433" s="32">
        <f t="shared" ca="1" si="307"/>
        <v>0</v>
      </c>
    </row>
    <row r="1434" spans="1:25">
      <c r="A1434" s="5">
        <v>40472</v>
      </c>
      <c r="B1434" s="4">
        <v>8135.57</v>
      </c>
      <c r="C1434" s="4">
        <v>8171.49</v>
      </c>
      <c r="D1434" s="4">
        <v>8109.79</v>
      </c>
      <c r="E1434" s="4">
        <v>8131.23</v>
      </c>
      <c r="F1434" s="4">
        <v>4223400</v>
      </c>
      <c r="G1434" s="8">
        <f t="shared" si="309"/>
        <v>10.949999999999818</v>
      </c>
      <c r="H1434" s="8">
        <f t="shared" si="308"/>
        <v>-4.3400000000001455</v>
      </c>
      <c r="I1434" s="20">
        <f t="shared" ca="1" si="301"/>
        <v>0</v>
      </c>
      <c r="J1434" s="8">
        <f t="shared" ca="1" si="302"/>
        <v>2</v>
      </c>
      <c r="K1434" s="8">
        <f t="shared" ca="1" si="303"/>
        <v>13.219999999999345</v>
      </c>
      <c r="L1434" s="8">
        <f t="shared" ca="1" si="304"/>
        <v>17015.350000000013</v>
      </c>
      <c r="M1434" s="9">
        <f ca="1">AVERAGE(E1434:OFFSET(E1434,-M$5+1,0))</f>
        <v>8140.12</v>
      </c>
      <c r="N1434" s="9">
        <f ca="1">AVERAGE(E1434:OFFSET(E1434,-N$5+1,0))</f>
        <v>8184.3065000000006</v>
      </c>
      <c r="O1434" s="9">
        <f t="shared" ca="1" si="305"/>
        <v>0</v>
      </c>
      <c r="P1434" s="14">
        <f t="shared" si="310"/>
        <v>8.1324573791008117E-2</v>
      </c>
      <c r="Q1434" s="15">
        <f ca="1">STDEV(P1434:OFFSET(P1434,-$Q$5+1,0))</f>
        <v>0.9232569955591472</v>
      </c>
      <c r="R1434" s="15">
        <f ca="1">STDEV(P1434:OFFSET(P1434,-$R$5+1,0))</f>
        <v>0.79945469927280544</v>
      </c>
      <c r="S1434" s="18">
        <f t="shared" si="297"/>
        <v>61.699999999999818</v>
      </c>
      <c r="T1434" s="18">
        <f t="shared" si="298"/>
        <v>61.699999999999818</v>
      </c>
      <c r="U1434" s="18">
        <f t="shared" si="306"/>
        <v>91.668609464706392</v>
      </c>
      <c r="V1434" s="33">
        <f ca="1">AVERAGE(E1434:OFFSET(E1434,-V$5+1,0))</f>
        <v>8172.5485714285696</v>
      </c>
      <c r="W1434" s="33">
        <f t="shared" ca="1" si="299"/>
        <v>8310.0514856256286</v>
      </c>
      <c r="X1434" s="33">
        <f t="shared" ca="1" si="300"/>
        <v>8035.0456572315097</v>
      </c>
      <c r="Y1434" s="32">
        <f t="shared" ca="1" si="307"/>
        <v>0</v>
      </c>
    </row>
    <row r="1435" spans="1:25">
      <c r="A1435" s="5">
        <v>40473</v>
      </c>
      <c r="B1435" s="4">
        <v>8169.51</v>
      </c>
      <c r="C1435" s="4">
        <v>8174.03</v>
      </c>
      <c r="D1435" s="4">
        <v>8148.26</v>
      </c>
      <c r="E1435" s="4">
        <v>8168.06</v>
      </c>
      <c r="F1435" s="4">
        <v>3782000</v>
      </c>
      <c r="G1435" s="8">
        <f t="shared" si="309"/>
        <v>38.280000000000655</v>
      </c>
      <c r="H1435" s="8">
        <f t="shared" si="308"/>
        <v>-1.4499999999998181</v>
      </c>
      <c r="I1435" s="20">
        <f t="shared" ca="1" si="301"/>
        <v>0</v>
      </c>
      <c r="J1435" s="8">
        <f t="shared" ca="1" si="302"/>
        <v>2</v>
      </c>
      <c r="K1435" s="8">
        <f t="shared" ca="1" si="303"/>
        <v>73.660000000001673</v>
      </c>
      <c r="L1435" s="8">
        <f t="shared" ca="1" si="304"/>
        <v>17089.010000000017</v>
      </c>
      <c r="M1435" s="9">
        <f ca="1">AVERAGE(E1435:OFFSET(E1435,-M$5+1,0))</f>
        <v>8132.5070000000005</v>
      </c>
      <c r="N1435" s="9">
        <f ca="1">AVERAGE(E1435:OFFSET(E1435,-N$5+1,0))</f>
        <v>8184.3785000000007</v>
      </c>
      <c r="O1435" s="9">
        <f t="shared" ca="1" si="305"/>
        <v>0</v>
      </c>
      <c r="P1435" s="14">
        <f t="shared" si="310"/>
        <v>0.45192229456281735</v>
      </c>
      <c r="Q1435" s="15">
        <f ca="1">STDEV(P1435:OFFSET(P1435,-$Q$5+1,0))</f>
        <v>0.9371814166875615</v>
      </c>
      <c r="R1435" s="15">
        <f ca="1">STDEV(P1435:OFFSET(P1435,-$R$5+1,0))</f>
        <v>0.79198399355494253</v>
      </c>
      <c r="S1435" s="18">
        <f t="shared" si="297"/>
        <v>25.769999999999527</v>
      </c>
      <c r="T1435" s="18">
        <f t="shared" si="298"/>
        <v>42.800000000000182</v>
      </c>
      <c r="U1435" s="18">
        <f t="shared" si="306"/>
        <v>85.152794869412233</v>
      </c>
      <c r="V1435" s="33">
        <f ca="1">AVERAGE(E1435:OFFSET(E1435,-V$5+1,0))</f>
        <v>8166.9742857142846</v>
      </c>
      <c r="W1435" s="33">
        <f t="shared" ca="1" si="299"/>
        <v>8294.7034780184022</v>
      </c>
      <c r="X1435" s="33">
        <f t="shared" ca="1" si="300"/>
        <v>8039.2450934101662</v>
      </c>
      <c r="Y1435" s="32">
        <f t="shared" ca="1" si="307"/>
        <v>0</v>
      </c>
    </row>
    <row r="1436" spans="1:25">
      <c r="A1436" s="5">
        <v>40476</v>
      </c>
      <c r="B1436" s="4">
        <v>8204.01</v>
      </c>
      <c r="C1436" s="4">
        <v>8307.59</v>
      </c>
      <c r="D1436" s="4">
        <v>8199.49</v>
      </c>
      <c r="E1436" s="4">
        <v>8306.98</v>
      </c>
      <c r="F1436" s="4">
        <v>3311400</v>
      </c>
      <c r="G1436" s="8">
        <f t="shared" si="309"/>
        <v>35.949999999999818</v>
      </c>
      <c r="H1436" s="8">
        <f t="shared" si="308"/>
        <v>102.96999999999935</v>
      </c>
      <c r="I1436" s="20">
        <f t="shared" ca="1" si="301"/>
        <v>0</v>
      </c>
      <c r="J1436" s="8">
        <f t="shared" ca="1" si="302"/>
        <v>2</v>
      </c>
      <c r="K1436" s="8">
        <f t="shared" ca="1" si="303"/>
        <v>277.83999999999833</v>
      </c>
      <c r="L1436" s="8">
        <f t="shared" ca="1" si="304"/>
        <v>17366.850000000013</v>
      </c>
      <c r="M1436" s="9">
        <f ca="1">AVERAGE(E1436:OFFSET(E1436,-M$5+1,0))</f>
        <v>8145.5289999999995</v>
      </c>
      <c r="N1436" s="9">
        <f ca="1">AVERAGE(E1436:OFFSET(E1436,-N$5+1,0))</f>
        <v>8190.1505000000006</v>
      </c>
      <c r="O1436" s="9">
        <f t="shared" ca="1" si="305"/>
        <v>0</v>
      </c>
      <c r="P1436" s="14">
        <f t="shared" si="310"/>
        <v>1.6864698671138885</v>
      </c>
      <c r="Q1436" s="15">
        <f ca="1">STDEV(P1436:OFFSET(P1436,-$Q$5+1,0))</f>
        <v>1.0493858825538662</v>
      </c>
      <c r="R1436" s="15">
        <f ca="1">STDEV(P1436:OFFSET(P1436,-$R$5+1,0))</f>
        <v>0.82745831945947923</v>
      </c>
      <c r="S1436" s="18">
        <f t="shared" si="297"/>
        <v>108.10000000000036</v>
      </c>
      <c r="T1436" s="18">
        <f t="shared" si="298"/>
        <v>139.52999999999975</v>
      </c>
      <c r="U1436" s="18">
        <f t="shared" si="306"/>
        <v>92.403088886823909</v>
      </c>
      <c r="V1436" s="33">
        <f ca="1">AVERAGE(E1436:OFFSET(E1436,-V$5+1,0))</f>
        <v>8174.5849999999982</v>
      </c>
      <c r="W1436" s="33">
        <f t="shared" ca="1" si="299"/>
        <v>8313.1896333302338</v>
      </c>
      <c r="X1436" s="33">
        <f t="shared" ca="1" si="300"/>
        <v>8035.9803666697626</v>
      </c>
      <c r="Y1436" s="32">
        <f t="shared" ca="1" si="307"/>
        <v>0</v>
      </c>
    </row>
    <row r="1437" spans="1:25">
      <c r="A1437" s="5">
        <v>40477</v>
      </c>
      <c r="B1437" s="4">
        <v>8336.9500000000007</v>
      </c>
      <c r="C1437" s="4">
        <v>8353.86</v>
      </c>
      <c r="D1437" s="4">
        <v>8319.01</v>
      </c>
      <c r="E1437" s="4">
        <v>8343.23</v>
      </c>
      <c r="F1437" s="4">
        <v>3161600</v>
      </c>
      <c r="G1437" s="8">
        <f t="shared" si="309"/>
        <v>29.970000000001164</v>
      </c>
      <c r="H1437" s="8">
        <f t="shared" si="308"/>
        <v>6.2799999999988358</v>
      </c>
      <c r="I1437" s="20">
        <f t="shared" ca="1" si="301"/>
        <v>1</v>
      </c>
      <c r="J1437" s="8">
        <f t="shared" ca="1" si="302"/>
        <v>2</v>
      </c>
      <c r="K1437" s="8">
        <f t="shared" ca="1" si="303"/>
        <v>72.5</v>
      </c>
      <c r="L1437" s="8">
        <f t="shared" ca="1" si="304"/>
        <v>17439.350000000013</v>
      </c>
      <c r="M1437" s="9">
        <f ca="1">AVERAGE(E1437:OFFSET(E1437,-M$5+1,0))</f>
        <v>8170.829999999999</v>
      </c>
      <c r="N1437" s="9">
        <f ca="1">AVERAGE(E1437:OFFSET(E1437,-N$5+1,0))</f>
        <v>8197.84</v>
      </c>
      <c r="O1437" s="9">
        <f t="shared" ca="1" si="305"/>
        <v>0</v>
      </c>
      <c r="P1437" s="14">
        <f t="shared" si="310"/>
        <v>0.43543063150472389</v>
      </c>
      <c r="Q1437" s="15">
        <f ca="1">STDEV(P1437:OFFSET(P1437,-$Q$5+1,0))</f>
        <v>0.95857130884322184</v>
      </c>
      <c r="R1437" s="15">
        <f ca="1">STDEV(P1437:OFFSET(P1437,-$R$5+1,0))</f>
        <v>0.82838988101394528</v>
      </c>
      <c r="S1437" s="18">
        <f t="shared" si="297"/>
        <v>34.850000000000364</v>
      </c>
      <c r="T1437" s="18">
        <f t="shared" si="298"/>
        <v>46.880000000001019</v>
      </c>
      <c r="U1437" s="18">
        <f t="shared" si="306"/>
        <v>86.333343701914188</v>
      </c>
      <c r="V1437" s="33">
        <f ca="1">AVERAGE(E1437:OFFSET(E1437,-V$5+1,0))</f>
        <v>8178.81357142857</v>
      </c>
      <c r="W1437" s="33">
        <f t="shared" ca="1" si="299"/>
        <v>8308.3135869814414</v>
      </c>
      <c r="X1437" s="33">
        <f t="shared" ca="1" si="300"/>
        <v>8049.3135558756985</v>
      </c>
      <c r="Y1437" s="32">
        <f t="shared" ca="1" si="307"/>
        <v>1</v>
      </c>
    </row>
    <row r="1438" spans="1:25">
      <c r="A1438" s="5">
        <v>40478</v>
      </c>
      <c r="B1438" s="4">
        <v>8369.75</v>
      </c>
      <c r="C1438" s="4">
        <v>8372.52</v>
      </c>
      <c r="D1438" s="4">
        <v>8285.73</v>
      </c>
      <c r="E1438" s="4">
        <v>8291.0400000000009</v>
      </c>
      <c r="F1438" s="4">
        <v>2910600</v>
      </c>
      <c r="G1438" s="8">
        <f t="shared" si="309"/>
        <v>26.520000000000437</v>
      </c>
      <c r="H1438" s="8">
        <f t="shared" si="308"/>
        <v>-78.709999999999127</v>
      </c>
      <c r="I1438" s="20">
        <f t="shared" ca="1" si="301"/>
        <v>0</v>
      </c>
      <c r="J1438" s="8">
        <f t="shared" ca="1" si="302"/>
        <v>3</v>
      </c>
      <c r="K1438" s="8">
        <f t="shared" ca="1" si="303"/>
        <v>-183.08999999999651</v>
      </c>
      <c r="L1438" s="8">
        <f t="shared" ca="1" si="304"/>
        <v>17256.260000000017</v>
      </c>
      <c r="M1438" s="9">
        <f ca="1">AVERAGE(E1438:OFFSET(E1438,-M$5+1,0))</f>
        <v>8189.2679999999991</v>
      </c>
      <c r="N1438" s="9">
        <f ca="1">AVERAGE(E1438:OFFSET(E1438,-N$5+1,0))</f>
        <v>8200.3474999999999</v>
      </c>
      <c r="O1438" s="9">
        <f t="shared" ca="1" si="305"/>
        <v>0</v>
      </c>
      <c r="P1438" s="14">
        <f t="shared" si="310"/>
        <v>-0.62750179300950559</v>
      </c>
      <c r="Q1438" s="15">
        <f ca="1">STDEV(P1438:OFFSET(P1438,-$Q$5+1,0))</f>
        <v>1.0035938045082757</v>
      </c>
      <c r="R1438" s="15">
        <f ca="1">STDEV(P1438:OFFSET(P1438,-$R$5+1,0))</f>
        <v>0.78627377366601114</v>
      </c>
      <c r="S1438" s="18">
        <f t="shared" si="297"/>
        <v>86.790000000000873</v>
      </c>
      <c r="T1438" s="18">
        <f t="shared" si="298"/>
        <v>86.790000000000873</v>
      </c>
      <c r="U1438" s="18">
        <f t="shared" si="306"/>
        <v>86.394231208325749</v>
      </c>
      <c r="V1438" s="33">
        <f ca="1">AVERAGE(E1438:OFFSET(E1438,-V$5+1,0))</f>
        <v>8179.3221428571414</v>
      </c>
      <c r="W1438" s="33">
        <f t="shared" ca="1" si="299"/>
        <v>8308.9134896696305</v>
      </c>
      <c r="X1438" s="33">
        <f t="shared" ca="1" si="300"/>
        <v>8049.7307960446524</v>
      </c>
      <c r="Y1438" s="32">
        <f t="shared" ca="1" si="307"/>
        <v>0</v>
      </c>
    </row>
    <row r="1439" spans="1:25">
      <c r="A1439" s="5">
        <v>40479</v>
      </c>
      <c r="B1439" s="4">
        <v>8315</v>
      </c>
      <c r="C1439" s="4">
        <v>8386.2900000000009</v>
      </c>
      <c r="D1439" s="4">
        <v>8281.52</v>
      </c>
      <c r="E1439" s="4">
        <v>8354.0499999999993</v>
      </c>
      <c r="F1439" s="4">
        <v>3361800</v>
      </c>
      <c r="G1439" s="8">
        <f t="shared" si="309"/>
        <v>23.959999999999127</v>
      </c>
      <c r="H1439" s="8">
        <f t="shared" si="308"/>
        <v>39.049999999999272</v>
      </c>
      <c r="I1439" s="20">
        <f t="shared" ca="1" si="301"/>
        <v>1</v>
      </c>
      <c r="J1439" s="8">
        <f t="shared" ca="1" si="302"/>
        <v>3</v>
      </c>
      <c r="K1439" s="8">
        <f t="shared" ca="1" si="303"/>
        <v>189.0299999999952</v>
      </c>
      <c r="L1439" s="8">
        <f t="shared" ca="1" si="304"/>
        <v>17445.290000000012</v>
      </c>
      <c r="M1439" s="9">
        <f ca="1">AVERAGE(E1439:OFFSET(E1439,-M$5+1,0))</f>
        <v>8203.1279999999988</v>
      </c>
      <c r="N1439" s="9">
        <f ca="1">AVERAGE(E1439:OFFSET(E1439,-N$5+1,0))</f>
        <v>8206.1610000000001</v>
      </c>
      <c r="O1439" s="9">
        <f t="shared" ca="1" si="305"/>
        <v>0</v>
      </c>
      <c r="P1439" s="14">
        <f t="shared" si="310"/>
        <v>0.75710375829365928</v>
      </c>
      <c r="Q1439" s="15">
        <f ca="1">STDEV(P1439:OFFSET(P1439,-$Q$5+1,0))</f>
        <v>0.94791306047649981</v>
      </c>
      <c r="R1439" s="15">
        <f ca="1">STDEV(P1439:OFFSET(P1439,-$R$5+1,0))</f>
        <v>0.78754290284579953</v>
      </c>
      <c r="S1439" s="18">
        <f t="shared" si="297"/>
        <v>104.77000000000044</v>
      </c>
      <c r="T1439" s="18">
        <f t="shared" si="298"/>
        <v>104.77000000000044</v>
      </c>
      <c r="U1439" s="18">
        <f t="shared" si="306"/>
        <v>88.844333713882378</v>
      </c>
      <c r="V1439" s="33">
        <f ca="1">AVERAGE(E1439:OFFSET(E1439,-V$5+1,0))</f>
        <v>8187.1692857142862</v>
      </c>
      <c r="W1439" s="33">
        <f t="shared" ca="1" si="299"/>
        <v>8320.4357862851102</v>
      </c>
      <c r="X1439" s="33">
        <f t="shared" ca="1" si="300"/>
        <v>8053.902785143463</v>
      </c>
      <c r="Y1439" s="32">
        <f t="shared" ca="1" si="307"/>
        <v>1</v>
      </c>
    </row>
    <row r="1440" spans="1:25">
      <c r="A1440" s="5">
        <v>40480</v>
      </c>
      <c r="B1440" s="4">
        <v>8348.39</v>
      </c>
      <c r="C1440" s="4">
        <v>8348.39</v>
      </c>
      <c r="D1440" s="4">
        <v>8278.7199999999993</v>
      </c>
      <c r="E1440" s="4">
        <v>8287.09</v>
      </c>
      <c r="F1440" s="4">
        <v>2584200</v>
      </c>
      <c r="G1440" s="8">
        <f t="shared" si="309"/>
        <v>-5.6599999999998545</v>
      </c>
      <c r="H1440" s="8">
        <f t="shared" si="308"/>
        <v>-61.299999999999272</v>
      </c>
      <c r="I1440" s="20">
        <f t="shared" ca="1" si="301"/>
        <v>0</v>
      </c>
      <c r="J1440" s="8">
        <f t="shared" ca="1" si="302"/>
        <v>3</v>
      </c>
      <c r="K1440" s="8">
        <f t="shared" ca="1" si="303"/>
        <v>-200.87999999999738</v>
      </c>
      <c r="L1440" s="8">
        <f t="shared" ca="1" si="304"/>
        <v>17244.410000000014</v>
      </c>
      <c r="M1440" s="9">
        <f ca="1">AVERAGE(E1440:OFFSET(E1440,-M$5+1,0))</f>
        <v>8211.3069999999989</v>
      </c>
      <c r="N1440" s="9">
        <f ca="1">AVERAGE(E1440:OFFSET(E1440,-N$5+1,0))</f>
        <v>8208.3064999999988</v>
      </c>
      <c r="O1440" s="9">
        <f t="shared" ca="1" si="305"/>
        <v>1</v>
      </c>
      <c r="P1440" s="14">
        <f t="shared" si="310"/>
        <v>-0.8047569022218124</v>
      </c>
      <c r="Q1440" s="15">
        <f ca="1">STDEV(P1440:OFFSET(P1440,-$Q$5+1,0))</f>
        <v>0.99446887515782978</v>
      </c>
      <c r="R1440" s="15">
        <f ca="1">STDEV(P1440:OFFSET(P1440,-$R$5+1,0))</f>
        <v>0.79986396895846834</v>
      </c>
      <c r="S1440" s="18">
        <f t="shared" si="297"/>
        <v>69.670000000000073</v>
      </c>
      <c r="T1440" s="18">
        <f t="shared" si="298"/>
        <v>75.329999999999927</v>
      </c>
      <c r="U1440" s="18">
        <f t="shared" si="306"/>
        <v>87.042422552031383</v>
      </c>
      <c r="V1440" s="33">
        <f ca="1">AVERAGE(E1440:OFFSET(E1440,-V$5+1,0))</f>
        <v>8195.0499999999993</v>
      </c>
      <c r="W1440" s="33">
        <f t="shared" ca="1" si="299"/>
        <v>8325.6136338280467</v>
      </c>
      <c r="X1440" s="33">
        <f t="shared" ca="1" si="300"/>
        <v>8064.4863661719519</v>
      </c>
      <c r="Y1440" s="32">
        <f t="shared" ca="1" si="307"/>
        <v>0</v>
      </c>
    </row>
    <row r="1441" spans="1:25">
      <c r="A1441" s="5">
        <v>40483</v>
      </c>
      <c r="B1441" s="4">
        <v>8343.52</v>
      </c>
      <c r="C1441" s="4">
        <v>8407.91</v>
      </c>
      <c r="D1441" s="4">
        <v>8343.52</v>
      </c>
      <c r="E1441" s="4">
        <v>8379.75</v>
      </c>
      <c r="F1441" s="4">
        <v>3116000</v>
      </c>
      <c r="G1441" s="8">
        <f t="shared" si="309"/>
        <v>56.430000000000291</v>
      </c>
      <c r="H1441" s="8">
        <f t="shared" si="308"/>
        <v>36.229999999999563</v>
      </c>
      <c r="I1441" s="20">
        <f t="shared" ca="1" si="301"/>
        <v>1</v>
      </c>
      <c r="J1441" s="8">
        <f t="shared" ca="1" si="302"/>
        <v>3</v>
      </c>
      <c r="K1441" s="8">
        <f t="shared" ca="1" si="303"/>
        <v>277.97999999999956</v>
      </c>
      <c r="L1441" s="8">
        <f t="shared" ca="1" si="304"/>
        <v>17522.390000000014</v>
      </c>
      <c r="M1441" s="9">
        <f ca="1">AVERAGE(E1441:OFFSET(E1441,-M$5+1,0))</f>
        <v>8243.2279999999992</v>
      </c>
      <c r="N1441" s="9">
        <f ca="1">AVERAGE(E1441:OFFSET(E1441,-N$5+1,0))</f>
        <v>8214.9889999999978</v>
      </c>
      <c r="O1441" s="9">
        <f t="shared" ca="1" si="305"/>
        <v>0</v>
      </c>
      <c r="P1441" s="14">
        <f t="shared" si="310"/>
        <v>1.1119198921754385</v>
      </c>
      <c r="Q1441" s="15">
        <f ca="1">STDEV(P1441:OFFSET(P1441,-$Q$5+1,0))</f>
        <v>0.78590358983637121</v>
      </c>
      <c r="R1441" s="15">
        <f ca="1">STDEV(P1441:OFFSET(P1441,-$R$5+1,0))</f>
        <v>0.78952740226221252</v>
      </c>
      <c r="S1441" s="18">
        <f t="shared" si="297"/>
        <v>64.389999999999418</v>
      </c>
      <c r="T1441" s="18">
        <f t="shared" si="298"/>
        <v>120.81999999999971</v>
      </c>
      <c r="U1441" s="18">
        <f t="shared" si="306"/>
        <v>91.546099545093824</v>
      </c>
      <c r="V1441" s="33">
        <f ca="1">AVERAGE(E1441:OFFSET(E1441,-V$5+1,0))</f>
        <v>8215.7307142857135</v>
      </c>
      <c r="W1441" s="33">
        <f t="shared" ca="1" si="299"/>
        <v>8353.0498636033535</v>
      </c>
      <c r="X1441" s="33">
        <f t="shared" ca="1" si="300"/>
        <v>8078.4115649680725</v>
      </c>
      <c r="Y1441" s="32">
        <f t="shared" ca="1" si="307"/>
        <v>1</v>
      </c>
    </row>
    <row r="1442" spans="1:25">
      <c r="A1442" s="5">
        <v>40484</v>
      </c>
      <c r="B1442" s="4">
        <v>8380.06</v>
      </c>
      <c r="C1442" s="4">
        <v>8390.1</v>
      </c>
      <c r="D1442" s="4">
        <v>8344.76</v>
      </c>
      <c r="E1442" s="4">
        <v>8344.76</v>
      </c>
      <c r="F1442" s="4">
        <v>3004600</v>
      </c>
      <c r="G1442" s="8">
        <f t="shared" si="309"/>
        <v>0.30999999999949068</v>
      </c>
      <c r="H1442" s="8">
        <f t="shared" si="308"/>
        <v>-35.299999999999272</v>
      </c>
      <c r="I1442" s="20">
        <f t="shared" ca="1" si="301"/>
        <v>0</v>
      </c>
      <c r="J1442" s="8">
        <f t="shared" ca="1" si="302"/>
        <v>3</v>
      </c>
      <c r="K1442" s="8">
        <f t="shared" ca="1" si="303"/>
        <v>-104.96999999999935</v>
      </c>
      <c r="L1442" s="8">
        <f t="shared" ca="1" si="304"/>
        <v>17417.420000000013</v>
      </c>
      <c r="M1442" s="9">
        <f ca="1">AVERAGE(E1442:OFFSET(E1442,-M$5+1,0))</f>
        <v>8273.0809999999983</v>
      </c>
      <c r="N1442" s="9">
        <f ca="1">AVERAGE(E1442:OFFSET(E1442,-N$5+1,0))</f>
        <v>8222.2054999999982</v>
      </c>
      <c r="O1442" s="9">
        <f t="shared" ca="1" si="305"/>
        <v>0</v>
      </c>
      <c r="P1442" s="14">
        <f t="shared" si="310"/>
        <v>-0.41842841495597638</v>
      </c>
      <c r="Q1442" s="15">
        <f ca="1">STDEV(P1442:OFFSET(P1442,-$Q$5+1,0))</f>
        <v>0.80853142836331993</v>
      </c>
      <c r="R1442" s="15">
        <f ca="1">STDEV(P1442:OFFSET(P1442,-$R$5+1,0))</f>
        <v>0.78865794160846892</v>
      </c>
      <c r="S1442" s="18">
        <f t="shared" si="297"/>
        <v>45.340000000000146</v>
      </c>
      <c r="T1442" s="18">
        <f t="shared" si="298"/>
        <v>45.340000000000146</v>
      </c>
      <c r="U1442" s="18">
        <f t="shared" si="306"/>
        <v>85.38528627241466</v>
      </c>
      <c r="V1442" s="33">
        <f ca="1">AVERAGE(E1442:OFFSET(E1442,-V$5+1,0))</f>
        <v>8232.7378571428562</v>
      </c>
      <c r="W1442" s="33">
        <f t="shared" ca="1" si="299"/>
        <v>8360.8157865514786</v>
      </c>
      <c r="X1442" s="33">
        <f t="shared" ca="1" si="300"/>
        <v>8104.6599277342339</v>
      </c>
      <c r="Y1442" s="32">
        <f t="shared" ca="1" si="307"/>
        <v>0</v>
      </c>
    </row>
    <row r="1443" spans="1:25">
      <c r="A1443" s="5">
        <v>40485</v>
      </c>
      <c r="B1443" s="4">
        <v>8394.5300000000007</v>
      </c>
      <c r="C1443" s="4">
        <v>8398.2999999999993</v>
      </c>
      <c r="D1443" s="4">
        <v>8273.4699999999993</v>
      </c>
      <c r="E1443" s="4">
        <v>8293.9</v>
      </c>
      <c r="F1443" s="4">
        <v>3449400</v>
      </c>
      <c r="G1443" s="8">
        <f t="shared" si="309"/>
        <v>49.770000000000437</v>
      </c>
      <c r="H1443" s="8">
        <f t="shared" si="308"/>
        <v>-100.63000000000102</v>
      </c>
      <c r="I1443" s="20">
        <f t="shared" ca="1" si="301"/>
        <v>0</v>
      </c>
      <c r="J1443" s="8">
        <f t="shared" ca="1" si="302"/>
        <v>3</v>
      </c>
      <c r="K1443" s="8">
        <f t="shared" ca="1" si="303"/>
        <v>-152.58000000000175</v>
      </c>
      <c r="L1443" s="8">
        <f t="shared" ca="1" si="304"/>
        <v>17264.840000000011</v>
      </c>
      <c r="M1443" s="9">
        <f ca="1">AVERAGE(E1443:OFFSET(E1443,-M$5+1,0))</f>
        <v>8290.0089999999982</v>
      </c>
      <c r="N1443" s="9">
        <f ca="1">AVERAGE(E1443:OFFSET(E1443,-N$5+1,0))</f>
        <v>8222.6989999999987</v>
      </c>
      <c r="O1443" s="9">
        <f t="shared" ca="1" si="305"/>
        <v>0</v>
      </c>
      <c r="P1443" s="14">
        <f t="shared" si="310"/>
        <v>-0.61134921209644533</v>
      </c>
      <c r="Q1443" s="15">
        <f ca="1">STDEV(P1443:OFFSET(P1443,-$Q$5+1,0))</f>
        <v>0.83127627851386365</v>
      </c>
      <c r="R1443" s="15">
        <f ca="1">STDEV(P1443:OFFSET(P1443,-$R$5+1,0))</f>
        <v>0.79686653462914225</v>
      </c>
      <c r="S1443" s="18">
        <f t="shared" si="297"/>
        <v>124.82999999999993</v>
      </c>
      <c r="T1443" s="18">
        <f t="shared" si="298"/>
        <v>124.82999999999993</v>
      </c>
      <c r="U1443" s="18">
        <f t="shared" si="306"/>
        <v>90.644581436092693</v>
      </c>
      <c r="V1443" s="33">
        <f ca="1">AVERAGE(E1443:OFFSET(E1443,-V$5+1,0))</f>
        <v>8238.3414285714261</v>
      </c>
      <c r="W1443" s="33">
        <f t="shared" ca="1" si="299"/>
        <v>8374.3083007255645</v>
      </c>
      <c r="X1443" s="33">
        <f t="shared" ca="1" si="300"/>
        <v>8102.3745564172868</v>
      </c>
      <c r="Y1443" s="32">
        <f t="shared" ca="1" si="307"/>
        <v>0</v>
      </c>
    </row>
    <row r="1444" spans="1:25">
      <c r="A1444" s="5">
        <v>40486</v>
      </c>
      <c r="B1444" s="4">
        <v>8321.36</v>
      </c>
      <c r="C1444" s="4">
        <v>8367.19</v>
      </c>
      <c r="D1444" s="4">
        <v>8317.86</v>
      </c>
      <c r="E1444" s="4">
        <v>8357.85</v>
      </c>
      <c r="F1444" s="4">
        <v>2705000</v>
      </c>
      <c r="G1444" s="8">
        <f t="shared" si="309"/>
        <v>27.460000000000946</v>
      </c>
      <c r="H1444" s="8">
        <f t="shared" si="308"/>
        <v>36.489999999999782</v>
      </c>
      <c r="I1444" s="20">
        <f t="shared" ca="1" si="301"/>
        <v>0</v>
      </c>
      <c r="J1444" s="8">
        <f t="shared" ca="1" si="302"/>
        <v>3</v>
      </c>
      <c r="K1444" s="8">
        <f t="shared" ca="1" si="303"/>
        <v>191.85000000000218</v>
      </c>
      <c r="L1444" s="8">
        <f t="shared" ca="1" si="304"/>
        <v>17456.690000000013</v>
      </c>
      <c r="M1444" s="9">
        <f ca="1">AVERAGE(E1444:OFFSET(E1444,-M$5+1,0))</f>
        <v>8312.6709999999985</v>
      </c>
      <c r="N1444" s="9">
        <f ca="1">AVERAGE(E1444:OFFSET(E1444,-N$5+1,0))</f>
        <v>8226.3955000000005</v>
      </c>
      <c r="O1444" s="9">
        <f t="shared" ca="1" si="305"/>
        <v>0</v>
      </c>
      <c r="P1444" s="14">
        <f t="shared" si="310"/>
        <v>0.76809121445374551</v>
      </c>
      <c r="Q1444" s="15">
        <f ca="1">STDEV(P1444:OFFSET(P1444,-$Q$5+1,0))</f>
        <v>0.84801249879987217</v>
      </c>
      <c r="R1444" s="15">
        <f ca="1">STDEV(P1444:OFFSET(P1444,-$R$5+1,0))</f>
        <v>0.79810158176235046</v>
      </c>
      <c r="S1444" s="18">
        <f t="shared" si="297"/>
        <v>49.329999999999927</v>
      </c>
      <c r="T1444" s="18">
        <f t="shared" si="298"/>
        <v>73.290000000000873</v>
      </c>
      <c r="U1444" s="18">
        <f t="shared" si="306"/>
        <v>88.330637244613783</v>
      </c>
      <c r="V1444" s="33">
        <f ca="1">AVERAGE(E1444:OFFSET(E1444,-V$5+1,0))</f>
        <v>8249.2378571428562</v>
      </c>
      <c r="W1444" s="33">
        <f t="shared" ca="1" si="299"/>
        <v>8381.7338130097778</v>
      </c>
      <c r="X1444" s="33">
        <f t="shared" ca="1" si="300"/>
        <v>8116.7419012759356</v>
      </c>
      <c r="Y1444" s="32">
        <f t="shared" ca="1" si="307"/>
        <v>0</v>
      </c>
    </row>
    <row r="1445" spans="1:25">
      <c r="A1445" s="5">
        <v>40487</v>
      </c>
      <c r="B1445" s="4">
        <v>8444.81</v>
      </c>
      <c r="C1445" s="4">
        <v>8458.4699999999993</v>
      </c>
      <c r="D1445" s="4">
        <v>8420.65</v>
      </c>
      <c r="E1445" s="4">
        <v>8449.34</v>
      </c>
      <c r="F1445" s="4">
        <v>4335000</v>
      </c>
      <c r="G1445" s="8">
        <f t="shared" si="309"/>
        <v>86.959999999999127</v>
      </c>
      <c r="H1445" s="8">
        <f t="shared" si="308"/>
        <v>4.5300000000006548</v>
      </c>
      <c r="I1445" s="20">
        <f t="shared" ca="1" si="301"/>
        <v>1</v>
      </c>
      <c r="J1445" s="8">
        <f t="shared" ca="1" si="302"/>
        <v>3</v>
      </c>
      <c r="K1445" s="8">
        <f t="shared" ca="1" si="303"/>
        <v>274.46999999999935</v>
      </c>
      <c r="L1445" s="8">
        <f t="shared" ca="1" si="304"/>
        <v>17731.160000000011</v>
      </c>
      <c r="M1445" s="9">
        <f ca="1">AVERAGE(E1445:OFFSET(E1445,-M$5+1,0))</f>
        <v>8340.7990000000009</v>
      </c>
      <c r="N1445" s="9">
        <f ca="1">AVERAGE(E1445:OFFSET(E1445,-N$5+1,0))</f>
        <v>8236.6530000000021</v>
      </c>
      <c r="O1445" s="9">
        <f t="shared" ca="1" si="305"/>
        <v>0</v>
      </c>
      <c r="P1445" s="14">
        <f t="shared" si="310"/>
        <v>1.0887114822301298</v>
      </c>
      <c r="Q1445" s="15">
        <f ca="1">STDEV(P1445:OFFSET(P1445,-$Q$5+1,0))</f>
        <v>0.88584808941162796</v>
      </c>
      <c r="R1445" s="15">
        <f ca="1">STDEV(P1445:OFFSET(P1445,-$R$5+1,0))</f>
        <v>0.80926955130820655</v>
      </c>
      <c r="S1445" s="18">
        <f t="shared" si="297"/>
        <v>37.819999999999709</v>
      </c>
      <c r="T1445" s="18">
        <f t="shared" si="298"/>
        <v>100.61999999999898</v>
      </c>
      <c r="U1445" s="18">
        <f t="shared" si="306"/>
        <v>89.969218945331818</v>
      </c>
      <c r="V1445" s="33">
        <f ca="1">AVERAGE(E1445:OFFSET(E1445,-V$5+1,0))</f>
        <v>8277.0092857142845</v>
      </c>
      <c r="W1445" s="33">
        <f t="shared" ca="1" si="299"/>
        <v>8411.9631141322825</v>
      </c>
      <c r="X1445" s="33">
        <f t="shared" ca="1" si="300"/>
        <v>8142.0554572962865</v>
      </c>
      <c r="Y1445" s="32">
        <f t="shared" ca="1" si="307"/>
        <v>1</v>
      </c>
    </row>
    <row r="1446" spans="1:25">
      <c r="A1446" s="5">
        <v>40490</v>
      </c>
      <c r="B1446" s="4">
        <v>8473.66</v>
      </c>
      <c r="C1446" s="4">
        <v>8473.66</v>
      </c>
      <c r="D1446" s="4">
        <v>8416.2000000000007</v>
      </c>
      <c r="E1446" s="4">
        <v>8430.58</v>
      </c>
      <c r="F1446" s="4">
        <v>3672600</v>
      </c>
      <c r="G1446" s="8">
        <f t="shared" si="309"/>
        <v>24.319999999999709</v>
      </c>
      <c r="H1446" s="8">
        <f t="shared" si="308"/>
        <v>-43.079999999999927</v>
      </c>
      <c r="I1446" s="20">
        <f t="shared" ca="1" si="301"/>
        <v>0</v>
      </c>
      <c r="J1446" s="8">
        <f t="shared" ca="1" si="302"/>
        <v>3</v>
      </c>
      <c r="K1446" s="8">
        <f t="shared" ca="1" si="303"/>
        <v>-56.280000000000655</v>
      </c>
      <c r="L1446" s="8">
        <f t="shared" ca="1" si="304"/>
        <v>17674.880000000012</v>
      </c>
      <c r="M1446" s="9">
        <f ca="1">AVERAGE(E1446:OFFSET(E1446,-M$5+1,0))</f>
        <v>8353.1590000000015</v>
      </c>
      <c r="N1446" s="9">
        <f ca="1">AVERAGE(E1446:OFFSET(E1446,-N$5+1,0))</f>
        <v>8249.3439999999991</v>
      </c>
      <c r="O1446" s="9">
        <f t="shared" ca="1" si="305"/>
        <v>0</v>
      </c>
      <c r="P1446" s="14">
        <f t="shared" si="310"/>
        <v>-0.22227602647291084</v>
      </c>
      <c r="Q1446" s="15">
        <f ca="1">STDEV(P1446:OFFSET(P1446,-$Q$5+1,0))</f>
        <v>0.75981876823019967</v>
      </c>
      <c r="R1446" s="15">
        <f ca="1">STDEV(P1446:OFFSET(P1446,-$R$5+1,0))</f>
        <v>0.8075611254971502</v>
      </c>
      <c r="S1446" s="18">
        <f t="shared" si="297"/>
        <v>57.459999999999127</v>
      </c>
      <c r="T1446" s="18">
        <f t="shared" si="298"/>
        <v>57.459999999999127</v>
      </c>
      <c r="U1446" s="18">
        <f t="shared" si="306"/>
        <v>85.634656419287467</v>
      </c>
      <c r="V1446" s="33">
        <f ca="1">AVERAGE(E1446:OFFSET(E1446,-V$5+1,0))</f>
        <v>8304.4628571428566</v>
      </c>
      <c r="W1446" s="33">
        <f t="shared" ca="1" si="299"/>
        <v>8432.9148417717879</v>
      </c>
      <c r="X1446" s="33">
        <f t="shared" ca="1" si="300"/>
        <v>8176.0108725139253</v>
      </c>
      <c r="Y1446" s="32">
        <f t="shared" ca="1" si="307"/>
        <v>0</v>
      </c>
    </row>
    <row r="1447" spans="1:25">
      <c r="A1447" s="5">
        <v>40491</v>
      </c>
      <c r="B1447" s="4">
        <v>8430.7000000000007</v>
      </c>
      <c r="C1447" s="4">
        <v>8457.41</v>
      </c>
      <c r="D1447" s="4">
        <v>8421.1299999999992</v>
      </c>
      <c r="E1447" s="4">
        <v>8445.6299999999992</v>
      </c>
      <c r="F1447" s="4">
        <v>2671000</v>
      </c>
      <c r="G1447" s="8">
        <f t="shared" si="309"/>
        <v>0.12000000000080036</v>
      </c>
      <c r="H1447" s="8">
        <f t="shared" si="308"/>
        <v>14.929999999998472</v>
      </c>
      <c r="I1447" s="20">
        <f t="shared" ca="1" si="301"/>
        <v>0</v>
      </c>
      <c r="J1447" s="8">
        <f t="shared" ca="1" si="302"/>
        <v>3</v>
      </c>
      <c r="K1447" s="8">
        <f t="shared" ca="1" si="303"/>
        <v>45.149999999997817</v>
      </c>
      <c r="L1447" s="8">
        <f t="shared" ca="1" si="304"/>
        <v>17720.03000000001</v>
      </c>
      <c r="M1447" s="9">
        <f ca="1">AVERAGE(E1447:OFFSET(E1447,-M$5+1,0))</f>
        <v>8363.3990000000013</v>
      </c>
      <c r="N1447" s="9">
        <f ca="1">AVERAGE(E1447:OFFSET(E1447,-N$5+1,0))</f>
        <v>8267.1144999999997</v>
      </c>
      <c r="O1447" s="9">
        <f t="shared" ca="1" si="305"/>
        <v>0</v>
      </c>
      <c r="P1447" s="14">
        <f t="shared" si="310"/>
        <v>0.17835762875295119</v>
      </c>
      <c r="Q1447" s="15">
        <f ca="1">STDEV(P1447:OFFSET(P1447,-$Q$5+1,0))</f>
        <v>0.75332304706712394</v>
      </c>
      <c r="R1447" s="15">
        <f ca="1">STDEV(P1447:OFFSET(P1447,-$R$5+1,0))</f>
        <v>0.71187861160281962</v>
      </c>
      <c r="S1447" s="18">
        <f t="shared" si="297"/>
        <v>36.280000000000655</v>
      </c>
      <c r="T1447" s="18">
        <f t="shared" si="298"/>
        <v>36.280000000000655</v>
      </c>
      <c r="U1447" s="18">
        <f t="shared" si="306"/>
        <v>79.054035563382556</v>
      </c>
      <c r="V1447" s="33">
        <f ca="1">AVERAGE(E1447:OFFSET(E1447,-V$5+1,0))</f>
        <v>8327.392142857143</v>
      </c>
      <c r="W1447" s="33">
        <f t="shared" ca="1" si="299"/>
        <v>8445.9731962022161</v>
      </c>
      <c r="X1447" s="33">
        <f t="shared" ca="1" si="300"/>
        <v>8208.8110895120699</v>
      </c>
      <c r="Y1447" s="32">
        <f t="shared" ca="1" si="307"/>
        <v>0</v>
      </c>
    </row>
    <row r="1448" spans="1:25">
      <c r="A1448" s="5">
        <v>40492</v>
      </c>
      <c r="B1448" s="4">
        <v>8457.09</v>
      </c>
      <c r="C1448" s="4">
        <v>8471.57</v>
      </c>
      <c r="D1448" s="4">
        <v>8425.24</v>
      </c>
      <c r="E1448" s="4">
        <v>8450.6299999999992</v>
      </c>
      <c r="F1448" s="4">
        <v>3159000</v>
      </c>
      <c r="G1448" s="8">
        <f t="shared" si="309"/>
        <v>11.460000000000946</v>
      </c>
      <c r="H1448" s="8">
        <f t="shared" si="308"/>
        <v>-6.4600000000009459</v>
      </c>
      <c r="I1448" s="20">
        <f t="shared" ca="1" si="301"/>
        <v>0</v>
      </c>
      <c r="J1448" s="8">
        <f t="shared" ca="1" si="302"/>
        <v>3</v>
      </c>
      <c r="K1448" s="8">
        <f t="shared" ca="1" si="303"/>
        <v>15</v>
      </c>
      <c r="L1448" s="8">
        <f t="shared" ca="1" si="304"/>
        <v>17735.03000000001</v>
      </c>
      <c r="M1448" s="9">
        <f ca="1">AVERAGE(E1448:OFFSET(E1448,-M$5+1,0))</f>
        <v>8379.358000000002</v>
      </c>
      <c r="N1448" s="9">
        <f ca="1">AVERAGE(E1448:OFFSET(E1448,-N$5+1,0))</f>
        <v>8284.3129999999983</v>
      </c>
      <c r="O1448" s="9">
        <f t="shared" ca="1" si="305"/>
        <v>0</v>
      </c>
      <c r="P1448" s="14">
        <f t="shared" si="310"/>
        <v>5.9184697038884779E-2</v>
      </c>
      <c r="Q1448" s="15">
        <f ca="1">STDEV(P1448:OFFSET(P1448,-$Q$5+1,0))</f>
        <v>0.70730451877871114</v>
      </c>
      <c r="R1448" s="15">
        <f ca="1">STDEV(P1448:OFFSET(P1448,-$R$5+1,0))</f>
        <v>0.70891265437430639</v>
      </c>
      <c r="S1448" s="18">
        <f t="shared" si="297"/>
        <v>46.329999999999927</v>
      </c>
      <c r="T1448" s="18">
        <f t="shared" si="298"/>
        <v>46.329999999999927</v>
      </c>
      <c r="U1448" s="18">
        <f t="shared" si="306"/>
        <v>74.690830821598212</v>
      </c>
      <c r="V1448" s="33">
        <f ca="1">AVERAGE(E1448:OFFSET(E1448,-V$5+1,0))</f>
        <v>8350.2064285714278</v>
      </c>
      <c r="W1448" s="33">
        <f t="shared" ca="1" si="299"/>
        <v>8462.2426748038251</v>
      </c>
      <c r="X1448" s="33">
        <f t="shared" ca="1" si="300"/>
        <v>8238.1701823390304</v>
      </c>
      <c r="Y1448" s="32">
        <f t="shared" ca="1" si="307"/>
        <v>0</v>
      </c>
    </row>
    <row r="1449" spans="1:25">
      <c r="A1449" s="5">
        <v>40493</v>
      </c>
      <c r="B1449" s="4">
        <v>8437.02</v>
      </c>
      <c r="C1449" s="4">
        <v>8458.49</v>
      </c>
      <c r="D1449" s="4">
        <v>8422.9599999999991</v>
      </c>
      <c r="E1449" s="4">
        <v>8436.9500000000007</v>
      </c>
      <c r="F1449" s="4">
        <v>2604800</v>
      </c>
      <c r="G1449" s="8">
        <f t="shared" si="309"/>
        <v>-13.609999999998763</v>
      </c>
      <c r="H1449" s="8">
        <f t="shared" si="308"/>
        <v>-6.9999999999708962E-2</v>
      </c>
      <c r="I1449" s="20">
        <f t="shared" ca="1" si="301"/>
        <v>0</v>
      </c>
      <c r="J1449" s="8">
        <f t="shared" ca="1" si="302"/>
        <v>3</v>
      </c>
      <c r="K1449" s="8">
        <f t="shared" ca="1" si="303"/>
        <v>-41.039999999995416</v>
      </c>
      <c r="L1449" s="8">
        <f t="shared" ca="1" si="304"/>
        <v>17693.990000000013</v>
      </c>
      <c r="M1449" s="9">
        <f ca="1">AVERAGE(E1449:OFFSET(E1449,-M$5+1,0))</f>
        <v>8387.648000000001</v>
      </c>
      <c r="N1449" s="9">
        <f ca="1">AVERAGE(E1449:OFFSET(E1449,-N$5+1,0))</f>
        <v>8295.387999999999</v>
      </c>
      <c r="O1449" s="9">
        <f t="shared" ca="1" si="305"/>
        <v>0</v>
      </c>
      <c r="P1449" s="14">
        <f t="shared" si="310"/>
        <v>-0.16201259141071922</v>
      </c>
      <c r="Q1449" s="15">
        <f ca="1">STDEV(P1449:OFFSET(P1449,-$Q$5+1,0))</f>
        <v>0.68488047461035084</v>
      </c>
      <c r="R1449" s="15">
        <f ca="1">STDEV(P1449:OFFSET(P1449,-$R$5+1,0))</f>
        <v>0.70848890838074929</v>
      </c>
      <c r="S1449" s="18">
        <f t="shared" si="297"/>
        <v>35.530000000000655</v>
      </c>
      <c r="T1449" s="18">
        <f t="shared" si="298"/>
        <v>35.530000000000655</v>
      </c>
      <c r="U1449" s="18">
        <f t="shared" si="306"/>
        <v>69.469386712051872</v>
      </c>
      <c r="V1449" s="33">
        <f ca="1">AVERAGE(E1449:OFFSET(E1449,-V$5+1,0))</f>
        <v>8369.4128571428573</v>
      </c>
      <c r="W1449" s="33">
        <f t="shared" ca="1" si="299"/>
        <v>8473.6169372109343</v>
      </c>
      <c r="X1449" s="33">
        <f t="shared" ca="1" si="300"/>
        <v>8265.2087770747803</v>
      </c>
      <c r="Y1449" s="32">
        <f t="shared" ca="1" si="307"/>
        <v>0</v>
      </c>
    </row>
    <row r="1450" spans="1:25">
      <c r="A1450" s="5">
        <v>40494</v>
      </c>
      <c r="B1450" s="4">
        <v>8404.43</v>
      </c>
      <c r="C1450" s="4">
        <v>8416.35</v>
      </c>
      <c r="D1450" s="4">
        <v>8309.36</v>
      </c>
      <c r="E1450" s="4">
        <v>8316.0499999999993</v>
      </c>
      <c r="F1450" s="4">
        <v>2601400</v>
      </c>
      <c r="G1450" s="8">
        <f t="shared" si="309"/>
        <v>-32.520000000000437</v>
      </c>
      <c r="H1450" s="8">
        <f t="shared" si="308"/>
        <v>-88.380000000001019</v>
      </c>
      <c r="I1450" s="20">
        <f t="shared" ca="1" si="301"/>
        <v>0</v>
      </c>
      <c r="J1450" s="8">
        <f t="shared" ca="1" si="302"/>
        <v>3</v>
      </c>
      <c r="K1450" s="8">
        <f t="shared" ca="1" si="303"/>
        <v>-362.70000000000437</v>
      </c>
      <c r="L1450" s="8">
        <f t="shared" ca="1" si="304"/>
        <v>17331.290000000008</v>
      </c>
      <c r="M1450" s="9">
        <f ca="1">AVERAGE(E1450:OFFSET(E1450,-M$5+1,0))</f>
        <v>8390.5439999999999</v>
      </c>
      <c r="N1450" s="9">
        <f ca="1">AVERAGE(E1450:OFFSET(E1450,-N$5+1,0))</f>
        <v>8300.9254999999994</v>
      </c>
      <c r="O1450" s="9">
        <f t="shared" ca="1" si="305"/>
        <v>0</v>
      </c>
      <c r="P1450" s="14">
        <f t="shared" si="310"/>
        <v>-1.4433486405112768</v>
      </c>
      <c r="Q1450" s="15">
        <f ca="1">STDEV(P1450:OFFSET(P1450,-$Q$5+1,0))</f>
        <v>0.79878431917550485</v>
      </c>
      <c r="R1450" s="15">
        <f ca="1">STDEV(P1450:OFFSET(P1450,-$R$5+1,0))</f>
        <v>0.73616962823481158</v>
      </c>
      <c r="S1450" s="18">
        <f t="shared" si="297"/>
        <v>106.98999999999978</v>
      </c>
      <c r="T1450" s="18">
        <f t="shared" si="298"/>
        <v>127.59000000000015</v>
      </c>
      <c r="U1450" s="18">
        <f t="shared" si="306"/>
        <v>77.21880181711164</v>
      </c>
      <c r="V1450" s="33">
        <f ca="1">AVERAGE(E1450:OFFSET(E1450,-V$5+1,0))</f>
        <v>8370.0607142857152</v>
      </c>
      <c r="W1450" s="33">
        <f t="shared" ca="1" si="299"/>
        <v>8485.8889170113835</v>
      </c>
      <c r="X1450" s="33">
        <f t="shared" ca="1" si="300"/>
        <v>8254.232511560047</v>
      </c>
      <c r="Y1450" s="32">
        <f t="shared" ca="1" si="307"/>
        <v>0</v>
      </c>
    </row>
    <row r="1451" spans="1:25">
      <c r="A1451" s="5">
        <v>40497</v>
      </c>
      <c r="B1451" s="4">
        <v>8287.83</v>
      </c>
      <c r="C1451" s="4">
        <v>8301.35</v>
      </c>
      <c r="D1451" s="4">
        <v>8226.7099999999991</v>
      </c>
      <c r="E1451" s="4">
        <v>8240.65</v>
      </c>
      <c r="F1451" s="4">
        <v>2337600</v>
      </c>
      <c r="G1451" s="8">
        <f t="shared" si="309"/>
        <v>-28.219999999999345</v>
      </c>
      <c r="H1451" s="8">
        <f t="shared" si="308"/>
        <v>-47.180000000000291</v>
      </c>
      <c r="I1451" s="20">
        <f t="shared" ca="1" si="301"/>
        <v>-1</v>
      </c>
      <c r="J1451" s="8">
        <f t="shared" ca="1" si="302"/>
        <v>3</v>
      </c>
      <c r="K1451" s="8">
        <f t="shared" ca="1" si="303"/>
        <v>-226.19999999999891</v>
      </c>
      <c r="L1451" s="8">
        <f t="shared" ca="1" si="304"/>
        <v>17105.090000000011</v>
      </c>
      <c r="M1451" s="9">
        <f ca="1">AVERAGE(E1451:OFFSET(E1451,-M$5+1,0))</f>
        <v>8376.634</v>
      </c>
      <c r="N1451" s="9">
        <f ca="1">AVERAGE(E1451:OFFSET(E1451,-N$5+1,0))</f>
        <v>8309.9309999999987</v>
      </c>
      <c r="O1451" s="9">
        <f t="shared" ca="1" si="305"/>
        <v>0</v>
      </c>
      <c r="P1451" s="14">
        <f t="shared" si="310"/>
        <v>-0.91081581783171872</v>
      </c>
      <c r="Q1451" s="15">
        <f ca="1">STDEV(P1451:OFFSET(P1451,-$Q$5+1,0))</f>
        <v>0.7503856350415804</v>
      </c>
      <c r="R1451" s="15">
        <f ca="1">STDEV(P1451:OFFSET(P1451,-$R$5+1,0))</f>
        <v>0.74411535070199042</v>
      </c>
      <c r="S1451" s="18">
        <f t="shared" si="297"/>
        <v>74.640000000001237</v>
      </c>
      <c r="T1451" s="18">
        <f t="shared" si="298"/>
        <v>89.340000000000146</v>
      </c>
      <c r="U1451" s="18">
        <f t="shared" si="306"/>
        <v>78.834961574830103</v>
      </c>
      <c r="V1451" s="33">
        <f ca="1">AVERAGE(E1451:OFFSET(E1451,-V$5+1,0))</f>
        <v>8362.7335714285709</v>
      </c>
      <c r="W1451" s="33">
        <f t="shared" ca="1" si="299"/>
        <v>8480.9860137908163</v>
      </c>
      <c r="X1451" s="33">
        <f t="shared" ca="1" si="300"/>
        <v>8244.4811290663256</v>
      </c>
      <c r="Y1451" s="32">
        <f t="shared" ca="1" si="307"/>
        <v>-1</v>
      </c>
    </row>
    <row r="1452" spans="1:25">
      <c r="A1452" s="5">
        <v>40498</v>
      </c>
      <c r="B1452" s="4">
        <v>8234.2199999999993</v>
      </c>
      <c r="C1452" s="4">
        <v>8324.51</v>
      </c>
      <c r="D1452" s="4">
        <v>8234.2199999999993</v>
      </c>
      <c r="E1452" s="4">
        <v>8312.2099999999991</v>
      </c>
      <c r="F1452" s="4">
        <v>2166200</v>
      </c>
      <c r="G1452" s="8">
        <f t="shared" si="309"/>
        <v>-6.430000000000291</v>
      </c>
      <c r="H1452" s="8">
        <f t="shared" si="308"/>
        <v>77.989999999999782</v>
      </c>
      <c r="I1452" s="20">
        <f t="shared" ca="1" si="301"/>
        <v>0</v>
      </c>
      <c r="J1452" s="8">
        <f t="shared" ca="1" si="302"/>
        <v>2</v>
      </c>
      <c r="K1452" s="8">
        <f t="shared" ca="1" si="303"/>
        <v>136.68999999999869</v>
      </c>
      <c r="L1452" s="8">
        <f t="shared" ca="1" si="304"/>
        <v>17241.78000000001</v>
      </c>
      <c r="M1452" s="9">
        <f ca="1">AVERAGE(E1452:OFFSET(E1452,-M$5+1,0))</f>
        <v>8373.3789999999972</v>
      </c>
      <c r="N1452" s="9">
        <f ca="1">AVERAGE(E1452:OFFSET(E1452,-N$5+1,0))</f>
        <v>8323.23</v>
      </c>
      <c r="O1452" s="9">
        <f t="shared" ca="1" si="305"/>
        <v>0</v>
      </c>
      <c r="P1452" s="14">
        <f t="shared" si="310"/>
        <v>0.86462938499675301</v>
      </c>
      <c r="Q1452" s="15">
        <f ca="1">STDEV(P1452:OFFSET(P1452,-$Q$5+1,0))</f>
        <v>0.81001534487817117</v>
      </c>
      <c r="R1452" s="15">
        <f ca="1">STDEV(P1452:OFFSET(P1452,-$R$5+1,0))</f>
        <v>0.75425342325822964</v>
      </c>
      <c r="S1452" s="18">
        <f t="shared" si="297"/>
        <v>90.290000000000873</v>
      </c>
      <c r="T1452" s="18">
        <f t="shared" si="298"/>
        <v>90.290000000000873</v>
      </c>
      <c r="U1452" s="18">
        <f t="shared" si="306"/>
        <v>80.362300031519538</v>
      </c>
      <c r="V1452" s="33">
        <f ca="1">AVERAGE(E1452:OFFSET(E1452,-V$5+1,0))</f>
        <v>8364.2457142857147</v>
      </c>
      <c r="W1452" s="33">
        <f t="shared" ca="1" si="299"/>
        <v>8484.7891643329949</v>
      </c>
      <c r="X1452" s="33">
        <f t="shared" ca="1" si="300"/>
        <v>8243.7022642384345</v>
      </c>
      <c r="Y1452" s="32">
        <f t="shared" ca="1" si="307"/>
        <v>0</v>
      </c>
    </row>
    <row r="1453" spans="1:25">
      <c r="A1453" s="5">
        <v>40499</v>
      </c>
      <c r="B1453" s="4">
        <v>8249.9500000000007</v>
      </c>
      <c r="C1453" s="4">
        <v>8284.51</v>
      </c>
      <c r="D1453" s="4">
        <v>8228.24</v>
      </c>
      <c r="E1453" s="4">
        <v>8255.5400000000009</v>
      </c>
      <c r="F1453" s="4">
        <v>2068400</v>
      </c>
      <c r="G1453" s="8">
        <f t="shared" si="309"/>
        <v>-62.259999999998399</v>
      </c>
      <c r="H1453" s="8">
        <f t="shared" si="308"/>
        <v>5.5900000000001455</v>
      </c>
      <c r="I1453" s="20">
        <f t="shared" ca="1" si="301"/>
        <v>0</v>
      </c>
      <c r="J1453" s="8">
        <f t="shared" ca="1" si="302"/>
        <v>2</v>
      </c>
      <c r="K1453" s="8">
        <f t="shared" ca="1" si="303"/>
        <v>-113.33999999999651</v>
      </c>
      <c r="L1453" s="8">
        <f t="shared" ca="1" si="304"/>
        <v>17128.440000000013</v>
      </c>
      <c r="M1453" s="9">
        <f ca="1">AVERAGE(E1453:OFFSET(E1453,-M$5+1,0))</f>
        <v>8369.5429999999997</v>
      </c>
      <c r="N1453" s="9">
        <f ca="1">AVERAGE(E1453:OFFSET(E1453,-N$5+1,0))</f>
        <v>8329.7759999999998</v>
      </c>
      <c r="O1453" s="9">
        <f t="shared" ca="1" si="305"/>
        <v>0</v>
      </c>
      <c r="P1453" s="14">
        <f t="shared" si="310"/>
        <v>-0.68410280226634623</v>
      </c>
      <c r="Q1453" s="15">
        <f ca="1">STDEV(P1453:OFFSET(P1453,-$Q$5+1,0))</f>
        <v>0.81603079875144624</v>
      </c>
      <c r="R1453" s="15">
        <f ca="1">STDEV(P1453:OFFSET(P1453,-$R$5+1,0))</f>
        <v>0.76269520942216473</v>
      </c>
      <c r="S1453" s="18">
        <f t="shared" si="297"/>
        <v>56.270000000000437</v>
      </c>
      <c r="T1453" s="18">
        <f t="shared" si="298"/>
        <v>83.969999999999345</v>
      </c>
      <c r="U1453" s="18">
        <f t="shared" si="306"/>
        <v>80.843326693983514</v>
      </c>
      <c r="V1453" s="33">
        <f ca="1">AVERAGE(E1453:OFFSET(E1453,-V$5+1,0))</f>
        <v>8357.209285714287</v>
      </c>
      <c r="W1453" s="33">
        <f t="shared" ca="1" si="299"/>
        <v>8478.4742757552631</v>
      </c>
      <c r="X1453" s="33">
        <f t="shared" ca="1" si="300"/>
        <v>8235.944295673311</v>
      </c>
      <c r="Y1453" s="32">
        <f t="shared" ca="1" si="307"/>
        <v>0</v>
      </c>
    </row>
    <row r="1454" spans="1:25">
      <c r="A1454" s="5">
        <v>40500</v>
      </c>
      <c r="B1454" s="4">
        <v>8285.5499999999993</v>
      </c>
      <c r="C1454" s="4">
        <v>8286.92</v>
      </c>
      <c r="D1454" s="4">
        <v>8238.77</v>
      </c>
      <c r="E1454" s="4">
        <v>8283.4500000000007</v>
      </c>
      <c r="F1454" s="4">
        <v>1930800</v>
      </c>
      <c r="G1454" s="8">
        <f t="shared" si="309"/>
        <v>30.009999999998399</v>
      </c>
      <c r="H1454" s="8">
        <f t="shared" si="308"/>
        <v>-2.0999999999985448</v>
      </c>
      <c r="I1454" s="20">
        <f t="shared" ca="1" si="301"/>
        <v>0</v>
      </c>
      <c r="J1454" s="8">
        <f t="shared" ca="1" si="302"/>
        <v>2</v>
      </c>
      <c r="K1454" s="8">
        <f t="shared" ca="1" si="303"/>
        <v>55.819999999999709</v>
      </c>
      <c r="L1454" s="8">
        <f t="shared" ca="1" si="304"/>
        <v>17184.260000000013</v>
      </c>
      <c r="M1454" s="9">
        <f ca="1">AVERAGE(E1454:OFFSET(E1454,-M$5+1,0))</f>
        <v>8362.1029999999992</v>
      </c>
      <c r="N1454" s="9">
        <f ca="1">AVERAGE(E1454:OFFSET(E1454,-N$5+1,0))</f>
        <v>8337.3869999999988</v>
      </c>
      <c r="O1454" s="9">
        <f t="shared" ca="1" si="305"/>
        <v>0</v>
      </c>
      <c r="P1454" s="14">
        <f t="shared" si="310"/>
        <v>0.33750581496938536</v>
      </c>
      <c r="Q1454" s="15">
        <f ca="1">STDEV(P1454:OFFSET(P1454,-$Q$5+1,0))</f>
        <v>0.77879107031432138</v>
      </c>
      <c r="R1454" s="15">
        <f ca="1">STDEV(P1454:OFFSET(P1454,-$R$5+1,0))</f>
        <v>0.76432630287753733</v>
      </c>
      <c r="S1454" s="18">
        <f t="shared" si="297"/>
        <v>48.149999999999636</v>
      </c>
      <c r="T1454" s="18">
        <f t="shared" si="298"/>
        <v>48.149999999999636</v>
      </c>
      <c r="U1454" s="18">
        <f t="shared" si="306"/>
        <v>76.484216468118987</v>
      </c>
      <c r="V1454" s="33">
        <f ca="1">AVERAGE(E1454:OFFSET(E1454,-V$5+1,0))</f>
        <v>8356.949285714285</v>
      </c>
      <c r="W1454" s="33">
        <f t="shared" ca="1" si="299"/>
        <v>8471.6756104164633</v>
      </c>
      <c r="X1454" s="33">
        <f t="shared" ca="1" si="300"/>
        <v>8242.2229610121067</v>
      </c>
      <c r="Y1454" s="32">
        <f t="shared" ca="1" si="307"/>
        <v>0</v>
      </c>
    </row>
    <row r="1455" spans="1:25">
      <c r="A1455" s="5">
        <v>40501</v>
      </c>
      <c r="B1455" s="4">
        <v>8344.66</v>
      </c>
      <c r="C1455" s="4">
        <v>8372.16</v>
      </c>
      <c r="D1455" s="4">
        <v>8283.27</v>
      </c>
      <c r="E1455" s="4">
        <v>8306.1200000000008</v>
      </c>
      <c r="F1455" s="4">
        <v>2313000</v>
      </c>
      <c r="G1455" s="8">
        <f t="shared" si="309"/>
        <v>61.209999999999127</v>
      </c>
      <c r="H1455" s="8">
        <f t="shared" si="308"/>
        <v>-38.539999999999054</v>
      </c>
      <c r="I1455" s="20">
        <f t="shared" ca="1" si="301"/>
        <v>0</v>
      </c>
      <c r="J1455" s="8">
        <f t="shared" ca="1" si="302"/>
        <v>2</v>
      </c>
      <c r="K1455" s="8">
        <f t="shared" ca="1" si="303"/>
        <v>45.340000000000146</v>
      </c>
      <c r="L1455" s="8">
        <f t="shared" ca="1" si="304"/>
        <v>17229.600000000013</v>
      </c>
      <c r="M1455" s="9">
        <f ca="1">AVERAGE(E1455:OFFSET(E1455,-M$5+1,0))</f>
        <v>8347.780999999999</v>
      </c>
      <c r="N1455" s="9">
        <f ca="1">AVERAGE(E1455:OFFSET(E1455,-N$5+1,0))</f>
        <v>8344.2900000000009</v>
      </c>
      <c r="O1455" s="9">
        <f t="shared" ca="1" si="305"/>
        <v>0</v>
      </c>
      <c r="P1455" s="14">
        <f t="shared" si="310"/>
        <v>0.27330442092456231</v>
      </c>
      <c r="Q1455" s="15">
        <f ca="1">STDEV(P1455:OFFSET(P1455,-$Q$5+1,0))</f>
        <v>0.67788326856205594</v>
      </c>
      <c r="R1455" s="15">
        <f ca="1">STDEV(P1455:OFFSET(P1455,-$R$5+1,0))</f>
        <v>0.76154439586987921</v>
      </c>
      <c r="S1455" s="18">
        <f t="shared" si="297"/>
        <v>88.889999999999418</v>
      </c>
      <c r="T1455" s="18">
        <f t="shared" si="298"/>
        <v>88.889999999999418</v>
      </c>
      <c r="U1455" s="18">
        <f t="shared" si="306"/>
        <v>78.138320939036376</v>
      </c>
      <c r="V1455" s="33">
        <f ca="1">AVERAGE(E1455:OFFSET(E1455,-V$5+1,0))</f>
        <v>8351.6899999999987</v>
      </c>
      <c r="W1455" s="33">
        <f t="shared" ca="1" si="299"/>
        <v>8468.8974814085541</v>
      </c>
      <c r="X1455" s="33">
        <f t="shared" ca="1" si="300"/>
        <v>8234.4825185914433</v>
      </c>
      <c r="Y1455" s="32">
        <f t="shared" ca="1" si="307"/>
        <v>0</v>
      </c>
    </row>
    <row r="1456" spans="1:25">
      <c r="A1456" s="5">
        <v>40504</v>
      </c>
      <c r="B1456" s="4">
        <v>8343.32</v>
      </c>
      <c r="C1456" s="4">
        <v>8391.25</v>
      </c>
      <c r="D1456" s="4">
        <v>8334.42</v>
      </c>
      <c r="E1456" s="4">
        <v>8374.91</v>
      </c>
      <c r="F1456" s="4">
        <v>2074600</v>
      </c>
      <c r="G1456" s="8">
        <f t="shared" si="309"/>
        <v>37.199999999998909</v>
      </c>
      <c r="H1456" s="8">
        <f t="shared" si="308"/>
        <v>31.590000000000146</v>
      </c>
      <c r="I1456" s="20">
        <f t="shared" ca="1" si="301"/>
        <v>0</v>
      </c>
      <c r="J1456" s="8">
        <f t="shared" ca="1" si="302"/>
        <v>2</v>
      </c>
      <c r="K1456" s="8">
        <f t="shared" ca="1" si="303"/>
        <v>137.57999999999811</v>
      </c>
      <c r="L1456" s="8">
        <f t="shared" ca="1" si="304"/>
        <v>17367.180000000011</v>
      </c>
      <c r="M1456" s="9">
        <f ca="1">AVERAGE(E1456:OFFSET(E1456,-M$5+1,0))</f>
        <v>8342.2139999999999</v>
      </c>
      <c r="N1456" s="9">
        <f ca="1">AVERAGE(E1456:OFFSET(E1456,-N$5+1,0))</f>
        <v>8347.6865000000016</v>
      </c>
      <c r="O1456" s="9">
        <f t="shared" ca="1" si="305"/>
        <v>-1</v>
      </c>
      <c r="P1456" s="14">
        <f t="shared" si="310"/>
        <v>0.82477388931017259</v>
      </c>
      <c r="Q1456" s="15">
        <f ca="1">STDEV(P1456:OFFSET(P1456,-$Q$5+1,0))</f>
        <v>0.74646927185115253</v>
      </c>
      <c r="R1456" s="15">
        <f ca="1">STDEV(P1456:OFFSET(P1456,-$R$5+1,0))</f>
        <v>0.77052527953084349</v>
      </c>
      <c r="S1456" s="18">
        <f t="shared" si="297"/>
        <v>56.829999999999927</v>
      </c>
      <c r="T1456" s="18">
        <f t="shared" si="298"/>
        <v>85.1299999999992</v>
      </c>
      <c r="U1456" s="18">
        <f t="shared" si="306"/>
        <v>79.070544813831418</v>
      </c>
      <c r="V1456" s="33">
        <f ca="1">AVERAGE(E1456:OFFSET(E1456,-V$5+1,0))</f>
        <v>8353.8435714285697</v>
      </c>
      <c r="W1456" s="33">
        <f t="shared" ca="1" si="299"/>
        <v>8472.4493886493165</v>
      </c>
      <c r="X1456" s="33">
        <f t="shared" ca="1" si="300"/>
        <v>8235.2377542078229</v>
      </c>
      <c r="Y1456" s="32">
        <f t="shared" ca="1" si="307"/>
        <v>0</v>
      </c>
    </row>
    <row r="1457" spans="1:25">
      <c r="A1457" s="5">
        <v>40505</v>
      </c>
      <c r="B1457" s="4">
        <v>8388.26</v>
      </c>
      <c r="C1457" s="4">
        <v>8396.49</v>
      </c>
      <c r="D1457" s="4">
        <v>8323.81</v>
      </c>
      <c r="E1457" s="4">
        <v>8328.6299999999992</v>
      </c>
      <c r="F1457" s="4">
        <v>2436200</v>
      </c>
      <c r="G1457" s="8">
        <f t="shared" si="309"/>
        <v>13.350000000000364</v>
      </c>
      <c r="H1457" s="8">
        <f t="shared" si="308"/>
        <v>-59.630000000001019</v>
      </c>
      <c r="I1457" s="20">
        <f t="shared" ca="1" si="301"/>
        <v>0</v>
      </c>
      <c r="J1457" s="8">
        <f t="shared" ca="1" si="302"/>
        <v>2</v>
      </c>
      <c r="K1457" s="8">
        <f t="shared" ca="1" si="303"/>
        <v>-92.56000000000131</v>
      </c>
      <c r="L1457" s="8">
        <f t="shared" ca="1" si="304"/>
        <v>17274.62000000001</v>
      </c>
      <c r="M1457" s="9">
        <f ca="1">AVERAGE(E1457:OFFSET(E1457,-M$5+1,0))</f>
        <v>8330.5139999999992</v>
      </c>
      <c r="N1457" s="9">
        <f ca="1">AVERAGE(E1457:OFFSET(E1457,-N$5+1,0))</f>
        <v>8346.9565000000021</v>
      </c>
      <c r="O1457" s="9">
        <f t="shared" ca="1" si="305"/>
        <v>0</v>
      </c>
      <c r="P1457" s="14">
        <f t="shared" si="310"/>
        <v>-0.55413545182756785</v>
      </c>
      <c r="Q1457" s="15">
        <f ca="1">STDEV(P1457:OFFSET(P1457,-$Q$5+1,0))</f>
        <v>0.75568133766071244</v>
      </c>
      <c r="R1457" s="15">
        <f ca="1">STDEV(P1457:OFFSET(P1457,-$R$5+1,0))</f>
        <v>0.77645785767618813</v>
      </c>
      <c r="S1457" s="18">
        <f t="shared" si="297"/>
        <v>72.680000000000291</v>
      </c>
      <c r="T1457" s="18">
        <f t="shared" si="298"/>
        <v>72.680000000000291</v>
      </c>
      <c r="U1457" s="18">
        <f t="shared" si="306"/>
        <v>78.218472171987258</v>
      </c>
      <c r="V1457" s="33">
        <f ca="1">AVERAGE(E1457:OFFSET(E1457,-V$5+1,0))</f>
        <v>8356.324285714285</v>
      </c>
      <c r="W1457" s="33">
        <f t="shared" ca="1" si="299"/>
        <v>8473.6519939722657</v>
      </c>
      <c r="X1457" s="33">
        <f t="shared" ca="1" si="300"/>
        <v>8238.9965774563043</v>
      </c>
      <c r="Y1457" s="32">
        <f t="shared" ca="1" si="307"/>
        <v>0</v>
      </c>
    </row>
    <row r="1458" spans="1:25">
      <c r="A1458" s="5">
        <v>40506</v>
      </c>
      <c r="B1458" s="4">
        <v>8277.33</v>
      </c>
      <c r="C1458" s="4">
        <v>8337.19</v>
      </c>
      <c r="D1458" s="4">
        <v>8277.33</v>
      </c>
      <c r="E1458" s="4">
        <v>8297.0499999999993</v>
      </c>
      <c r="F1458" s="4">
        <v>2207400</v>
      </c>
      <c r="G1458" s="8">
        <f t="shared" si="309"/>
        <v>-51.299999999999272</v>
      </c>
      <c r="H1458" s="8">
        <f t="shared" si="308"/>
        <v>19.719999999999345</v>
      </c>
      <c r="I1458" s="20">
        <f t="shared" ca="1" si="301"/>
        <v>0</v>
      </c>
      <c r="J1458" s="8">
        <f t="shared" ca="1" si="302"/>
        <v>2</v>
      </c>
      <c r="K1458" s="8">
        <f t="shared" ca="1" si="303"/>
        <v>-63.159999999999854</v>
      </c>
      <c r="L1458" s="8">
        <f t="shared" ca="1" si="304"/>
        <v>17211.46000000001</v>
      </c>
      <c r="M1458" s="9">
        <f ca="1">AVERAGE(E1458:OFFSET(E1458,-M$5+1,0))</f>
        <v>8315.1560000000009</v>
      </c>
      <c r="N1458" s="9">
        <f ca="1">AVERAGE(E1458:OFFSET(E1458,-N$5+1,0))</f>
        <v>8347.2570000000014</v>
      </c>
      <c r="O1458" s="9">
        <f t="shared" ca="1" si="305"/>
        <v>0</v>
      </c>
      <c r="P1458" s="14">
        <f t="shared" si="310"/>
        <v>-0.37989469279089244</v>
      </c>
      <c r="Q1458" s="15">
        <f ca="1">STDEV(P1458:OFFSET(P1458,-$Q$5+1,0))</f>
        <v>0.75561027461044039</v>
      </c>
      <c r="R1458" s="15">
        <f ca="1">STDEV(P1458:OFFSET(P1458,-$R$5+1,0))</f>
        <v>0.77334029387052394</v>
      </c>
      <c r="S1458" s="18">
        <f t="shared" si="297"/>
        <v>59.860000000000582</v>
      </c>
      <c r="T1458" s="18">
        <f t="shared" si="298"/>
        <v>59.860000000000582</v>
      </c>
      <c r="U1458" s="18">
        <f t="shared" si="306"/>
        <v>75.770675882389042</v>
      </c>
      <c r="V1458" s="33">
        <f ca="1">AVERAGE(E1458:OFFSET(E1458,-V$5+1,0))</f>
        <v>8351.9814285714274</v>
      </c>
      <c r="W1458" s="33">
        <f t="shared" ca="1" si="299"/>
        <v>8465.637442395011</v>
      </c>
      <c r="X1458" s="33">
        <f t="shared" ca="1" si="300"/>
        <v>8238.3254147478438</v>
      </c>
      <c r="Y1458" s="32">
        <f t="shared" ca="1" si="307"/>
        <v>0</v>
      </c>
    </row>
    <row r="1459" spans="1:25">
      <c r="A1459" s="5">
        <v>40507</v>
      </c>
      <c r="B1459" s="4">
        <v>8337.9</v>
      </c>
      <c r="C1459" s="4">
        <v>8355.39</v>
      </c>
      <c r="D1459" s="4">
        <v>8330.92</v>
      </c>
      <c r="E1459" s="4">
        <v>8349.99</v>
      </c>
      <c r="F1459" s="4">
        <v>2383800</v>
      </c>
      <c r="G1459" s="8">
        <f t="shared" si="309"/>
        <v>40.850000000000364</v>
      </c>
      <c r="H1459" s="8">
        <f t="shared" si="308"/>
        <v>12.090000000000146</v>
      </c>
      <c r="I1459" s="20">
        <f t="shared" ca="1" si="301"/>
        <v>0</v>
      </c>
      <c r="J1459" s="8">
        <f t="shared" ca="1" si="302"/>
        <v>2</v>
      </c>
      <c r="K1459" s="8">
        <f t="shared" ca="1" si="303"/>
        <v>105.88000000000102</v>
      </c>
      <c r="L1459" s="8">
        <f t="shared" ca="1" si="304"/>
        <v>17317.340000000011</v>
      </c>
      <c r="M1459" s="9">
        <f ca="1">AVERAGE(E1459:OFFSET(E1459,-M$5+1,0))</f>
        <v>8306.4600000000009</v>
      </c>
      <c r="N1459" s="9">
        <f ca="1">AVERAGE(E1459:OFFSET(E1459,-N$5+1,0))</f>
        <v>8347.0540000000001</v>
      </c>
      <c r="O1459" s="9">
        <f t="shared" ca="1" si="305"/>
        <v>0</v>
      </c>
      <c r="P1459" s="14">
        <f t="shared" si="310"/>
        <v>0.63603113187093119</v>
      </c>
      <c r="Q1459" s="15">
        <f ca="1">STDEV(P1459:OFFSET(P1459,-$Q$5+1,0))</f>
        <v>0.79901744968827282</v>
      </c>
      <c r="R1459" s="15">
        <f ca="1">STDEV(P1459:OFFSET(P1459,-$R$5+1,0))</f>
        <v>0.77943165154021121</v>
      </c>
      <c r="S1459" s="18">
        <f t="shared" si="297"/>
        <v>24.469999999999345</v>
      </c>
      <c r="T1459" s="18">
        <f t="shared" si="298"/>
        <v>58.340000000000146</v>
      </c>
      <c r="U1459" s="18">
        <f t="shared" si="306"/>
        <v>73.446585764737179</v>
      </c>
      <c r="V1459" s="33">
        <f ca="1">AVERAGE(E1459:OFFSET(E1459,-V$5+1,0))</f>
        <v>8344.8850000000002</v>
      </c>
      <c r="W1459" s="33">
        <f t="shared" ca="1" si="299"/>
        <v>8455.0548786471063</v>
      </c>
      <c r="X1459" s="33">
        <f t="shared" ca="1" si="300"/>
        <v>8234.7151213528941</v>
      </c>
      <c r="Y1459" s="32">
        <f t="shared" ca="1" si="307"/>
        <v>0</v>
      </c>
    </row>
    <row r="1460" spans="1:25">
      <c r="A1460" s="5">
        <v>40508</v>
      </c>
      <c r="B1460" s="4">
        <v>8371.27</v>
      </c>
      <c r="C1460" s="4">
        <v>8371.27</v>
      </c>
      <c r="D1460" s="4">
        <v>8312.15</v>
      </c>
      <c r="E1460" s="4">
        <v>8312.15</v>
      </c>
      <c r="F1460" s="4">
        <v>2532000</v>
      </c>
      <c r="G1460" s="8">
        <f t="shared" si="309"/>
        <v>21.280000000000655</v>
      </c>
      <c r="H1460" s="8">
        <f t="shared" si="308"/>
        <v>-59.1200000000008</v>
      </c>
      <c r="I1460" s="20">
        <f t="shared" ca="1" si="301"/>
        <v>0</v>
      </c>
      <c r="J1460" s="8">
        <f t="shared" ca="1" si="302"/>
        <v>2</v>
      </c>
      <c r="K1460" s="8">
        <f t="shared" ca="1" si="303"/>
        <v>-75.680000000000291</v>
      </c>
      <c r="L1460" s="8">
        <f t="shared" ca="1" si="304"/>
        <v>17241.660000000011</v>
      </c>
      <c r="M1460" s="9">
        <f ca="1">AVERAGE(E1460:OFFSET(E1460,-M$5+1,0))</f>
        <v>8306.07</v>
      </c>
      <c r="N1460" s="9">
        <f ca="1">AVERAGE(E1460:OFFSET(E1460,-N$5+1,0))</f>
        <v>8348.3069999999971</v>
      </c>
      <c r="O1460" s="9">
        <f t="shared" ca="1" si="305"/>
        <v>0</v>
      </c>
      <c r="P1460" s="14">
        <f t="shared" si="310"/>
        <v>-0.45420414248934721</v>
      </c>
      <c r="Q1460" s="15">
        <f ca="1">STDEV(P1460:OFFSET(P1460,-$Q$5+1,0))</f>
        <v>0.66466587791798937</v>
      </c>
      <c r="R1460" s="15">
        <f ca="1">STDEV(P1460:OFFSET(P1460,-$R$5+1,0))</f>
        <v>0.78319221354990609</v>
      </c>
      <c r="S1460" s="18">
        <f t="shared" si="297"/>
        <v>59.1200000000008</v>
      </c>
      <c r="T1460" s="18">
        <f t="shared" si="298"/>
        <v>59.1200000000008</v>
      </c>
      <c r="U1460" s="18">
        <f t="shared" si="306"/>
        <v>71.536374329438999</v>
      </c>
      <c r="V1460" s="33">
        <f ca="1">AVERAGE(E1460:OFFSET(E1460,-V$5+1,0))</f>
        <v>8336.425714285715</v>
      </c>
      <c r="W1460" s="33">
        <f t="shared" ca="1" si="299"/>
        <v>8443.7302757798734</v>
      </c>
      <c r="X1460" s="33">
        <f t="shared" ca="1" si="300"/>
        <v>8229.1211527915566</v>
      </c>
      <c r="Y1460" s="32">
        <f t="shared" ca="1" si="307"/>
        <v>0</v>
      </c>
    </row>
    <row r="1461" spans="1:25">
      <c r="A1461" s="5">
        <v>40511</v>
      </c>
      <c r="B1461" s="4">
        <v>8399.77</v>
      </c>
      <c r="C1461" s="4">
        <v>8401.42</v>
      </c>
      <c r="D1461" s="4">
        <v>8331.51</v>
      </c>
      <c r="E1461" s="4">
        <v>8367.17</v>
      </c>
      <c r="F1461" s="4">
        <v>2661400</v>
      </c>
      <c r="G1461" s="8">
        <f t="shared" si="309"/>
        <v>87.6200000000008</v>
      </c>
      <c r="H1461" s="8">
        <f t="shared" si="308"/>
        <v>-32.600000000000364</v>
      </c>
      <c r="I1461" s="20">
        <f t="shared" ca="1" si="301"/>
        <v>0</v>
      </c>
      <c r="J1461" s="8">
        <f t="shared" ca="1" si="302"/>
        <v>2</v>
      </c>
      <c r="K1461" s="8">
        <f t="shared" ca="1" si="303"/>
        <v>110.04000000000087</v>
      </c>
      <c r="L1461" s="8">
        <f t="shared" ca="1" si="304"/>
        <v>17351.700000000012</v>
      </c>
      <c r="M1461" s="9">
        <f ca="1">AVERAGE(E1461:OFFSET(E1461,-M$5+1,0))</f>
        <v>8318.7219999999979</v>
      </c>
      <c r="N1461" s="9">
        <f ca="1">AVERAGE(E1461:OFFSET(E1461,-N$5+1,0))</f>
        <v>8347.6779999999981</v>
      </c>
      <c r="O1461" s="9">
        <f t="shared" ca="1" si="305"/>
        <v>0</v>
      </c>
      <c r="P1461" s="14">
        <f t="shared" si="310"/>
        <v>0.65974151903132627</v>
      </c>
      <c r="Q1461" s="15">
        <f ca="1">STDEV(P1461:OFFSET(P1461,-$Q$5+1,0))</f>
        <v>0.61007917250263088</v>
      </c>
      <c r="R1461" s="15">
        <f ca="1">STDEV(P1461:OFFSET(P1461,-$R$5+1,0))</f>
        <v>0.78968790316878046</v>
      </c>
      <c r="S1461" s="18">
        <f t="shared" ref="S1461:S1524" si="311">C1461-D1461</f>
        <v>69.909999999999854</v>
      </c>
      <c r="T1461" s="18">
        <f t="shared" ref="T1461:T1524" si="312">MAX(C1461,E1460)-MIN(D1461,E1460)</f>
        <v>89.270000000000437</v>
      </c>
      <c r="U1461" s="18">
        <f t="shared" si="306"/>
        <v>73.900857752180528</v>
      </c>
      <c r="V1461" s="33">
        <f ca="1">AVERAGE(E1461:OFFSET(E1461,-V$5+1,0))</f>
        <v>8330.8214285714294</v>
      </c>
      <c r="W1461" s="33">
        <f t="shared" ref="W1461:W1524" ca="1" si="313">V1461+W$5*U1461</f>
        <v>8441.6727151997002</v>
      </c>
      <c r="X1461" s="33">
        <f t="shared" ref="X1461:X1524" ca="1" si="314">V1461-W$5*U1461</f>
        <v>8219.9701419431585</v>
      </c>
      <c r="Y1461" s="32">
        <f t="shared" ca="1" si="307"/>
        <v>0</v>
      </c>
    </row>
    <row r="1462" spans="1:25">
      <c r="A1462" s="5">
        <v>40512</v>
      </c>
      <c r="B1462" s="4">
        <v>8384.64</v>
      </c>
      <c r="C1462" s="4">
        <v>8443.3799999999992</v>
      </c>
      <c r="D1462" s="4">
        <v>8363.9699999999993</v>
      </c>
      <c r="E1462" s="4">
        <v>8372.48</v>
      </c>
      <c r="F1462" s="4">
        <v>3732200</v>
      </c>
      <c r="G1462" s="8">
        <f t="shared" si="309"/>
        <v>17.469999999999345</v>
      </c>
      <c r="H1462" s="8">
        <f t="shared" si="308"/>
        <v>-12.159999999999854</v>
      </c>
      <c r="I1462" s="20">
        <f t="shared" ref="I1462:I1525" ca="1" si="315">Y1462</f>
        <v>0</v>
      </c>
      <c r="J1462" s="8">
        <f t="shared" ref="J1462:J1525" ca="1" si="316">IF((J1461+I1461)&gt;=J$5,J$5,IF((J1461+I1461)&lt;=J$7,J$7,J1461+I1461))</f>
        <v>2</v>
      </c>
      <c r="K1462" s="8">
        <f t="shared" ref="K1462:K1525" ca="1" si="317">J1461*G1462+J1462*H1462</f>
        <v>10.619999999998981</v>
      </c>
      <c r="L1462" s="8">
        <f t="shared" ref="L1462:L1525" ca="1" si="318">L1461+K1462</f>
        <v>17362.320000000011</v>
      </c>
      <c r="M1462" s="9">
        <f ca="1">AVERAGE(E1462:OFFSET(E1462,-M$5+1,0))</f>
        <v>8324.7489999999998</v>
      </c>
      <c r="N1462" s="9">
        <f ca="1">AVERAGE(E1462:OFFSET(E1462,-N$5+1,0))</f>
        <v>8349.0640000000003</v>
      </c>
      <c r="O1462" s="9">
        <f t="shared" ref="O1462:O1525" ca="1" si="319">IF(AND(M1461&lt;=N1461,M1462&gt;N1462),1,IF(AND(M1461&gt;=N1461,M1462&lt;N1462),-1,0))</f>
        <v>0</v>
      </c>
      <c r="P1462" s="14">
        <f t="shared" si="310"/>
        <v>6.3442188792500576E-2</v>
      </c>
      <c r="Q1462" s="15">
        <f ca="1">STDEV(P1462:OFFSET(P1462,-$Q$5+1,0))</f>
        <v>0.55639372965870937</v>
      </c>
      <c r="R1462" s="15">
        <f ca="1">STDEV(P1462:OFFSET(P1462,-$R$5+1,0))</f>
        <v>0.78383643626061528</v>
      </c>
      <c r="S1462" s="18">
        <f t="shared" si="311"/>
        <v>79.409999999999854</v>
      </c>
      <c r="T1462" s="18">
        <f t="shared" si="312"/>
        <v>79.409999999999854</v>
      </c>
      <c r="U1462" s="18">
        <f t="shared" ref="U1462:U1525" si="320">$U$5*T1462+(1-$U$5)*U1461</f>
        <v>74.635410051889778</v>
      </c>
      <c r="V1462" s="33">
        <f ca="1">AVERAGE(E1462:OFFSET(E1462,-V$5+1,0))</f>
        <v>8325.2392857142859</v>
      </c>
      <c r="W1462" s="33">
        <f t="shared" ca="1" si="313"/>
        <v>8437.1924007921207</v>
      </c>
      <c r="X1462" s="33">
        <f t="shared" ca="1" si="314"/>
        <v>8213.2861706364511</v>
      </c>
      <c r="Y1462" s="32">
        <f t="shared" ref="Y1462:Y1525" ca="1" si="321">IF(AND(E1461&gt;X1461,E1462&lt;X1462),-1,IF(AND(E1461&lt;W1461,E1462&gt;W1462),1,0))</f>
        <v>0</v>
      </c>
    </row>
    <row r="1463" spans="1:25">
      <c r="A1463" s="5">
        <v>40513</v>
      </c>
      <c r="B1463" s="4">
        <v>8430.6</v>
      </c>
      <c r="C1463" s="4">
        <v>8520.11</v>
      </c>
      <c r="D1463" s="4">
        <v>8428.64</v>
      </c>
      <c r="E1463" s="4">
        <v>8520.11</v>
      </c>
      <c r="F1463" s="4">
        <v>4202800</v>
      </c>
      <c r="G1463" s="8">
        <f t="shared" si="309"/>
        <v>58.1200000000008</v>
      </c>
      <c r="H1463" s="8">
        <f t="shared" si="308"/>
        <v>89.510000000000218</v>
      </c>
      <c r="I1463" s="20">
        <f t="shared" ca="1" si="315"/>
        <v>1</v>
      </c>
      <c r="J1463" s="8">
        <f t="shared" ca="1" si="316"/>
        <v>2</v>
      </c>
      <c r="K1463" s="8">
        <f t="shared" ca="1" si="317"/>
        <v>295.26000000000204</v>
      </c>
      <c r="L1463" s="8">
        <f t="shared" ca="1" si="318"/>
        <v>17657.580000000013</v>
      </c>
      <c r="M1463" s="9">
        <f ca="1">AVERAGE(E1463:OFFSET(E1463,-M$5+1,0))</f>
        <v>8351.2060000000001</v>
      </c>
      <c r="N1463" s="9">
        <f ca="1">AVERAGE(E1463:OFFSET(E1463,-N$5+1,0))</f>
        <v>8360.3744999999999</v>
      </c>
      <c r="O1463" s="9">
        <f t="shared" ca="1" si="319"/>
        <v>0</v>
      </c>
      <c r="P1463" s="14">
        <f t="shared" si="310"/>
        <v>1.7479114645401379</v>
      </c>
      <c r="Q1463" s="15">
        <f ca="1">STDEV(P1463:OFFSET(P1463,-$Q$5+1,0))</f>
        <v>0.7016240547899435</v>
      </c>
      <c r="R1463" s="15">
        <f ca="1">STDEV(P1463:OFFSET(P1463,-$R$5+1,0))</f>
        <v>0.81489910281320754</v>
      </c>
      <c r="S1463" s="18">
        <f t="shared" si="311"/>
        <v>91.470000000001164</v>
      </c>
      <c r="T1463" s="18">
        <f t="shared" si="312"/>
        <v>147.63000000000102</v>
      </c>
      <c r="U1463" s="18">
        <f t="shared" si="320"/>
        <v>84.368022044971283</v>
      </c>
      <c r="V1463" s="33">
        <f ca="1">AVERAGE(E1463:OFFSET(E1463,-V$5+1,0))</f>
        <v>8331.1792857142846</v>
      </c>
      <c r="W1463" s="33">
        <f t="shared" ca="1" si="313"/>
        <v>8457.7313187817417</v>
      </c>
      <c r="X1463" s="33">
        <f t="shared" ca="1" si="314"/>
        <v>8204.6272526468274</v>
      </c>
      <c r="Y1463" s="32">
        <f t="shared" ca="1" si="321"/>
        <v>1</v>
      </c>
    </row>
    <row r="1464" spans="1:25">
      <c r="A1464" s="5">
        <v>40514</v>
      </c>
      <c r="B1464" s="4">
        <v>8598.01</v>
      </c>
      <c r="C1464" s="4">
        <v>8641.1299999999992</v>
      </c>
      <c r="D1464" s="4">
        <v>8572.65</v>
      </c>
      <c r="E1464" s="4">
        <v>8585.77</v>
      </c>
      <c r="F1464" s="4">
        <v>4731800</v>
      </c>
      <c r="G1464" s="8">
        <f t="shared" si="309"/>
        <v>77.899999999999636</v>
      </c>
      <c r="H1464" s="8">
        <f t="shared" si="308"/>
        <v>-12.239999999999782</v>
      </c>
      <c r="I1464" s="20">
        <f t="shared" ca="1" si="315"/>
        <v>0</v>
      </c>
      <c r="J1464" s="8">
        <f t="shared" ca="1" si="316"/>
        <v>3</v>
      </c>
      <c r="K1464" s="8">
        <f t="shared" ca="1" si="317"/>
        <v>119.07999999999993</v>
      </c>
      <c r="L1464" s="8">
        <f t="shared" ca="1" si="318"/>
        <v>17776.660000000011</v>
      </c>
      <c r="M1464" s="9">
        <f ca="1">AVERAGE(E1464:OFFSET(E1464,-M$5+1,0))</f>
        <v>8381.4379999999983</v>
      </c>
      <c r="N1464" s="9">
        <f ca="1">AVERAGE(E1464:OFFSET(E1464,-N$5+1,0))</f>
        <v>8371.7705000000005</v>
      </c>
      <c r="O1464" s="9">
        <f t="shared" ca="1" si="319"/>
        <v>1</v>
      </c>
      <c r="P1464" s="14">
        <f t="shared" si="310"/>
        <v>0.7676930093483294</v>
      </c>
      <c r="Q1464" s="15">
        <f ca="1">STDEV(P1464:OFFSET(P1464,-$Q$5+1,0))</f>
        <v>0.71616416951712358</v>
      </c>
      <c r="R1464" s="15">
        <f ca="1">STDEV(P1464:OFFSET(P1464,-$R$5+1,0))</f>
        <v>0.8222059306098366</v>
      </c>
      <c r="S1464" s="18">
        <f t="shared" si="311"/>
        <v>68.479999999999563</v>
      </c>
      <c r="T1464" s="18">
        <f t="shared" si="312"/>
        <v>121.01999999999862</v>
      </c>
      <c r="U1464" s="18">
        <f t="shared" si="320"/>
        <v>89.254952438974925</v>
      </c>
      <c r="V1464" s="33">
        <f ca="1">AVERAGE(E1464:OFFSET(E1464,-V$5+1,0))</f>
        <v>8350.4449999999997</v>
      </c>
      <c r="W1464" s="33">
        <f t="shared" ca="1" si="313"/>
        <v>8484.3274286584619</v>
      </c>
      <c r="X1464" s="33">
        <f t="shared" ca="1" si="314"/>
        <v>8216.5625713415375</v>
      </c>
      <c r="Y1464" s="32">
        <f t="shared" ca="1" si="321"/>
        <v>0</v>
      </c>
    </row>
    <row r="1465" spans="1:25">
      <c r="A1465" s="5">
        <v>40515</v>
      </c>
      <c r="B1465" s="4">
        <v>8630.8799999999992</v>
      </c>
      <c r="C1465" s="4">
        <v>8659.6200000000008</v>
      </c>
      <c r="D1465" s="4">
        <v>8618.26</v>
      </c>
      <c r="E1465" s="4">
        <v>8624.01</v>
      </c>
      <c r="F1465" s="4">
        <v>3710800</v>
      </c>
      <c r="G1465" s="8">
        <f t="shared" si="309"/>
        <v>45.109999999998763</v>
      </c>
      <c r="H1465" s="8">
        <f t="shared" si="308"/>
        <v>-6.8699999999989814</v>
      </c>
      <c r="I1465" s="20">
        <f t="shared" ca="1" si="315"/>
        <v>0</v>
      </c>
      <c r="J1465" s="8">
        <f t="shared" ca="1" si="316"/>
        <v>3</v>
      </c>
      <c r="K1465" s="8">
        <f t="shared" ca="1" si="317"/>
        <v>114.71999999999935</v>
      </c>
      <c r="L1465" s="8">
        <f t="shared" ca="1" si="318"/>
        <v>17891.380000000012</v>
      </c>
      <c r="M1465" s="9">
        <f ca="1">AVERAGE(E1465:OFFSET(E1465,-M$5+1,0))</f>
        <v>8413.2270000000008</v>
      </c>
      <c r="N1465" s="9">
        <f ca="1">AVERAGE(E1465:OFFSET(E1465,-N$5+1,0))</f>
        <v>8380.503999999999</v>
      </c>
      <c r="O1465" s="9">
        <f t="shared" ca="1" si="319"/>
        <v>0</v>
      </c>
      <c r="P1465" s="14">
        <f t="shared" si="310"/>
        <v>0.44439920712139502</v>
      </c>
      <c r="Q1465" s="15">
        <f ca="1">STDEV(P1465:OFFSET(P1465,-$Q$5+1,0))</f>
        <v>0.71594728422262677</v>
      </c>
      <c r="R1465" s="15">
        <f ca="1">STDEV(P1465:OFFSET(P1465,-$R$5+1,0))</f>
        <v>0.81875906139041366</v>
      </c>
      <c r="S1465" s="18">
        <f t="shared" si="311"/>
        <v>41.360000000000582</v>
      </c>
      <c r="T1465" s="18">
        <f t="shared" si="312"/>
        <v>73.850000000000364</v>
      </c>
      <c r="U1465" s="18">
        <f t="shared" si="320"/>
        <v>87.200958780444992</v>
      </c>
      <c r="V1465" s="33">
        <f ca="1">AVERAGE(E1465:OFFSET(E1465,-V$5+1,0))</f>
        <v>8377.8278571428564</v>
      </c>
      <c r="W1465" s="33">
        <f t="shared" ca="1" si="313"/>
        <v>8508.6292953135235</v>
      </c>
      <c r="X1465" s="33">
        <f t="shared" ca="1" si="314"/>
        <v>8247.0264189721893</v>
      </c>
      <c r="Y1465" s="32">
        <f t="shared" ca="1" si="321"/>
        <v>0</v>
      </c>
    </row>
    <row r="1466" spans="1:25">
      <c r="A1466" s="5">
        <v>40518</v>
      </c>
      <c r="B1466" s="4">
        <v>8675.4500000000007</v>
      </c>
      <c r="C1466" s="4">
        <v>8718.5300000000007</v>
      </c>
      <c r="D1466" s="4">
        <v>8675.4500000000007</v>
      </c>
      <c r="E1466" s="4">
        <v>8702.23</v>
      </c>
      <c r="F1466" s="4">
        <v>3623200</v>
      </c>
      <c r="G1466" s="8">
        <f t="shared" si="309"/>
        <v>51.440000000000509</v>
      </c>
      <c r="H1466" s="8">
        <f t="shared" si="308"/>
        <v>26.779999999998836</v>
      </c>
      <c r="I1466" s="20">
        <f t="shared" ca="1" si="315"/>
        <v>0</v>
      </c>
      <c r="J1466" s="8">
        <f t="shared" ca="1" si="316"/>
        <v>3</v>
      </c>
      <c r="K1466" s="8">
        <f t="shared" ca="1" si="317"/>
        <v>234.65999999999804</v>
      </c>
      <c r="L1466" s="8">
        <f t="shared" ca="1" si="318"/>
        <v>18126.040000000008</v>
      </c>
      <c r="M1466" s="9">
        <f ca="1">AVERAGE(E1466:OFFSET(E1466,-M$5+1,0))</f>
        <v>8445.9589999999989</v>
      </c>
      <c r="N1466" s="9">
        <f ca="1">AVERAGE(E1466:OFFSET(E1466,-N$5+1,0))</f>
        <v>8394.0865000000013</v>
      </c>
      <c r="O1466" s="9">
        <f t="shared" ca="1" si="319"/>
        <v>0</v>
      </c>
      <c r="P1466" s="14">
        <f t="shared" si="310"/>
        <v>0.9029140934088199</v>
      </c>
      <c r="Q1466" s="15">
        <f ca="1">STDEV(P1466:OFFSET(P1466,-$Q$5+1,0))</f>
        <v>0.72179720030065353</v>
      </c>
      <c r="R1466" s="15">
        <f ca="1">STDEV(P1466:OFFSET(P1466,-$R$5+1,0))</f>
        <v>0.81370370249099433</v>
      </c>
      <c r="S1466" s="18">
        <f t="shared" si="311"/>
        <v>43.079999999999927</v>
      </c>
      <c r="T1466" s="18">
        <f t="shared" si="312"/>
        <v>94.520000000000437</v>
      </c>
      <c r="U1466" s="18">
        <f t="shared" si="320"/>
        <v>88.17683094305238</v>
      </c>
      <c r="V1466" s="33">
        <f ca="1">AVERAGE(E1466:OFFSET(E1466,-V$5+1,0))</f>
        <v>8405.6864285714273</v>
      </c>
      <c r="W1466" s="33">
        <f t="shared" ca="1" si="313"/>
        <v>8537.9516749860068</v>
      </c>
      <c r="X1466" s="33">
        <f t="shared" ca="1" si="314"/>
        <v>8273.4211821568479</v>
      </c>
      <c r="Y1466" s="32">
        <f t="shared" ca="1" si="321"/>
        <v>0</v>
      </c>
    </row>
    <row r="1467" spans="1:25">
      <c r="A1467" s="5">
        <v>40519</v>
      </c>
      <c r="B1467" s="4">
        <v>8716</v>
      </c>
      <c r="C1467" s="4">
        <v>8716</v>
      </c>
      <c r="D1467" s="4">
        <v>8654.49</v>
      </c>
      <c r="E1467" s="4">
        <v>8704.39</v>
      </c>
      <c r="F1467" s="4">
        <v>3208800</v>
      </c>
      <c r="G1467" s="8">
        <f t="shared" si="309"/>
        <v>13.770000000000437</v>
      </c>
      <c r="H1467" s="8">
        <f t="shared" si="308"/>
        <v>-11.610000000000582</v>
      </c>
      <c r="I1467" s="20">
        <f t="shared" ca="1" si="315"/>
        <v>0</v>
      </c>
      <c r="J1467" s="8">
        <f t="shared" ca="1" si="316"/>
        <v>3</v>
      </c>
      <c r="K1467" s="8">
        <f t="shared" ca="1" si="317"/>
        <v>6.4799999999995634</v>
      </c>
      <c r="L1467" s="8">
        <f t="shared" ca="1" si="318"/>
        <v>18132.520000000008</v>
      </c>
      <c r="M1467" s="9">
        <f ca="1">AVERAGE(E1467:OFFSET(E1467,-M$5+1,0))</f>
        <v>8483.5349999999999</v>
      </c>
      <c r="N1467" s="9">
        <f ca="1">AVERAGE(E1467:OFFSET(E1467,-N$5+1,0))</f>
        <v>8407.0244999999995</v>
      </c>
      <c r="O1467" s="9">
        <f t="shared" ca="1" si="319"/>
        <v>0</v>
      </c>
      <c r="P1467" s="14">
        <f t="shared" si="310"/>
        <v>2.4818144028949409E-2</v>
      </c>
      <c r="Q1467" s="15">
        <f ca="1">STDEV(P1467:OFFSET(P1467,-$Q$5+1,0))</f>
        <v>0.65870428835104389</v>
      </c>
      <c r="R1467" s="15">
        <f ca="1">STDEV(P1467:OFFSET(P1467,-$R$5+1,0))</f>
        <v>0.7897131224112931</v>
      </c>
      <c r="S1467" s="18">
        <f t="shared" si="311"/>
        <v>61.510000000000218</v>
      </c>
      <c r="T1467" s="18">
        <f t="shared" si="312"/>
        <v>61.510000000000218</v>
      </c>
      <c r="U1467" s="18">
        <f t="shared" si="320"/>
        <v>84.621253483978762</v>
      </c>
      <c r="V1467" s="33">
        <f ca="1">AVERAGE(E1467:OFFSET(E1467,-V$5+1,0))</f>
        <v>8437.7471428571425</v>
      </c>
      <c r="W1467" s="33">
        <f t="shared" ca="1" si="313"/>
        <v>8564.6790230831102</v>
      </c>
      <c r="X1467" s="33">
        <f t="shared" ca="1" si="314"/>
        <v>8310.8152626311748</v>
      </c>
      <c r="Y1467" s="32">
        <f t="shared" ca="1" si="321"/>
        <v>0</v>
      </c>
    </row>
    <row r="1468" spans="1:25">
      <c r="A1468" s="5">
        <v>40520</v>
      </c>
      <c r="B1468" s="4">
        <v>8727.8799999999992</v>
      </c>
      <c r="C1468" s="4">
        <v>8729.7000000000007</v>
      </c>
      <c r="D1468" s="4">
        <v>8683.98</v>
      </c>
      <c r="E1468" s="4">
        <v>8703.7900000000009</v>
      </c>
      <c r="F1468" s="4">
        <v>3183800</v>
      </c>
      <c r="G1468" s="8">
        <f t="shared" si="309"/>
        <v>23.489999999999782</v>
      </c>
      <c r="H1468" s="8">
        <f t="shared" si="308"/>
        <v>-24.089999999998327</v>
      </c>
      <c r="I1468" s="20">
        <f t="shared" ca="1" si="315"/>
        <v>0</v>
      </c>
      <c r="J1468" s="8">
        <f t="shared" ca="1" si="316"/>
        <v>3</v>
      </c>
      <c r="K1468" s="8">
        <f t="shared" ca="1" si="317"/>
        <v>-1.7999999999956344</v>
      </c>
      <c r="L1468" s="8">
        <f t="shared" ca="1" si="318"/>
        <v>18130.720000000012</v>
      </c>
      <c r="M1468" s="9">
        <f ca="1">AVERAGE(E1468:OFFSET(E1468,-M$5+1,0))</f>
        <v>8524.2089999999989</v>
      </c>
      <c r="N1468" s="9">
        <f ca="1">AVERAGE(E1468:OFFSET(E1468,-N$5+1,0))</f>
        <v>8419.6825000000026</v>
      </c>
      <c r="O1468" s="9">
        <f t="shared" ca="1" si="319"/>
        <v>0</v>
      </c>
      <c r="P1468" s="14">
        <f t="shared" si="310"/>
        <v>-6.8933110783134643E-3</v>
      </c>
      <c r="Q1468" s="15">
        <f ca="1">STDEV(P1468:OFFSET(P1468,-$Q$5+1,0))</f>
        <v>0.61622836852504637</v>
      </c>
      <c r="R1468" s="15">
        <f ca="1">STDEV(P1468:OFFSET(P1468,-$R$5+1,0))</f>
        <v>0.79027346710192514</v>
      </c>
      <c r="S1468" s="18">
        <f t="shared" si="311"/>
        <v>45.720000000001164</v>
      </c>
      <c r="T1468" s="18">
        <f t="shared" si="312"/>
        <v>45.720000000001164</v>
      </c>
      <c r="U1468" s="18">
        <f t="shared" si="320"/>
        <v>79.434419686115092</v>
      </c>
      <c r="V1468" s="33">
        <f ca="1">AVERAGE(E1468:OFFSET(E1468,-V$5+1,0))</f>
        <v>8467.7714285714283</v>
      </c>
      <c r="W1468" s="33">
        <f t="shared" ca="1" si="313"/>
        <v>8586.9230581006013</v>
      </c>
      <c r="X1468" s="33">
        <f t="shared" ca="1" si="314"/>
        <v>8348.6197990422552</v>
      </c>
      <c r="Y1468" s="32">
        <f t="shared" ca="1" si="321"/>
        <v>0</v>
      </c>
    </row>
    <row r="1469" spans="1:25">
      <c r="A1469" s="5">
        <v>40521</v>
      </c>
      <c r="B1469" s="4">
        <v>8769.34</v>
      </c>
      <c r="C1469" s="4">
        <v>8782.82</v>
      </c>
      <c r="D1469" s="4">
        <v>8736.77</v>
      </c>
      <c r="E1469" s="4">
        <v>8753.84</v>
      </c>
      <c r="F1469" s="4">
        <v>4398800</v>
      </c>
      <c r="G1469" s="8">
        <f t="shared" si="309"/>
        <v>65.549999999999272</v>
      </c>
      <c r="H1469" s="8">
        <f t="shared" si="308"/>
        <v>-15.5</v>
      </c>
      <c r="I1469" s="20">
        <f t="shared" ca="1" si="315"/>
        <v>0</v>
      </c>
      <c r="J1469" s="8">
        <f t="shared" ca="1" si="316"/>
        <v>3</v>
      </c>
      <c r="K1469" s="8">
        <f t="shared" ca="1" si="317"/>
        <v>150.14999999999782</v>
      </c>
      <c r="L1469" s="8">
        <f t="shared" ca="1" si="318"/>
        <v>18280.87000000001</v>
      </c>
      <c r="M1469" s="9">
        <f ca="1">AVERAGE(E1469:OFFSET(E1469,-M$5+1,0))</f>
        <v>8564.594000000001</v>
      </c>
      <c r="N1469" s="9">
        <f ca="1">AVERAGE(E1469:OFFSET(E1469,-N$5+1,0))</f>
        <v>8435.5270000000019</v>
      </c>
      <c r="O1469" s="9">
        <f t="shared" ca="1" si="319"/>
        <v>0</v>
      </c>
      <c r="P1469" s="14">
        <f t="shared" si="310"/>
        <v>0.57338982584543241</v>
      </c>
      <c r="Q1469" s="15">
        <f ca="1">STDEV(P1469:OFFSET(P1469,-$Q$5+1,0))</f>
        <v>0.61476670717131421</v>
      </c>
      <c r="R1469" s="15">
        <f ca="1">STDEV(P1469:OFFSET(P1469,-$R$5+1,0))</f>
        <v>0.77068095823756266</v>
      </c>
      <c r="S1469" s="18">
        <f t="shared" si="311"/>
        <v>46.049999999999272</v>
      </c>
      <c r="T1469" s="18">
        <f t="shared" si="312"/>
        <v>79.029999999998836</v>
      </c>
      <c r="U1469" s="18">
        <f t="shared" si="320"/>
        <v>79.380497061299593</v>
      </c>
      <c r="V1469" s="33">
        <f ca="1">AVERAGE(E1469:OFFSET(E1469,-V$5+1,0))</f>
        <v>8499.7514285714278</v>
      </c>
      <c r="W1469" s="33">
        <f t="shared" ca="1" si="313"/>
        <v>8618.822174163377</v>
      </c>
      <c r="X1469" s="33">
        <f t="shared" ca="1" si="314"/>
        <v>8380.6806829794787</v>
      </c>
      <c r="Y1469" s="32">
        <f t="shared" ca="1" si="321"/>
        <v>0</v>
      </c>
    </row>
    <row r="1470" spans="1:25">
      <c r="A1470" s="5">
        <v>40522</v>
      </c>
      <c r="B1470" s="4">
        <v>8740.7099999999991</v>
      </c>
      <c r="C1470" s="4">
        <v>8744.67</v>
      </c>
      <c r="D1470" s="4">
        <v>8684.0499999999993</v>
      </c>
      <c r="E1470" s="4">
        <v>8718.83</v>
      </c>
      <c r="F1470" s="4">
        <v>3880200</v>
      </c>
      <c r="G1470" s="8">
        <f t="shared" si="309"/>
        <v>-13.130000000001019</v>
      </c>
      <c r="H1470" s="8">
        <f t="shared" si="308"/>
        <v>-21.8799999999992</v>
      </c>
      <c r="I1470" s="20">
        <f t="shared" ca="1" si="315"/>
        <v>0</v>
      </c>
      <c r="J1470" s="8">
        <f t="shared" ca="1" si="316"/>
        <v>3</v>
      </c>
      <c r="K1470" s="8">
        <f t="shared" ca="1" si="317"/>
        <v>-105.03000000000065</v>
      </c>
      <c r="L1470" s="8">
        <f t="shared" ca="1" si="318"/>
        <v>18175.840000000011</v>
      </c>
      <c r="M1470" s="9">
        <f ca="1">AVERAGE(E1470:OFFSET(E1470,-M$5+1,0))</f>
        <v>8605.2620000000006</v>
      </c>
      <c r="N1470" s="9">
        <f ca="1">AVERAGE(E1470:OFFSET(E1470,-N$5+1,0))</f>
        <v>8455.6659999999993</v>
      </c>
      <c r="O1470" s="9">
        <f t="shared" ca="1" si="319"/>
        <v>0</v>
      </c>
      <c r="P1470" s="14">
        <f t="shared" si="310"/>
        <v>-0.40074066359656535</v>
      </c>
      <c r="Q1470" s="15">
        <f ca="1">STDEV(P1470:OFFSET(P1470,-$Q$5+1,0))</f>
        <v>0.60598358166849797</v>
      </c>
      <c r="R1470" s="15">
        <f ca="1">STDEV(P1470:OFFSET(P1470,-$R$5+1,0))</f>
        <v>0.77451983349482711</v>
      </c>
      <c r="S1470" s="18">
        <f t="shared" si="311"/>
        <v>60.6200000000008</v>
      </c>
      <c r="T1470" s="18">
        <f t="shared" si="312"/>
        <v>69.790000000000873</v>
      </c>
      <c r="U1470" s="18">
        <f t="shared" si="320"/>
        <v>78.101764119793103</v>
      </c>
      <c r="V1470" s="33">
        <f ca="1">AVERAGE(E1470:OFFSET(E1470,-V$5+1,0))</f>
        <v>8524.3171428571422</v>
      </c>
      <c r="W1470" s="33">
        <f t="shared" ca="1" si="313"/>
        <v>8641.4697890368316</v>
      </c>
      <c r="X1470" s="33">
        <f t="shared" ca="1" si="314"/>
        <v>8407.1644966774529</v>
      </c>
      <c r="Y1470" s="32">
        <f t="shared" ca="1" si="321"/>
        <v>0</v>
      </c>
    </row>
    <row r="1471" spans="1:25">
      <c r="A1471" s="5">
        <v>40525</v>
      </c>
      <c r="B1471" s="4">
        <v>8748.64</v>
      </c>
      <c r="C1471" s="4">
        <v>8764.51</v>
      </c>
      <c r="D1471" s="4">
        <v>8736.5400000000009</v>
      </c>
      <c r="E1471" s="4">
        <v>8736.59</v>
      </c>
      <c r="F1471" s="4">
        <v>3237800</v>
      </c>
      <c r="G1471" s="8">
        <f t="shared" si="309"/>
        <v>29.809999999999491</v>
      </c>
      <c r="H1471" s="8">
        <f t="shared" si="308"/>
        <v>-12.049999999999272</v>
      </c>
      <c r="I1471" s="20">
        <f t="shared" ca="1" si="315"/>
        <v>0</v>
      </c>
      <c r="J1471" s="8">
        <f t="shared" ca="1" si="316"/>
        <v>3</v>
      </c>
      <c r="K1471" s="8">
        <f t="shared" ca="1" si="317"/>
        <v>53.280000000000655</v>
      </c>
      <c r="L1471" s="8">
        <f t="shared" ca="1" si="318"/>
        <v>18229.12000000001</v>
      </c>
      <c r="M1471" s="9">
        <f ca="1">AVERAGE(E1471:OFFSET(E1471,-M$5+1,0))</f>
        <v>8642.2040000000015</v>
      </c>
      <c r="N1471" s="9">
        <f ca="1">AVERAGE(E1471:OFFSET(E1471,-N$5+1,0))</f>
        <v>8480.4629999999979</v>
      </c>
      <c r="O1471" s="9">
        <f t="shared" ca="1" si="319"/>
        <v>0</v>
      </c>
      <c r="P1471" s="14">
        <f t="shared" si="310"/>
        <v>0.20348987453068984</v>
      </c>
      <c r="Q1471" s="15">
        <f ca="1">STDEV(P1471:OFFSET(P1471,-$Q$5+1,0))</f>
        <v>0.60792459514350849</v>
      </c>
      <c r="R1471" s="15">
        <f ca="1">STDEV(P1471:OFFSET(P1471,-$R$5+1,0))</f>
        <v>0.70834003756984243</v>
      </c>
      <c r="S1471" s="18">
        <f t="shared" si="311"/>
        <v>27.969999999999345</v>
      </c>
      <c r="T1471" s="18">
        <f t="shared" si="312"/>
        <v>45.680000000000291</v>
      </c>
      <c r="U1471" s="18">
        <f t="shared" si="320"/>
        <v>73.778862237154058</v>
      </c>
      <c r="V1471" s="33">
        <f ca="1">AVERAGE(E1471:OFFSET(E1471,-V$5+1,0))</f>
        <v>8553.4571428571417</v>
      </c>
      <c r="W1471" s="33">
        <f t="shared" ca="1" si="313"/>
        <v>8664.125436212873</v>
      </c>
      <c r="X1471" s="33">
        <f t="shared" ca="1" si="314"/>
        <v>8442.7888495014104</v>
      </c>
      <c r="Y1471" s="32">
        <f t="shared" ca="1" si="321"/>
        <v>0</v>
      </c>
    </row>
    <row r="1472" spans="1:25">
      <c r="A1472" s="5">
        <v>40526</v>
      </c>
      <c r="B1472" s="4">
        <v>8771.9</v>
      </c>
      <c r="C1472" s="4">
        <v>8789.25</v>
      </c>
      <c r="D1472" s="4">
        <v>8717.5300000000007</v>
      </c>
      <c r="E1472" s="4">
        <v>8740.43</v>
      </c>
      <c r="F1472" s="4">
        <v>3574600</v>
      </c>
      <c r="G1472" s="8">
        <f t="shared" si="309"/>
        <v>35.309999999999491</v>
      </c>
      <c r="H1472" s="8">
        <f t="shared" si="308"/>
        <v>-31.469999999999345</v>
      </c>
      <c r="I1472" s="20">
        <f t="shared" ca="1" si="315"/>
        <v>0</v>
      </c>
      <c r="J1472" s="8">
        <f t="shared" ca="1" si="316"/>
        <v>3</v>
      </c>
      <c r="K1472" s="8">
        <f t="shared" ca="1" si="317"/>
        <v>11.520000000000437</v>
      </c>
      <c r="L1472" s="8">
        <f t="shared" ca="1" si="318"/>
        <v>18240.64000000001</v>
      </c>
      <c r="M1472" s="9">
        <f ca="1">AVERAGE(E1472:OFFSET(E1472,-M$5+1,0))</f>
        <v>8678.9989999999998</v>
      </c>
      <c r="N1472" s="9">
        <f ca="1">AVERAGE(E1472:OFFSET(E1472,-N$5+1,0))</f>
        <v>8501.873999999998</v>
      </c>
      <c r="O1472" s="9">
        <f t="shared" ca="1" si="319"/>
        <v>0</v>
      </c>
      <c r="P1472" s="14">
        <f t="shared" si="310"/>
        <v>4.3943418978660144E-2</v>
      </c>
      <c r="Q1472" s="15">
        <f ca="1">STDEV(P1472:OFFSET(P1472,-$Q$5+1,0))</f>
        <v>0.60926800369489509</v>
      </c>
      <c r="R1472" s="15">
        <f ca="1">STDEV(P1472:OFFSET(P1472,-$R$5+1,0))</f>
        <v>0.70616256968972413</v>
      </c>
      <c r="S1472" s="18">
        <f t="shared" si="311"/>
        <v>71.719999999999345</v>
      </c>
      <c r="T1472" s="18">
        <f t="shared" si="312"/>
        <v>71.719999999999345</v>
      </c>
      <c r="U1472" s="18">
        <f t="shared" si="320"/>
        <v>73.504347272200107</v>
      </c>
      <c r="V1472" s="33">
        <f ca="1">AVERAGE(E1472:OFFSET(E1472,-V$5+1,0))</f>
        <v>8585.1271428571436</v>
      </c>
      <c r="W1472" s="33">
        <f t="shared" ca="1" si="313"/>
        <v>8695.383663765444</v>
      </c>
      <c r="X1472" s="33">
        <f t="shared" ca="1" si="314"/>
        <v>8474.8706219488431</v>
      </c>
      <c r="Y1472" s="32">
        <f t="shared" ca="1" si="321"/>
        <v>0</v>
      </c>
    </row>
    <row r="1473" spans="1:25">
      <c r="A1473" s="5">
        <v>40527</v>
      </c>
      <c r="B1473" s="4">
        <v>8755.32</v>
      </c>
      <c r="C1473" s="4">
        <v>8756.7099999999991</v>
      </c>
      <c r="D1473" s="4">
        <v>8698.41</v>
      </c>
      <c r="E1473" s="4">
        <v>8756.7099999999991</v>
      </c>
      <c r="F1473" s="4">
        <v>3622600</v>
      </c>
      <c r="G1473" s="8">
        <f t="shared" si="309"/>
        <v>14.889999999999418</v>
      </c>
      <c r="H1473" s="8">
        <f t="shared" si="308"/>
        <v>1.3899999999994179</v>
      </c>
      <c r="I1473" s="20">
        <f t="shared" ca="1" si="315"/>
        <v>0</v>
      </c>
      <c r="J1473" s="8">
        <f t="shared" ca="1" si="316"/>
        <v>3</v>
      </c>
      <c r="K1473" s="8">
        <f t="shared" ca="1" si="317"/>
        <v>48.839999999996508</v>
      </c>
      <c r="L1473" s="8">
        <f t="shared" ca="1" si="318"/>
        <v>18289.480000000007</v>
      </c>
      <c r="M1473" s="9">
        <f ca="1">AVERAGE(E1473:OFFSET(E1473,-M$5+1,0))</f>
        <v>8702.6589999999997</v>
      </c>
      <c r="N1473" s="9">
        <f ca="1">AVERAGE(E1473:OFFSET(E1473,-N$5+1,0))</f>
        <v>8526.932499999999</v>
      </c>
      <c r="O1473" s="9">
        <f t="shared" ca="1" si="319"/>
        <v>0</v>
      </c>
      <c r="P1473" s="14">
        <f t="shared" si="310"/>
        <v>0.18608760857998127</v>
      </c>
      <c r="Q1473" s="15">
        <f ca="1">STDEV(P1473:OFFSET(P1473,-$Q$5+1,0))</f>
        <v>0.39718869161013126</v>
      </c>
      <c r="R1473" s="15">
        <f ca="1">STDEV(P1473:OFFSET(P1473,-$R$5+1,0))</f>
        <v>0.69524806329276745</v>
      </c>
      <c r="S1473" s="18">
        <f t="shared" si="311"/>
        <v>58.299999999999272</v>
      </c>
      <c r="T1473" s="18">
        <f t="shared" si="312"/>
        <v>58.299999999999272</v>
      </c>
      <c r="U1473" s="18">
        <f t="shared" si="320"/>
        <v>71.477100969239999</v>
      </c>
      <c r="V1473" s="33">
        <f ca="1">AVERAGE(E1473:OFFSET(E1473,-V$5+1,0))</f>
        <v>8614.1785714285706</v>
      </c>
      <c r="W1473" s="33">
        <f t="shared" ca="1" si="313"/>
        <v>8721.3942228824308</v>
      </c>
      <c r="X1473" s="33">
        <f t="shared" ca="1" si="314"/>
        <v>8506.9629199747105</v>
      </c>
      <c r="Y1473" s="32">
        <f t="shared" ca="1" si="321"/>
        <v>0</v>
      </c>
    </row>
    <row r="1474" spans="1:25">
      <c r="A1474" s="5">
        <v>40528</v>
      </c>
      <c r="B1474" s="4">
        <v>8770.74</v>
      </c>
      <c r="C1474" s="4">
        <v>8797.98</v>
      </c>
      <c r="D1474" s="4">
        <v>8767.44</v>
      </c>
      <c r="E1474" s="4">
        <v>8782.2000000000007</v>
      </c>
      <c r="F1474" s="4">
        <v>3719600</v>
      </c>
      <c r="G1474" s="8">
        <f t="shared" si="309"/>
        <v>14.030000000000655</v>
      </c>
      <c r="H1474" s="8">
        <f t="shared" si="308"/>
        <v>11.460000000000946</v>
      </c>
      <c r="I1474" s="20">
        <f t="shared" ca="1" si="315"/>
        <v>0</v>
      </c>
      <c r="J1474" s="8">
        <f t="shared" ca="1" si="316"/>
        <v>3</v>
      </c>
      <c r="K1474" s="8">
        <f t="shared" ca="1" si="317"/>
        <v>76.470000000004802</v>
      </c>
      <c r="L1474" s="8">
        <f t="shared" ca="1" si="318"/>
        <v>18365.950000000012</v>
      </c>
      <c r="M1474" s="9">
        <f ca="1">AVERAGE(E1474:OFFSET(E1474,-M$5+1,0))</f>
        <v>8722.3019999999979</v>
      </c>
      <c r="N1474" s="9">
        <f ca="1">AVERAGE(E1474:OFFSET(E1474,-N$5+1,0))</f>
        <v>8551.869999999999</v>
      </c>
      <c r="O1474" s="9">
        <f t="shared" ca="1" si="319"/>
        <v>0</v>
      </c>
      <c r="P1474" s="14">
        <f t="shared" si="310"/>
        <v>0.29066821081424504</v>
      </c>
      <c r="Q1474" s="15">
        <f ca="1">STDEV(P1474:OFFSET(P1474,-$Q$5+1,0))</f>
        <v>0.35800895974564362</v>
      </c>
      <c r="R1474" s="15">
        <f ca="1">STDEV(P1474:OFFSET(P1474,-$R$5+1,0))</f>
        <v>0.69521776926427747</v>
      </c>
      <c r="S1474" s="18">
        <f t="shared" si="311"/>
        <v>30.539999999999054</v>
      </c>
      <c r="T1474" s="18">
        <f t="shared" si="312"/>
        <v>41.270000000000437</v>
      </c>
      <c r="U1474" s="18">
        <f t="shared" si="320"/>
        <v>67.449487506674728</v>
      </c>
      <c r="V1474" s="33">
        <f ca="1">AVERAGE(E1474:OFFSET(E1474,-V$5+1,0))</f>
        <v>8647.7535714285714</v>
      </c>
      <c r="W1474" s="33">
        <f t="shared" ca="1" si="313"/>
        <v>8748.9278026885841</v>
      </c>
      <c r="X1474" s="33">
        <f t="shared" ca="1" si="314"/>
        <v>8546.5793401685587</v>
      </c>
      <c r="Y1474" s="32">
        <f t="shared" ca="1" si="321"/>
        <v>0</v>
      </c>
    </row>
    <row r="1475" spans="1:25">
      <c r="A1475" s="5">
        <v>40529</v>
      </c>
      <c r="B1475" s="4">
        <v>8828.0499999999993</v>
      </c>
      <c r="C1475" s="4">
        <v>8860.3799999999992</v>
      </c>
      <c r="D1475" s="4">
        <v>8817.51</v>
      </c>
      <c r="E1475" s="4">
        <v>8817.9</v>
      </c>
      <c r="F1475" s="4">
        <v>4232000</v>
      </c>
      <c r="G1475" s="8">
        <f t="shared" si="309"/>
        <v>45.849999999998545</v>
      </c>
      <c r="H1475" s="8">
        <f t="shared" si="308"/>
        <v>-10.149999999999636</v>
      </c>
      <c r="I1475" s="20">
        <f t="shared" ca="1" si="315"/>
        <v>0</v>
      </c>
      <c r="J1475" s="8">
        <f t="shared" ca="1" si="316"/>
        <v>3</v>
      </c>
      <c r="K1475" s="8">
        <f t="shared" ca="1" si="317"/>
        <v>107.09999999999673</v>
      </c>
      <c r="L1475" s="8">
        <f t="shared" ca="1" si="318"/>
        <v>18473.05000000001</v>
      </c>
      <c r="M1475" s="9">
        <f ca="1">AVERAGE(E1475:OFFSET(E1475,-M$5+1,0))</f>
        <v>8741.6909999999989</v>
      </c>
      <c r="N1475" s="9">
        <f ca="1">AVERAGE(E1475:OFFSET(E1475,-N$5+1,0))</f>
        <v>8577.4589999999989</v>
      </c>
      <c r="O1475" s="9">
        <f t="shared" ca="1" si="319"/>
        <v>0</v>
      </c>
      <c r="P1475" s="14">
        <f t="shared" si="310"/>
        <v>0.40568006956142477</v>
      </c>
      <c r="Q1475" s="15">
        <f ca="1">STDEV(P1475:OFFSET(P1475,-$Q$5+1,0))</f>
        <v>0.35558818459915859</v>
      </c>
      <c r="R1475" s="15">
        <f ca="1">STDEV(P1475:OFFSET(P1475,-$R$5+1,0))</f>
        <v>0.69481371579150308</v>
      </c>
      <c r="S1475" s="18">
        <f t="shared" si="311"/>
        <v>42.869999999998981</v>
      </c>
      <c r="T1475" s="18">
        <f t="shared" si="312"/>
        <v>78.179999999998472</v>
      </c>
      <c r="U1475" s="18">
        <f t="shared" si="320"/>
        <v>68.880222505784559</v>
      </c>
      <c r="V1475" s="33">
        <f ca="1">AVERAGE(E1475:OFFSET(E1475,-V$5+1,0))</f>
        <v>8679.9485714285711</v>
      </c>
      <c r="W1475" s="33">
        <f t="shared" ca="1" si="313"/>
        <v>8783.2689051872476</v>
      </c>
      <c r="X1475" s="33">
        <f t="shared" ca="1" si="314"/>
        <v>8576.6282376698946</v>
      </c>
      <c r="Y1475" s="32">
        <f t="shared" ca="1" si="321"/>
        <v>0</v>
      </c>
    </row>
    <row r="1476" spans="1:25">
      <c r="A1476" s="5">
        <v>40532</v>
      </c>
      <c r="B1476" s="4">
        <v>8861.09</v>
      </c>
      <c r="C1476" s="4">
        <v>8861.09</v>
      </c>
      <c r="D1476" s="4">
        <v>8740.2999999999993</v>
      </c>
      <c r="E1476" s="4">
        <v>8768.7199999999993</v>
      </c>
      <c r="F1476" s="4">
        <v>3183800</v>
      </c>
      <c r="G1476" s="8">
        <f t="shared" si="309"/>
        <v>43.190000000000509</v>
      </c>
      <c r="H1476" s="8">
        <f t="shared" ref="H1476:H1539" si="322">E1476-B1476</f>
        <v>-92.3700000000008</v>
      </c>
      <c r="I1476" s="20">
        <f t="shared" ca="1" si="315"/>
        <v>0</v>
      </c>
      <c r="J1476" s="8">
        <f t="shared" ca="1" si="316"/>
        <v>3</v>
      </c>
      <c r="K1476" s="8">
        <f t="shared" ca="1" si="317"/>
        <v>-147.54000000000087</v>
      </c>
      <c r="L1476" s="8">
        <f t="shared" ca="1" si="318"/>
        <v>18325.510000000009</v>
      </c>
      <c r="M1476" s="9">
        <f ca="1">AVERAGE(E1476:OFFSET(E1476,-M$5+1,0))</f>
        <v>8748.34</v>
      </c>
      <c r="N1476" s="9">
        <f ca="1">AVERAGE(E1476:OFFSET(E1476,-N$5+1,0))</f>
        <v>8597.1494999999995</v>
      </c>
      <c r="O1476" s="9">
        <f t="shared" ca="1" si="319"/>
        <v>0</v>
      </c>
      <c r="P1476" s="14">
        <f t="shared" si="310"/>
        <v>-0.55929028088515498</v>
      </c>
      <c r="Q1476" s="15">
        <f ca="1">STDEV(P1476:OFFSET(P1476,-$Q$5+1,0))</f>
        <v>0.34511427313781062</v>
      </c>
      <c r="R1476" s="15">
        <f ca="1">STDEV(P1476:OFFSET(P1476,-$R$5+1,0))</f>
        <v>0.6608077355633214</v>
      </c>
      <c r="S1476" s="18">
        <f t="shared" si="311"/>
        <v>120.79000000000087</v>
      </c>
      <c r="T1476" s="18">
        <f t="shared" si="312"/>
        <v>120.79000000000087</v>
      </c>
      <c r="U1476" s="18">
        <f t="shared" si="320"/>
        <v>75.801526171680067</v>
      </c>
      <c r="V1476" s="33">
        <f ca="1">AVERAGE(E1476:OFFSET(E1476,-V$5+1,0))</f>
        <v>8708.251428571426</v>
      </c>
      <c r="W1476" s="33">
        <f t="shared" ca="1" si="313"/>
        <v>8821.9537178289465</v>
      </c>
      <c r="X1476" s="33">
        <f t="shared" ca="1" si="314"/>
        <v>8594.5491393139055</v>
      </c>
      <c r="Y1476" s="32">
        <f t="shared" ca="1" si="321"/>
        <v>0</v>
      </c>
    </row>
    <row r="1477" spans="1:25">
      <c r="A1477" s="5">
        <v>40533</v>
      </c>
      <c r="B1477" s="4">
        <v>8802.86</v>
      </c>
      <c r="C1477" s="4">
        <v>8827.7900000000009</v>
      </c>
      <c r="D1477" s="4">
        <v>8772.59</v>
      </c>
      <c r="E1477" s="4">
        <v>8827.7900000000009</v>
      </c>
      <c r="F1477" s="4">
        <v>2753200</v>
      </c>
      <c r="G1477" s="8">
        <f t="shared" ref="G1477:G1540" si="323">B1477-E1476</f>
        <v>34.140000000001237</v>
      </c>
      <c r="H1477" s="8">
        <f t="shared" si="322"/>
        <v>24.930000000000291</v>
      </c>
      <c r="I1477" s="20">
        <f t="shared" ca="1" si="315"/>
        <v>0</v>
      </c>
      <c r="J1477" s="8">
        <f t="shared" ca="1" si="316"/>
        <v>3</v>
      </c>
      <c r="K1477" s="8">
        <f t="shared" ca="1" si="317"/>
        <v>177.21000000000458</v>
      </c>
      <c r="L1477" s="8">
        <f t="shared" ca="1" si="318"/>
        <v>18502.720000000016</v>
      </c>
      <c r="M1477" s="9">
        <f ca="1">AVERAGE(E1477:OFFSET(E1477,-M$5+1,0))</f>
        <v>8760.6799999999985</v>
      </c>
      <c r="N1477" s="9">
        <f ca="1">AVERAGE(E1477:OFFSET(E1477,-N$5+1,0))</f>
        <v>8622.1075000000001</v>
      </c>
      <c r="O1477" s="9">
        <f t="shared" ca="1" si="319"/>
        <v>0</v>
      </c>
      <c r="P1477" s="14">
        <f t="shared" ref="P1477:P1540" si="324">100*LN(E1477/E1476)</f>
        <v>0.67138565415304363</v>
      </c>
      <c r="Q1477" s="15">
        <f ca="1">STDEV(P1477:OFFSET(P1477,-$Q$5+1,0))</f>
        <v>0.39183970771317855</v>
      </c>
      <c r="R1477" s="15">
        <f ca="1">STDEV(P1477:OFFSET(P1477,-$R$5+1,0))</f>
        <v>0.66459849189559805</v>
      </c>
      <c r="S1477" s="18">
        <f t="shared" si="311"/>
        <v>55.200000000000728</v>
      </c>
      <c r="T1477" s="18">
        <f t="shared" si="312"/>
        <v>59.070000000001528</v>
      </c>
      <c r="U1477" s="18">
        <f t="shared" si="320"/>
        <v>73.570656015456265</v>
      </c>
      <c r="V1477" s="33">
        <f ca="1">AVERAGE(E1477:OFFSET(E1477,-V$5+1,0))</f>
        <v>8730.2285714285699</v>
      </c>
      <c r="W1477" s="33">
        <f t="shared" ca="1" si="313"/>
        <v>8840.5845554517546</v>
      </c>
      <c r="X1477" s="33">
        <f t="shared" ca="1" si="314"/>
        <v>8619.8725874053853</v>
      </c>
      <c r="Y1477" s="32">
        <f t="shared" ca="1" si="321"/>
        <v>0</v>
      </c>
    </row>
    <row r="1478" spans="1:25">
      <c r="A1478" s="5">
        <v>40534</v>
      </c>
      <c r="B1478" s="4">
        <v>8847.27</v>
      </c>
      <c r="C1478" s="4">
        <v>8865.42</v>
      </c>
      <c r="D1478" s="4">
        <v>8834.32</v>
      </c>
      <c r="E1478" s="4">
        <v>8860.49</v>
      </c>
      <c r="F1478" s="4">
        <v>3464800</v>
      </c>
      <c r="G1478" s="8">
        <f t="shared" si="323"/>
        <v>19.479999999999563</v>
      </c>
      <c r="H1478" s="8">
        <f t="shared" si="322"/>
        <v>13.219999999999345</v>
      </c>
      <c r="I1478" s="20">
        <f t="shared" ca="1" si="315"/>
        <v>1</v>
      </c>
      <c r="J1478" s="8">
        <f t="shared" ca="1" si="316"/>
        <v>3</v>
      </c>
      <c r="K1478" s="8">
        <f t="shared" ca="1" si="317"/>
        <v>98.099999999996726</v>
      </c>
      <c r="L1478" s="8">
        <f t="shared" ca="1" si="318"/>
        <v>18600.820000000014</v>
      </c>
      <c r="M1478" s="9">
        <f ca="1">AVERAGE(E1478:OFFSET(E1478,-M$5+1,0))</f>
        <v>8776.3500000000022</v>
      </c>
      <c r="N1478" s="9">
        <f ca="1">AVERAGE(E1478:OFFSET(E1478,-N$5+1,0))</f>
        <v>8650.2795000000006</v>
      </c>
      <c r="O1478" s="9">
        <f t="shared" ca="1" si="319"/>
        <v>0</v>
      </c>
      <c r="P1478" s="14">
        <f t="shared" si="324"/>
        <v>0.36973676640328018</v>
      </c>
      <c r="Q1478" s="15">
        <f ca="1">STDEV(P1478:OFFSET(P1478,-$Q$5+1,0))</f>
        <v>0.39416296359757402</v>
      </c>
      <c r="R1478" s="15">
        <f ca="1">STDEV(P1478:OFFSET(P1478,-$R$5+1,0))</f>
        <v>0.65363966886580194</v>
      </c>
      <c r="S1478" s="18">
        <f t="shared" si="311"/>
        <v>31.100000000000364</v>
      </c>
      <c r="T1478" s="18">
        <f t="shared" si="312"/>
        <v>37.6299999999992</v>
      </c>
      <c r="U1478" s="18">
        <f t="shared" si="320"/>
        <v>68.77856854672865</v>
      </c>
      <c r="V1478" s="33">
        <f ca="1">AVERAGE(E1478:OFFSET(E1478,-V$5+1,0))</f>
        <v>8749.8514285714264</v>
      </c>
      <c r="W1478" s="33">
        <f t="shared" ca="1" si="313"/>
        <v>8853.0192813915201</v>
      </c>
      <c r="X1478" s="33">
        <f t="shared" ca="1" si="314"/>
        <v>8646.6835757513327</v>
      </c>
      <c r="Y1478" s="32">
        <f t="shared" ca="1" si="321"/>
        <v>1</v>
      </c>
    </row>
    <row r="1479" spans="1:25">
      <c r="A1479" s="5">
        <v>40535</v>
      </c>
      <c r="B1479" s="4">
        <v>8891.41</v>
      </c>
      <c r="C1479" s="4">
        <v>8914.34</v>
      </c>
      <c r="D1479" s="4">
        <v>8874.8700000000008</v>
      </c>
      <c r="E1479" s="4">
        <v>8898.8700000000008</v>
      </c>
      <c r="F1479" s="4">
        <v>4002600</v>
      </c>
      <c r="G1479" s="8">
        <f t="shared" si="323"/>
        <v>30.920000000000073</v>
      </c>
      <c r="H1479" s="8">
        <f t="shared" si="322"/>
        <v>7.4600000000009459</v>
      </c>
      <c r="I1479" s="20">
        <f t="shared" ca="1" si="315"/>
        <v>0</v>
      </c>
      <c r="J1479" s="8">
        <f t="shared" ca="1" si="316"/>
        <v>3</v>
      </c>
      <c r="K1479" s="8">
        <f t="shared" ca="1" si="317"/>
        <v>115.14000000000306</v>
      </c>
      <c r="L1479" s="8">
        <f t="shared" ca="1" si="318"/>
        <v>18715.960000000017</v>
      </c>
      <c r="M1479" s="9">
        <f ca="1">AVERAGE(E1479:OFFSET(E1479,-M$5+1,0))</f>
        <v>8790.8529999999992</v>
      </c>
      <c r="N1479" s="9">
        <f ca="1">AVERAGE(E1479:OFFSET(E1479,-N$5+1,0))</f>
        <v>8677.7235000000001</v>
      </c>
      <c r="O1479" s="9">
        <f t="shared" ca="1" si="319"/>
        <v>0</v>
      </c>
      <c r="P1479" s="14">
        <f t="shared" si="324"/>
        <v>0.43222345569123821</v>
      </c>
      <c r="Q1479" s="15">
        <f ca="1">STDEV(P1479:OFFSET(P1479,-$Q$5+1,0))</f>
        <v>0.38074582683950342</v>
      </c>
      <c r="R1479" s="15">
        <f ca="1">STDEV(P1479:OFFSET(P1479,-$R$5+1,0))</f>
        <v>0.64810223441745241</v>
      </c>
      <c r="S1479" s="18">
        <f t="shared" si="311"/>
        <v>39.469999999999345</v>
      </c>
      <c r="T1479" s="18">
        <f t="shared" si="312"/>
        <v>53.850000000000364</v>
      </c>
      <c r="U1479" s="18">
        <f t="shared" si="320"/>
        <v>66.788092740498215</v>
      </c>
      <c r="V1479" s="33">
        <f ca="1">AVERAGE(E1479:OFFSET(E1479,-V$5+1,0))</f>
        <v>8769.4842857142849</v>
      </c>
      <c r="W1479" s="33">
        <f t="shared" ca="1" si="313"/>
        <v>8869.6664248250327</v>
      </c>
      <c r="X1479" s="33">
        <f t="shared" ca="1" si="314"/>
        <v>8669.302146603537</v>
      </c>
      <c r="Y1479" s="32">
        <f t="shared" ca="1" si="321"/>
        <v>0</v>
      </c>
    </row>
    <row r="1480" spans="1:25">
      <c r="A1480" s="5">
        <v>40536</v>
      </c>
      <c r="B1480" s="4">
        <v>8910.61</v>
      </c>
      <c r="C1480" s="4">
        <v>8911.41</v>
      </c>
      <c r="D1480" s="4">
        <v>8861.01</v>
      </c>
      <c r="E1480" s="4">
        <v>8861.1</v>
      </c>
      <c r="F1480" s="4">
        <v>3616800</v>
      </c>
      <c r="G1480" s="8">
        <f t="shared" si="323"/>
        <v>11.739999999999782</v>
      </c>
      <c r="H1480" s="8">
        <f t="shared" si="322"/>
        <v>-49.510000000000218</v>
      </c>
      <c r="I1480" s="20">
        <f t="shared" ca="1" si="315"/>
        <v>0</v>
      </c>
      <c r="J1480" s="8">
        <f t="shared" ca="1" si="316"/>
        <v>3</v>
      </c>
      <c r="K1480" s="8">
        <f t="shared" ca="1" si="317"/>
        <v>-113.31000000000131</v>
      </c>
      <c r="L1480" s="8">
        <f t="shared" ca="1" si="318"/>
        <v>18602.650000000016</v>
      </c>
      <c r="M1480" s="9">
        <f ca="1">AVERAGE(E1480:OFFSET(E1480,-M$5+1,0))</f>
        <v>8805.08</v>
      </c>
      <c r="N1480" s="9">
        <f ca="1">AVERAGE(E1480:OFFSET(E1480,-N$5+1,0))</f>
        <v>8705.1709999999985</v>
      </c>
      <c r="O1480" s="9">
        <f t="shared" ca="1" si="319"/>
        <v>0</v>
      </c>
      <c r="P1480" s="14">
        <f t="shared" si="324"/>
        <v>-0.42533919756043242</v>
      </c>
      <c r="Q1480" s="15">
        <f ca="1">STDEV(P1480:OFFSET(P1480,-$Q$5+1,0))</f>
        <v>0.3848593236039563</v>
      </c>
      <c r="R1480" s="15">
        <f ca="1">STDEV(P1480:OFFSET(P1480,-$R$5+1,0))</f>
        <v>0.63632056475505105</v>
      </c>
      <c r="S1480" s="18">
        <f t="shared" si="311"/>
        <v>50.399999999999636</v>
      </c>
      <c r="T1480" s="18">
        <f t="shared" si="312"/>
        <v>50.399999999999636</v>
      </c>
      <c r="U1480" s="18">
        <f t="shared" si="320"/>
        <v>64.603013708431746</v>
      </c>
      <c r="V1480" s="33">
        <f ca="1">AVERAGE(E1480:OFFSET(E1480,-V$5+1,0))</f>
        <v>8780.8321428571435</v>
      </c>
      <c r="W1480" s="33">
        <f t="shared" ca="1" si="313"/>
        <v>8877.7366634197915</v>
      </c>
      <c r="X1480" s="33">
        <f t="shared" ca="1" si="314"/>
        <v>8683.9276222944954</v>
      </c>
      <c r="Y1480" s="32">
        <f t="shared" ca="1" si="321"/>
        <v>0</v>
      </c>
    </row>
    <row r="1481" spans="1:25">
      <c r="A1481" s="5">
        <v>40539</v>
      </c>
      <c r="B1481" s="4">
        <v>8866.67</v>
      </c>
      <c r="C1481" s="4">
        <v>8908.42</v>
      </c>
      <c r="D1481" s="4">
        <v>8828.67</v>
      </c>
      <c r="E1481" s="4">
        <v>8892.31</v>
      </c>
      <c r="F1481" s="4">
        <v>3458600</v>
      </c>
      <c r="G1481" s="8">
        <f t="shared" si="323"/>
        <v>5.569999999999709</v>
      </c>
      <c r="H1481" s="8">
        <f t="shared" si="322"/>
        <v>25.639999999999418</v>
      </c>
      <c r="I1481" s="20">
        <f t="shared" ca="1" si="315"/>
        <v>0</v>
      </c>
      <c r="J1481" s="8">
        <f t="shared" ca="1" si="316"/>
        <v>3</v>
      </c>
      <c r="K1481" s="8">
        <f t="shared" ca="1" si="317"/>
        <v>93.629999999997381</v>
      </c>
      <c r="L1481" s="8">
        <f t="shared" ca="1" si="318"/>
        <v>18696.280000000013</v>
      </c>
      <c r="M1481" s="9">
        <f ca="1">AVERAGE(E1481:OFFSET(E1481,-M$5+1,0))</f>
        <v>8820.652</v>
      </c>
      <c r="N1481" s="9">
        <f ca="1">AVERAGE(E1481:OFFSET(E1481,-N$5+1,0))</f>
        <v>8731.4279999999981</v>
      </c>
      <c r="O1481" s="9">
        <f t="shared" ca="1" si="319"/>
        <v>0</v>
      </c>
      <c r="P1481" s="14">
        <f t="shared" si="324"/>
        <v>0.3515947882824334</v>
      </c>
      <c r="Q1481" s="15">
        <f ca="1">STDEV(P1481:OFFSET(P1481,-$Q$5+1,0))</f>
        <v>0.38946165903064395</v>
      </c>
      <c r="R1481" s="15">
        <f ca="1">STDEV(P1481:OFFSET(P1481,-$R$5+1,0))</f>
        <v>0.61848976211044704</v>
      </c>
      <c r="S1481" s="18">
        <f t="shared" si="311"/>
        <v>79.75</v>
      </c>
      <c r="T1481" s="18">
        <f t="shared" si="312"/>
        <v>79.75</v>
      </c>
      <c r="U1481" s="18">
        <f t="shared" si="320"/>
        <v>66.622611880640846</v>
      </c>
      <c r="V1481" s="33">
        <f ca="1">AVERAGE(E1481:OFFSET(E1481,-V$5+1,0))</f>
        <v>8794.2549999999992</v>
      </c>
      <c r="W1481" s="33">
        <f t="shared" ca="1" si="313"/>
        <v>8894.1889178209603</v>
      </c>
      <c r="X1481" s="33">
        <f t="shared" ca="1" si="314"/>
        <v>8694.3210821790381</v>
      </c>
      <c r="Y1481" s="32">
        <f t="shared" ca="1" si="321"/>
        <v>0</v>
      </c>
    </row>
    <row r="1482" spans="1:25">
      <c r="A1482" s="5">
        <v>40540</v>
      </c>
      <c r="B1482" s="4">
        <v>8919.26</v>
      </c>
      <c r="C1482" s="4">
        <v>8919.26</v>
      </c>
      <c r="D1482" s="4">
        <v>8839.83</v>
      </c>
      <c r="E1482" s="4">
        <v>8870.76</v>
      </c>
      <c r="F1482" s="4">
        <v>3177200</v>
      </c>
      <c r="G1482" s="8">
        <f t="shared" si="323"/>
        <v>26.950000000000728</v>
      </c>
      <c r="H1482" s="8">
        <f t="shared" si="322"/>
        <v>-48.5</v>
      </c>
      <c r="I1482" s="20">
        <f t="shared" ca="1" si="315"/>
        <v>0</v>
      </c>
      <c r="J1482" s="8">
        <f t="shared" ca="1" si="316"/>
        <v>3</v>
      </c>
      <c r="K1482" s="8">
        <f t="shared" ca="1" si="317"/>
        <v>-64.649999999997817</v>
      </c>
      <c r="L1482" s="8">
        <f t="shared" ca="1" si="318"/>
        <v>18631.630000000016</v>
      </c>
      <c r="M1482" s="9">
        <f ca="1">AVERAGE(E1482:OFFSET(E1482,-M$5+1,0))</f>
        <v>8833.6849999999995</v>
      </c>
      <c r="N1482" s="9">
        <f ca="1">AVERAGE(E1482:OFFSET(E1482,-N$5+1,0))</f>
        <v>8756.3419999999987</v>
      </c>
      <c r="O1482" s="9">
        <f t="shared" ca="1" si="319"/>
        <v>0</v>
      </c>
      <c r="P1482" s="14">
        <f t="shared" si="324"/>
        <v>-0.24263835668806091</v>
      </c>
      <c r="Q1482" s="15">
        <f ca="1">STDEV(P1482:OFFSET(P1482,-$Q$5+1,0))</f>
        <v>0.4102997753824924</v>
      </c>
      <c r="R1482" s="15">
        <f ca="1">STDEV(P1482:OFFSET(P1482,-$R$5+1,0))</f>
        <v>0.61497321441905484</v>
      </c>
      <c r="S1482" s="18">
        <f t="shared" si="311"/>
        <v>79.430000000000291</v>
      </c>
      <c r="T1482" s="18">
        <f t="shared" si="312"/>
        <v>79.430000000000291</v>
      </c>
      <c r="U1482" s="18">
        <f t="shared" si="320"/>
        <v>68.330263629888776</v>
      </c>
      <c r="V1482" s="33">
        <f ca="1">AVERAGE(E1482:OFFSET(E1482,-V$5+1,0))</f>
        <v>8806.1814285714299</v>
      </c>
      <c r="W1482" s="33">
        <f t="shared" ca="1" si="313"/>
        <v>8908.6768240162637</v>
      </c>
      <c r="X1482" s="33">
        <f t="shared" ca="1" si="314"/>
        <v>8703.6860331265962</v>
      </c>
      <c r="Y1482" s="32">
        <f t="shared" ca="1" si="321"/>
        <v>0</v>
      </c>
    </row>
    <row r="1483" spans="1:25">
      <c r="A1483" s="5">
        <v>40541</v>
      </c>
      <c r="B1483" s="4">
        <v>8878.1</v>
      </c>
      <c r="C1483" s="4">
        <v>8893.14</v>
      </c>
      <c r="D1483" s="4">
        <v>8844.67</v>
      </c>
      <c r="E1483" s="4">
        <v>8866.35</v>
      </c>
      <c r="F1483" s="4">
        <v>4915200</v>
      </c>
      <c r="G1483" s="8">
        <f t="shared" si="323"/>
        <v>7.3400000000001455</v>
      </c>
      <c r="H1483" s="8">
        <f t="shared" si="322"/>
        <v>-11.75</v>
      </c>
      <c r="I1483" s="20">
        <f t="shared" ca="1" si="315"/>
        <v>0</v>
      </c>
      <c r="J1483" s="8">
        <f t="shared" ca="1" si="316"/>
        <v>3</v>
      </c>
      <c r="K1483" s="8">
        <f t="shared" ca="1" si="317"/>
        <v>-13.229999999999563</v>
      </c>
      <c r="L1483" s="8">
        <f t="shared" ca="1" si="318"/>
        <v>18618.400000000016</v>
      </c>
      <c r="M1483" s="9">
        <f ca="1">AVERAGE(E1483:OFFSET(E1483,-M$5+1,0))</f>
        <v>8844.6490000000013</v>
      </c>
      <c r="N1483" s="9">
        <f ca="1">AVERAGE(E1483:OFFSET(E1483,-N$5+1,0))</f>
        <v>8773.6539999999986</v>
      </c>
      <c r="O1483" s="9">
        <f t="shared" ca="1" si="319"/>
        <v>0</v>
      </c>
      <c r="P1483" s="14">
        <f t="shared" si="324"/>
        <v>-4.9726252933779996E-2</v>
      </c>
      <c r="Q1483" s="15">
        <f ca="1">STDEV(P1483:OFFSET(P1483,-$Q$5+1,0))</f>
        <v>0.41462197856908461</v>
      </c>
      <c r="R1483" s="15">
        <f ca="1">STDEV(P1483:OFFSET(P1483,-$R$5+1,0))</f>
        <v>0.60338104488673316</v>
      </c>
      <c r="S1483" s="18">
        <f t="shared" si="311"/>
        <v>48.469999999999345</v>
      </c>
      <c r="T1483" s="18">
        <f t="shared" si="312"/>
        <v>48.469999999999345</v>
      </c>
      <c r="U1483" s="18">
        <f t="shared" si="320"/>
        <v>65.682228479236855</v>
      </c>
      <c r="V1483" s="33">
        <f ca="1">AVERAGE(E1483:OFFSET(E1483,-V$5+1,0))</f>
        <v>8814.2178571428576</v>
      </c>
      <c r="W1483" s="33">
        <f t="shared" ca="1" si="313"/>
        <v>8912.7411998617135</v>
      </c>
      <c r="X1483" s="33">
        <f t="shared" ca="1" si="314"/>
        <v>8715.6945144240017</v>
      </c>
      <c r="Y1483" s="32">
        <f t="shared" ca="1" si="321"/>
        <v>0</v>
      </c>
    </row>
    <row r="1484" spans="1:25">
      <c r="A1484" s="5">
        <v>40542</v>
      </c>
      <c r="B1484" s="4">
        <v>8883.2099999999991</v>
      </c>
      <c r="C1484" s="4">
        <v>8920.7900000000009</v>
      </c>
      <c r="D1484" s="4">
        <v>8871.07</v>
      </c>
      <c r="E1484" s="4">
        <v>8907.91</v>
      </c>
      <c r="F1484" s="4">
        <v>3983000</v>
      </c>
      <c r="G1484" s="8">
        <f t="shared" si="323"/>
        <v>16.859999999998763</v>
      </c>
      <c r="H1484" s="8">
        <f t="shared" si="322"/>
        <v>24.700000000000728</v>
      </c>
      <c r="I1484" s="20">
        <f t="shared" ca="1" si="315"/>
        <v>0</v>
      </c>
      <c r="J1484" s="8">
        <f t="shared" ca="1" si="316"/>
        <v>3</v>
      </c>
      <c r="K1484" s="8">
        <f t="shared" ca="1" si="317"/>
        <v>124.67999999999847</v>
      </c>
      <c r="L1484" s="8">
        <f t="shared" ca="1" si="318"/>
        <v>18743.080000000016</v>
      </c>
      <c r="M1484" s="9">
        <f ca="1">AVERAGE(E1484:OFFSET(E1484,-M$5+1,0))</f>
        <v>8857.2200000000012</v>
      </c>
      <c r="N1484" s="9">
        <f ca="1">AVERAGE(E1484:OFFSET(E1484,-N$5+1,0))</f>
        <v>8789.7610000000004</v>
      </c>
      <c r="O1484" s="9">
        <f t="shared" ca="1" si="319"/>
        <v>0</v>
      </c>
      <c r="P1484" s="14">
        <f t="shared" si="324"/>
        <v>0.46764338700711183</v>
      </c>
      <c r="Q1484" s="15">
        <f ca="1">STDEV(P1484:OFFSET(P1484,-$Q$5+1,0))</f>
        <v>0.42612347102722292</v>
      </c>
      <c r="R1484" s="15">
        <f ca="1">STDEV(P1484:OFFSET(P1484,-$R$5+1,0))</f>
        <v>0.59754652295307964</v>
      </c>
      <c r="S1484" s="18">
        <f t="shared" si="311"/>
        <v>49.720000000001164</v>
      </c>
      <c r="T1484" s="18">
        <f t="shared" si="312"/>
        <v>54.440000000000509</v>
      </c>
      <c r="U1484" s="18">
        <f t="shared" si="320"/>
        <v>64.183264682005344</v>
      </c>
      <c r="V1484" s="33">
        <f ca="1">AVERAGE(E1484:OFFSET(E1484,-V$5+1,0))</f>
        <v>8827.7235714285725</v>
      </c>
      <c r="W1484" s="33">
        <f t="shared" ca="1" si="313"/>
        <v>8923.9984684515803</v>
      </c>
      <c r="X1484" s="33">
        <f t="shared" ca="1" si="314"/>
        <v>8731.4486744055648</v>
      </c>
      <c r="Y1484" s="32">
        <f t="shared" ca="1" si="321"/>
        <v>0</v>
      </c>
    </row>
    <row r="1485" spans="1:25">
      <c r="A1485" s="5">
        <v>40543</v>
      </c>
      <c r="B1485" s="4">
        <v>8936.11</v>
      </c>
      <c r="C1485" s="4">
        <v>8990.3799999999992</v>
      </c>
      <c r="D1485" s="4">
        <v>8932.64</v>
      </c>
      <c r="E1485" s="4">
        <v>8972.5</v>
      </c>
      <c r="F1485" s="4">
        <v>4857800</v>
      </c>
      <c r="G1485" s="8">
        <f t="shared" si="323"/>
        <v>28.200000000000728</v>
      </c>
      <c r="H1485" s="8">
        <f t="shared" si="322"/>
        <v>36.389999999999418</v>
      </c>
      <c r="I1485" s="20">
        <f t="shared" ca="1" si="315"/>
        <v>1</v>
      </c>
      <c r="J1485" s="8">
        <f t="shared" ca="1" si="316"/>
        <v>3</v>
      </c>
      <c r="K1485" s="8">
        <f t="shared" ca="1" si="317"/>
        <v>193.77000000000044</v>
      </c>
      <c r="L1485" s="8">
        <f t="shared" ca="1" si="318"/>
        <v>18936.850000000017</v>
      </c>
      <c r="M1485" s="9">
        <f ca="1">AVERAGE(E1485:OFFSET(E1485,-M$5+1,0))</f>
        <v>8872.68</v>
      </c>
      <c r="N1485" s="9">
        <f ca="1">AVERAGE(E1485:OFFSET(E1485,-N$5+1,0))</f>
        <v>8807.1854999999996</v>
      </c>
      <c r="O1485" s="9">
        <f t="shared" ca="1" si="319"/>
        <v>0</v>
      </c>
      <c r="P1485" s="14">
        <f t="shared" si="324"/>
        <v>0.72246979734950667</v>
      </c>
      <c r="Q1485" s="15">
        <f ca="1">STDEV(P1485:OFFSET(P1485,-$Q$5+1,0))</f>
        <v>0.45844336615537123</v>
      </c>
      <c r="R1485" s="15">
        <f ca="1">STDEV(P1485:OFFSET(P1485,-$R$5+1,0))</f>
        <v>0.58562802093302502</v>
      </c>
      <c r="S1485" s="18">
        <f t="shared" si="311"/>
        <v>57.739999999999782</v>
      </c>
      <c r="T1485" s="18">
        <f t="shared" si="312"/>
        <v>82.469999999999345</v>
      </c>
      <c r="U1485" s="18">
        <f t="shared" si="320"/>
        <v>66.621496057737886</v>
      </c>
      <c r="V1485" s="33">
        <f ca="1">AVERAGE(E1485:OFFSET(E1485,-V$5+1,0))</f>
        <v>8844.5742857142868</v>
      </c>
      <c r="W1485" s="33">
        <f t="shared" ca="1" si="313"/>
        <v>8944.506529800894</v>
      </c>
      <c r="X1485" s="33">
        <f t="shared" ca="1" si="314"/>
        <v>8744.6420416276796</v>
      </c>
      <c r="Y1485" s="32">
        <f t="shared" ca="1" si="321"/>
        <v>1</v>
      </c>
    </row>
    <row r="1486" spans="1:25">
      <c r="A1486" s="5">
        <v>40546</v>
      </c>
      <c r="B1486" s="4">
        <v>9039.6299999999992</v>
      </c>
      <c r="C1486" s="4">
        <v>9041.32</v>
      </c>
      <c r="D1486" s="4">
        <v>8994.5</v>
      </c>
      <c r="E1486" s="4">
        <v>9025.2999999999993</v>
      </c>
      <c r="F1486" s="4">
        <v>5067400</v>
      </c>
      <c r="G1486" s="8">
        <f t="shared" si="323"/>
        <v>67.1299999999992</v>
      </c>
      <c r="H1486" s="8">
        <f t="shared" si="322"/>
        <v>-14.329999999999927</v>
      </c>
      <c r="I1486" s="20">
        <f t="shared" ca="1" si="315"/>
        <v>0</v>
      </c>
      <c r="J1486" s="8">
        <f t="shared" ca="1" si="316"/>
        <v>3</v>
      </c>
      <c r="K1486" s="8">
        <f t="shared" ca="1" si="317"/>
        <v>158.39999999999782</v>
      </c>
      <c r="L1486" s="8">
        <f t="shared" ca="1" si="318"/>
        <v>19095.250000000015</v>
      </c>
      <c r="M1486" s="9">
        <f ca="1">AVERAGE(E1486:OFFSET(E1486,-M$5+1,0))</f>
        <v>8898.3379999999997</v>
      </c>
      <c r="N1486" s="9">
        <f ca="1">AVERAGE(E1486:OFFSET(E1486,-N$5+1,0))</f>
        <v>8823.3390000000018</v>
      </c>
      <c r="O1486" s="9">
        <f t="shared" ca="1" si="319"/>
        <v>0</v>
      </c>
      <c r="P1486" s="14">
        <f t="shared" si="324"/>
        <v>0.58674006240795706</v>
      </c>
      <c r="Q1486" s="15">
        <f ca="1">STDEV(P1486:OFFSET(P1486,-$Q$5+1,0))</f>
        <v>0.39345743277354578</v>
      </c>
      <c r="R1486" s="15">
        <f ca="1">STDEV(P1486:OFFSET(P1486,-$R$5+1,0))</f>
        <v>0.58640428138882461</v>
      </c>
      <c r="S1486" s="18">
        <f t="shared" si="311"/>
        <v>46.819999999999709</v>
      </c>
      <c r="T1486" s="18">
        <f t="shared" si="312"/>
        <v>68.819999999999709</v>
      </c>
      <c r="U1486" s="18">
        <f t="shared" si="320"/>
        <v>66.914629916706133</v>
      </c>
      <c r="V1486" s="33">
        <f ca="1">AVERAGE(E1486:OFFSET(E1486,-V$5+1,0))</f>
        <v>8864.9221428571436</v>
      </c>
      <c r="W1486" s="33">
        <f t="shared" ca="1" si="313"/>
        <v>8965.2940877322035</v>
      </c>
      <c r="X1486" s="33">
        <f t="shared" ca="1" si="314"/>
        <v>8764.5501979820838</v>
      </c>
      <c r="Y1486" s="32">
        <f t="shared" ca="1" si="321"/>
        <v>0</v>
      </c>
    </row>
    <row r="1487" spans="1:25">
      <c r="A1487" s="5">
        <v>40547</v>
      </c>
      <c r="B1487" s="4">
        <v>9045.11</v>
      </c>
      <c r="C1487" s="4">
        <v>9046.18</v>
      </c>
      <c r="D1487" s="4">
        <v>8988.58</v>
      </c>
      <c r="E1487" s="4">
        <v>8997.19</v>
      </c>
      <c r="F1487" s="4">
        <v>5270400</v>
      </c>
      <c r="G1487" s="8">
        <f t="shared" si="323"/>
        <v>19.81000000000131</v>
      </c>
      <c r="H1487" s="8">
        <f t="shared" si="322"/>
        <v>-47.920000000000073</v>
      </c>
      <c r="I1487" s="20">
        <f t="shared" ca="1" si="315"/>
        <v>0</v>
      </c>
      <c r="J1487" s="8">
        <f t="shared" ca="1" si="316"/>
        <v>3</v>
      </c>
      <c r="K1487" s="8">
        <f t="shared" ca="1" si="317"/>
        <v>-84.329999999996289</v>
      </c>
      <c r="L1487" s="8">
        <f t="shared" ca="1" si="318"/>
        <v>19010.92000000002</v>
      </c>
      <c r="M1487" s="9">
        <f ca="1">AVERAGE(E1487:OFFSET(E1487,-M$5+1,0))</f>
        <v>8915.2780000000002</v>
      </c>
      <c r="N1487" s="9">
        <f ca="1">AVERAGE(E1487:OFFSET(E1487,-N$5+1,0))</f>
        <v>8837.9789999999994</v>
      </c>
      <c r="O1487" s="9">
        <f t="shared" ca="1" si="319"/>
        <v>0</v>
      </c>
      <c r="P1487" s="14">
        <f t="shared" si="324"/>
        <v>-0.31194383012133742</v>
      </c>
      <c r="Q1487" s="15">
        <f ca="1">STDEV(P1487:OFFSET(P1487,-$Q$5+1,0))</f>
        <v>0.40965263044332106</v>
      </c>
      <c r="R1487" s="15">
        <f ca="1">STDEV(P1487:OFFSET(P1487,-$R$5+1,0))</f>
        <v>0.59133761366458526</v>
      </c>
      <c r="S1487" s="18">
        <f t="shared" si="311"/>
        <v>57.600000000000364</v>
      </c>
      <c r="T1487" s="18">
        <f t="shared" si="312"/>
        <v>57.600000000000364</v>
      </c>
      <c r="U1487" s="18">
        <f t="shared" si="320"/>
        <v>65.672679261145362</v>
      </c>
      <c r="V1487" s="33">
        <f ca="1">AVERAGE(E1487:OFFSET(E1487,-V$5+1,0))</f>
        <v>8882.0992857142865</v>
      </c>
      <c r="W1487" s="33">
        <f t="shared" ca="1" si="313"/>
        <v>8980.6083046060048</v>
      </c>
      <c r="X1487" s="33">
        <f t="shared" ca="1" si="314"/>
        <v>8783.5902668225681</v>
      </c>
      <c r="Y1487" s="32">
        <f t="shared" ca="1" si="321"/>
        <v>0</v>
      </c>
    </row>
    <row r="1488" spans="1:25">
      <c r="A1488" s="5">
        <v>40548</v>
      </c>
      <c r="B1488" s="4">
        <v>9014.32</v>
      </c>
      <c r="C1488" s="4">
        <v>9027.16</v>
      </c>
      <c r="D1488" s="4">
        <v>8812.36</v>
      </c>
      <c r="E1488" s="4">
        <v>8846.31</v>
      </c>
      <c r="F1488" s="4">
        <v>5796600</v>
      </c>
      <c r="G1488" s="8">
        <f t="shared" si="323"/>
        <v>17.1299999999992</v>
      </c>
      <c r="H1488" s="8">
        <f t="shared" si="322"/>
        <v>-168.01000000000022</v>
      </c>
      <c r="I1488" s="20">
        <f t="shared" ca="1" si="315"/>
        <v>0</v>
      </c>
      <c r="J1488" s="8">
        <f t="shared" ca="1" si="316"/>
        <v>3</v>
      </c>
      <c r="K1488" s="8">
        <f t="shared" ca="1" si="317"/>
        <v>-452.64000000000306</v>
      </c>
      <c r="L1488" s="8">
        <f t="shared" ca="1" si="318"/>
        <v>18558.280000000017</v>
      </c>
      <c r="M1488" s="9">
        <f ca="1">AVERAGE(E1488:OFFSET(E1488,-M$5+1,0))</f>
        <v>8913.86</v>
      </c>
      <c r="N1488" s="9">
        <f ca="1">AVERAGE(E1488:OFFSET(E1488,-N$5+1,0))</f>
        <v>8845.1049999999996</v>
      </c>
      <c r="O1488" s="9">
        <f t="shared" ca="1" si="319"/>
        <v>0</v>
      </c>
      <c r="P1488" s="14">
        <f t="shared" si="324"/>
        <v>-1.6911883442662892</v>
      </c>
      <c r="Q1488" s="15">
        <f ca="1">STDEV(P1488:OFFSET(P1488,-$Q$5+1,0))</f>
        <v>0.71433528270027336</v>
      </c>
      <c r="R1488" s="15">
        <f ca="1">STDEV(P1488:OFFSET(P1488,-$R$5+1,0))</f>
        <v>0.65966614397690804</v>
      </c>
      <c r="S1488" s="18">
        <f t="shared" si="311"/>
        <v>214.79999999999927</v>
      </c>
      <c r="T1488" s="18">
        <f t="shared" si="312"/>
        <v>214.79999999999927</v>
      </c>
      <c r="U1488" s="18">
        <f t="shared" si="320"/>
        <v>85.556322026325887</v>
      </c>
      <c r="V1488" s="33">
        <f ca="1">AVERAGE(E1488:OFFSET(E1488,-V$5+1,0))</f>
        <v>8886.6785714285725</v>
      </c>
      <c r="W1488" s="33">
        <f t="shared" ca="1" si="313"/>
        <v>9015.0130544680615</v>
      </c>
      <c r="X1488" s="33">
        <f t="shared" ca="1" si="314"/>
        <v>8758.3440883890835</v>
      </c>
      <c r="Y1488" s="32">
        <f t="shared" ca="1" si="321"/>
        <v>0</v>
      </c>
    </row>
    <row r="1489" spans="1:25">
      <c r="A1489" s="5">
        <v>40549</v>
      </c>
      <c r="B1489" s="4">
        <v>8866.23</v>
      </c>
      <c r="C1489" s="4">
        <v>8883.2099999999991</v>
      </c>
      <c r="D1489" s="4">
        <v>8813.6299999999992</v>
      </c>
      <c r="E1489" s="4">
        <v>8883.2099999999991</v>
      </c>
      <c r="F1489" s="4">
        <v>4362200</v>
      </c>
      <c r="G1489" s="8">
        <f t="shared" si="323"/>
        <v>19.920000000000073</v>
      </c>
      <c r="H1489" s="8">
        <f t="shared" si="322"/>
        <v>16.979999999999563</v>
      </c>
      <c r="I1489" s="20">
        <f t="shared" ca="1" si="315"/>
        <v>0</v>
      </c>
      <c r="J1489" s="8">
        <f t="shared" ca="1" si="316"/>
        <v>3</v>
      </c>
      <c r="K1489" s="8">
        <f t="shared" ca="1" si="317"/>
        <v>110.69999999999891</v>
      </c>
      <c r="L1489" s="8">
        <f t="shared" ca="1" si="318"/>
        <v>18668.980000000018</v>
      </c>
      <c r="M1489" s="9">
        <f ca="1">AVERAGE(E1489:OFFSET(E1489,-M$5+1,0))</f>
        <v>8912.2939999999999</v>
      </c>
      <c r="N1489" s="9">
        <f ca="1">AVERAGE(E1489:OFFSET(E1489,-N$5+1,0))</f>
        <v>8851.5734999999986</v>
      </c>
      <c r="O1489" s="9">
        <f t="shared" ca="1" si="319"/>
        <v>0</v>
      </c>
      <c r="P1489" s="14">
        <f t="shared" si="324"/>
        <v>0.41625552502377949</v>
      </c>
      <c r="Q1489" s="15">
        <f ca="1">STDEV(P1489:OFFSET(P1489,-$Q$5+1,0))</f>
        <v>0.71323898245799799</v>
      </c>
      <c r="R1489" s="15">
        <f ca="1">STDEV(P1489:OFFSET(P1489,-$R$5+1,0))</f>
        <v>0.65978963390456402</v>
      </c>
      <c r="S1489" s="18">
        <f t="shared" si="311"/>
        <v>69.579999999999927</v>
      </c>
      <c r="T1489" s="18">
        <f t="shared" si="312"/>
        <v>69.579999999999927</v>
      </c>
      <c r="U1489" s="18">
        <f t="shared" si="320"/>
        <v>83.426145756149083</v>
      </c>
      <c r="V1489" s="33">
        <f ca="1">AVERAGE(E1489:OFFSET(E1489,-V$5+1,0))</f>
        <v>8891.3435714285715</v>
      </c>
      <c r="W1489" s="33">
        <f t="shared" ca="1" si="313"/>
        <v>9016.4827900627952</v>
      </c>
      <c r="X1489" s="33">
        <f t="shared" ca="1" si="314"/>
        <v>8766.2043527943479</v>
      </c>
      <c r="Y1489" s="32">
        <f t="shared" ca="1" si="321"/>
        <v>0</v>
      </c>
    </row>
    <row r="1490" spans="1:25">
      <c r="A1490" s="5">
        <v>40550</v>
      </c>
      <c r="B1490" s="4">
        <v>8905.25</v>
      </c>
      <c r="C1490" s="4">
        <v>8907.11</v>
      </c>
      <c r="D1490" s="4">
        <v>8738.93</v>
      </c>
      <c r="E1490" s="4">
        <v>8782.7199999999993</v>
      </c>
      <c r="F1490" s="4">
        <v>4500800</v>
      </c>
      <c r="G1490" s="8">
        <f t="shared" si="323"/>
        <v>22.040000000000873</v>
      </c>
      <c r="H1490" s="8">
        <f t="shared" si="322"/>
        <v>-122.53000000000065</v>
      </c>
      <c r="I1490" s="20">
        <f t="shared" ca="1" si="315"/>
        <v>0</v>
      </c>
      <c r="J1490" s="8">
        <f t="shared" ca="1" si="316"/>
        <v>3</v>
      </c>
      <c r="K1490" s="8">
        <f t="shared" ca="1" si="317"/>
        <v>-301.46999999999935</v>
      </c>
      <c r="L1490" s="8">
        <f t="shared" ca="1" si="318"/>
        <v>18367.510000000017</v>
      </c>
      <c r="M1490" s="9">
        <f ca="1">AVERAGE(E1490:OFFSET(E1490,-M$5+1,0))</f>
        <v>8904.4560000000001</v>
      </c>
      <c r="N1490" s="9">
        <f ca="1">AVERAGE(E1490:OFFSET(E1490,-N$5+1,0))</f>
        <v>8854.768</v>
      </c>
      <c r="O1490" s="9">
        <f t="shared" ca="1" si="319"/>
        <v>0</v>
      </c>
      <c r="P1490" s="14">
        <f t="shared" si="324"/>
        <v>-1.1376823510989702</v>
      </c>
      <c r="Q1490" s="15">
        <f ca="1">STDEV(P1490:OFFSET(P1490,-$Q$5+1,0))</f>
        <v>0.78993387150421068</v>
      </c>
      <c r="R1490" s="15">
        <f ca="1">STDEV(P1490:OFFSET(P1490,-$R$5+1,0))</f>
        <v>0.64266130749249695</v>
      </c>
      <c r="S1490" s="18">
        <f t="shared" si="311"/>
        <v>168.18000000000029</v>
      </c>
      <c r="T1490" s="18">
        <f t="shared" si="312"/>
        <v>168.18000000000029</v>
      </c>
      <c r="U1490" s="18">
        <f t="shared" si="320"/>
        <v>94.726659655329243</v>
      </c>
      <c r="V1490" s="33">
        <f ca="1">AVERAGE(E1490:OFFSET(E1490,-V$5+1,0))</f>
        <v>8892.3435714285715</v>
      </c>
      <c r="W1490" s="33">
        <f t="shared" ca="1" si="313"/>
        <v>9034.433560911566</v>
      </c>
      <c r="X1490" s="33">
        <f t="shared" ca="1" si="314"/>
        <v>8750.253581945577</v>
      </c>
      <c r="Y1490" s="32">
        <f t="shared" ca="1" si="321"/>
        <v>0</v>
      </c>
    </row>
    <row r="1491" spans="1:25">
      <c r="A1491" s="5">
        <v>40553</v>
      </c>
      <c r="B1491" s="4">
        <v>8798.0499999999993</v>
      </c>
      <c r="C1491" s="4">
        <v>8817.8799999999992</v>
      </c>
      <c r="D1491" s="4">
        <v>8762.5</v>
      </c>
      <c r="E1491" s="4">
        <v>8817.8799999999992</v>
      </c>
      <c r="F1491" s="4">
        <v>2885200</v>
      </c>
      <c r="G1491" s="8">
        <f t="shared" si="323"/>
        <v>15.329999999999927</v>
      </c>
      <c r="H1491" s="8">
        <f t="shared" si="322"/>
        <v>19.829999999999927</v>
      </c>
      <c r="I1491" s="20">
        <f t="shared" ca="1" si="315"/>
        <v>0</v>
      </c>
      <c r="J1491" s="8">
        <f t="shared" ca="1" si="316"/>
        <v>3</v>
      </c>
      <c r="K1491" s="8">
        <f t="shared" ca="1" si="317"/>
        <v>105.47999999999956</v>
      </c>
      <c r="L1491" s="8">
        <f t="shared" ca="1" si="318"/>
        <v>18472.990000000016</v>
      </c>
      <c r="M1491" s="9">
        <f ca="1">AVERAGE(E1491:OFFSET(E1491,-M$5+1,0))</f>
        <v>8897.0130000000008</v>
      </c>
      <c r="N1491" s="9">
        <f ca="1">AVERAGE(E1491:OFFSET(E1491,-N$5+1,0))</f>
        <v>8858.8325000000004</v>
      </c>
      <c r="O1491" s="9">
        <f t="shared" ca="1" si="319"/>
        <v>0</v>
      </c>
      <c r="P1491" s="14">
        <f t="shared" si="324"/>
        <v>0.39953236560615379</v>
      </c>
      <c r="Q1491" s="15">
        <f ca="1">STDEV(P1491:OFFSET(P1491,-$Q$5+1,0))</f>
        <v>0.79304304075083054</v>
      </c>
      <c r="R1491" s="15">
        <f ca="1">STDEV(P1491:OFFSET(P1491,-$R$5+1,0))</f>
        <v>0.62093657606235075</v>
      </c>
      <c r="S1491" s="18">
        <f t="shared" si="311"/>
        <v>55.3799999999992</v>
      </c>
      <c r="T1491" s="18">
        <f t="shared" si="312"/>
        <v>55.3799999999992</v>
      </c>
      <c r="U1491" s="18">
        <f t="shared" si="320"/>
        <v>89.480438367951905</v>
      </c>
      <c r="V1491" s="33">
        <f ca="1">AVERAGE(E1491:OFFSET(E1491,-V$5+1,0))</f>
        <v>8891.6357142857141</v>
      </c>
      <c r="W1491" s="33">
        <f t="shared" ca="1" si="313"/>
        <v>9025.8563718376427</v>
      </c>
      <c r="X1491" s="33">
        <f t="shared" ca="1" si="314"/>
        <v>8757.4150567337856</v>
      </c>
      <c r="Y1491" s="32">
        <f t="shared" ca="1" si="321"/>
        <v>0</v>
      </c>
    </row>
    <row r="1492" spans="1:25">
      <c r="A1492" s="5">
        <v>40554</v>
      </c>
      <c r="B1492" s="4">
        <v>8810.77</v>
      </c>
      <c r="C1492" s="4">
        <v>8935.27</v>
      </c>
      <c r="D1492" s="4">
        <v>8794.77</v>
      </c>
      <c r="E1492" s="4">
        <v>8931.36</v>
      </c>
      <c r="F1492" s="4">
        <v>3573400</v>
      </c>
      <c r="G1492" s="8">
        <f t="shared" si="323"/>
        <v>-7.1099999999987631</v>
      </c>
      <c r="H1492" s="8">
        <f t="shared" si="322"/>
        <v>120.59000000000015</v>
      </c>
      <c r="I1492" s="20">
        <f t="shared" ca="1" si="315"/>
        <v>0</v>
      </c>
      <c r="J1492" s="8">
        <f t="shared" ca="1" si="316"/>
        <v>3</v>
      </c>
      <c r="K1492" s="8">
        <f t="shared" ca="1" si="317"/>
        <v>340.44000000000415</v>
      </c>
      <c r="L1492" s="8">
        <f t="shared" ca="1" si="318"/>
        <v>18813.430000000022</v>
      </c>
      <c r="M1492" s="9">
        <f ca="1">AVERAGE(E1492:OFFSET(E1492,-M$5+1,0))</f>
        <v>8903.0730000000003</v>
      </c>
      <c r="N1492" s="9">
        <f ca="1">AVERAGE(E1492:OFFSET(E1492,-N$5+1,0))</f>
        <v>8868.3790000000008</v>
      </c>
      <c r="O1492" s="9">
        <f t="shared" ca="1" si="319"/>
        <v>0</v>
      </c>
      <c r="P1492" s="14">
        <f t="shared" si="324"/>
        <v>1.278720061016589</v>
      </c>
      <c r="Q1492" s="15">
        <f ca="1">STDEV(P1492:OFFSET(P1492,-$Q$5+1,0))</f>
        <v>0.89819607923587952</v>
      </c>
      <c r="R1492" s="15">
        <f ca="1">STDEV(P1492:OFFSET(P1492,-$R$5+1,0))</f>
        <v>0.63609398820481133</v>
      </c>
      <c r="S1492" s="18">
        <f t="shared" si="311"/>
        <v>140.5</v>
      </c>
      <c r="T1492" s="18">
        <f t="shared" si="312"/>
        <v>140.5</v>
      </c>
      <c r="U1492" s="18">
        <f t="shared" si="320"/>
        <v>96.283046585558324</v>
      </c>
      <c r="V1492" s="33">
        <f ca="1">AVERAGE(E1492:OFFSET(E1492,-V$5+1,0))</f>
        <v>8896.6978571428572</v>
      </c>
      <c r="W1492" s="33">
        <f t="shared" ca="1" si="313"/>
        <v>9041.1224270211951</v>
      </c>
      <c r="X1492" s="33">
        <f t="shared" ca="1" si="314"/>
        <v>8752.2732872645192</v>
      </c>
      <c r="Y1492" s="32">
        <f t="shared" ca="1" si="321"/>
        <v>0</v>
      </c>
    </row>
    <row r="1493" spans="1:25">
      <c r="A1493" s="5">
        <v>40555</v>
      </c>
      <c r="B1493" s="4">
        <v>8992.01</v>
      </c>
      <c r="C1493" s="4">
        <v>9000.7800000000007</v>
      </c>
      <c r="D1493" s="4">
        <v>8955.4699999999993</v>
      </c>
      <c r="E1493" s="4">
        <v>8965</v>
      </c>
      <c r="F1493" s="4">
        <v>3922200</v>
      </c>
      <c r="G1493" s="8">
        <f t="shared" si="323"/>
        <v>60.649999999999636</v>
      </c>
      <c r="H1493" s="8">
        <f t="shared" si="322"/>
        <v>-27.010000000000218</v>
      </c>
      <c r="I1493" s="20">
        <f t="shared" ca="1" si="315"/>
        <v>0</v>
      </c>
      <c r="J1493" s="8">
        <f t="shared" ca="1" si="316"/>
        <v>3</v>
      </c>
      <c r="K1493" s="8">
        <f t="shared" ca="1" si="317"/>
        <v>100.91999999999825</v>
      </c>
      <c r="L1493" s="8">
        <f t="shared" ca="1" si="318"/>
        <v>18914.35000000002</v>
      </c>
      <c r="M1493" s="9">
        <f ca="1">AVERAGE(E1493:OFFSET(E1493,-M$5+1,0))</f>
        <v>8912.9380000000001</v>
      </c>
      <c r="N1493" s="9">
        <f ca="1">AVERAGE(E1493:OFFSET(E1493,-N$5+1,0))</f>
        <v>8878.7934999999998</v>
      </c>
      <c r="O1493" s="9">
        <f t="shared" ca="1" si="319"/>
        <v>0</v>
      </c>
      <c r="P1493" s="14">
        <f t="shared" si="324"/>
        <v>0.37594281317922978</v>
      </c>
      <c r="Q1493" s="15">
        <f ca="1">STDEV(P1493:OFFSET(P1493,-$Q$5+1,0))</f>
        <v>0.90207081610927375</v>
      </c>
      <c r="R1493" s="15">
        <f ca="1">STDEV(P1493:OFFSET(P1493,-$R$5+1,0))</f>
        <v>0.62109220816223765</v>
      </c>
      <c r="S1493" s="18">
        <f t="shared" si="311"/>
        <v>45.31000000000131</v>
      </c>
      <c r="T1493" s="18">
        <f t="shared" si="312"/>
        <v>69.420000000000073</v>
      </c>
      <c r="U1493" s="18">
        <f t="shared" si="320"/>
        <v>92.701307040817227</v>
      </c>
      <c r="V1493" s="33">
        <f ca="1">AVERAGE(E1493:OFFSET(E1493,-V$5+1,0))</f>
        <v>8901.4214285714297</v>
      </c>
      <c r="W1493" s="33">
        <f t="shared" ca="1" si="313"/>
        <v>9040.4733891326559</v>
      </c>
      <c r="X1493" s="33">
        <f t="shared" ca="1" si="314"/>
        <v>8762.3694680102035</v>
      </c>
      <c r="Y1493" s="32">
        <f t="shared" ca="1" si="321"/>
        <v>0</v>
      </c>
    </row>
    <row r="1494" spans="1:25">
      <c r="A1494" s="5">
        <v>40556</v>
      </c>
      <c r="B1494" s="4">
        <v>9034.17</v>
      </c>
      <c r="C1494" s="4">
        <v>9034.17</v>
      </c>
      <c r="D1494" s="4">
        <v>8948.23</v>
      </c>
      <c r="E1494" s="4">
        <v>8975.58</v>
      </c>
      <c r="F1494" s="4">
        <v>3951000</v>
      </c>
      <c r="G1494" s="8">
        <f t="shared" si="323"/>
        <v>69.170000000000073</v>
      </c>
      <c r="H1494" s="8">
        <f t="shared" si="322"/>
        <v>-58.590000000000146</v>
      </c>
      <c r="I1494" s="20">
        <f t="shared" ca="1" si="315"/>
        <v>0</v>
      </c>
      <c r="J1494" s="8">
        <f t="shared" ca="1" si="316"/>
        <v>3</v>
      </c>
      <c r="K1494" s="8">
        <f t="shared" ca="1" si="317"/>
        <v>31.739999999999782</v>
      </c>
      <c r="L1494" s="8">
        <f t="shared" ca="1" si="318"/>
        <v>18946.090000000018</v>
      </c>
      <c r="M1494" s="9">
        <f ca="1">AVERAGE(E1494:OFFSET(E1494,-M$5+1,0))</f>
        <v>8919.7049999999999</v>
      </c>
      <c r="N1494" s="9">
        <f ca="1">AVERAGE(E1494:OFFSET(E1494,-N$5+1,0))</f>
        <v>8888.4625000000015</v>
      </c>
      <c r="O1494" s="9">
        <f t="shared" ca="1" si="319"/>
        <v>0</v>
      </c>
      <c r="P1494" s="14">
        <f t="shared" si="324"/>
        <v>0.11794491846403472</v>
      </c>
      <c r="Q1494" s="15">
        <f ca="1">STDEV(P1494:OFFSET(P1494,-$Q$5+1,0))</f>
        <v>0.89343066109887936</v>
      </c>
      <c r="R1494" s="15">
        <f ca="1">STDEV(P1494:OFFSET(P1494,-$R$5+1,0))</f>
        <v>0.62087135495496082</v>
      </c>
      <c r="S1494" s="18">
        <f t="shared" si="311"/>
        <v>85.940000000000509</v>
      </c>
      <c r="T1494" s="18">
        <f t="shared" si="312"/>
        <v>85.940000000000509</v>
      </c>
      <c r="U1494" s="18">
        <f t="shared" si="320"/>
        <v>91.799799435374993</v>
      </c>
      <c r="V1494" s="33">
        <f ca="1">AVERAGE(E1494:OFFSET(E1494,-V$5+1,0))</f>
        <v>8909.5985714285725</v>
      </c>
      <c r="W1494" s="33">
        <f t="shared" ca="1" si="313"/>
        <v>9047.2982705816357</v>
      </c>
      <c r="X1494" s="33">
        <f t="shared" ca="1" si="314"/>
        <v>8771.8988722755093</v>
      </c>
      <c r="Y1494" s="32">
        <f t="shared" ca="1" si="321"/>
        <v>0</v>
      </c>
    </row>
    <row r="1495" spans="1:25">
      <c r="A1495" s="5">
        <v>40557</v>
      </c>
      <c r="B1495" s="4">
        <v>8985.34</v>
      </c>
      <c r="C1495" s="4">
        <v>8998.14</v>
      </c>
      <c r="D1495" s="4">
        <v>8937.5</v>
      </c>
      <c r="E1495" s="4">
        <v>8972.51</v>
      </c>
      <c r="F1495" s="4">
        <v>2756200</v>
      </c>
      <c r="G1495" s="8">
        <f t="shared" si="323"/>
        <v>9.7600000000002183</v>
      </c>
      <c r="H1495" s="8">
        <f t="shared" si="322"/>
        <v>-12.829999999999927</v>
      </c>
      <c r="I1495" s="20">
        <f t="shared" ca="1" si="315"/>
        <v>0</v>
      </c>
      <c r="J1495" s="8">
        <f t="shared" ca="1" si="316"/>
        <v>3</v>
      </c>
      <c r="K1495" s="8">
        <f t="shared" ca="1" si="317"/>
        <v>-9.2099999999991269</v>
      </c>
      <c r="L1495" s="8">
        <f t="shared" ca="1" si="318"/>
        <v>18936.880000000019</v>
      </c>
      <c r="M1495" s="9">
        <f ca="1">AVERAGE(E1495:OFFSET(E1495,-M$5+1,0))</f>
        <v>8919.7060000000001</v>
      </c>
      <c r="N1495" s="9">
        <f ca="1">AVERAGE(E1495:OFFSET(E1495,-N$5+1,0))</f>
        <v>8896.1930000000011</v>
      </c>
      <c r="O1495" s="9">
        <f t="shared" ca="1" si="319"/>
        <v>0</v>
      </c>
      <c r="P1495" s="14">
        <f t="shared" si="324"/>
        <v>-3.4209768615383385E-2</v>
      </c>
      <c r="Q1495" s="15">
        <f ca="1">STDEV(P1495:OFFSET(P1495,-$Q$5+1,0))</f>
        <v>0.86412743910288614</v>
      </c>
      <c r="R1495" s="15">
        <f ca="1">STDEV(P1495:OFFSET(P1495,-$R$5+1,0))</f>
        <v>0.62185137600519091</v>
      </c>
      <c r="S1495" s="18">
        <f t="shared" si="311"/>
        <v>60.639999999999418</v>
      </c>
      <c r="T1495" s="18">
        <f t="shared" si="312"/>
        <v>60.639999999999418</v>
      </c>
      <c r="U1495" s="18">
        <f t="shared" si="320"/>
        <v>87.645159510658246</v>
      </c>
      <c r="V1495" s="33">
        <f ca="1">AVERAGE(E1495:OFFSET(E1495,-V$5+1,0))</f>
        <v>8915.3271428571425</v>
      </c>
      <c r="W1495" s="33">
        <f t="shared" ca="1" si="313"/>
        <v>9046.7948821231294</v>
      </c>
      <c r="X1495" s="33">
        <f t="shared" ca="1" si="314"/>
        <v>8783.8594035911556</v>
      </c>
      <c r="Y1495" s="32">
        <f t="shared" ca="1" si="321"/>
        <v>0</v>
      </c>
    </row>
    <row r="1496" spans="1:25">
      <c r="A1496" s="5">
        <v>40560</v>
      </c>
      <c r="B1496" s="4">
        <v>8998.89</v>
      </c>
      <c r="C1496" s="4">
        <v>9006.36</v>
      </c>
      <c r="D1496" s="4">
        <v>8921.19</v>
      </c>
      <c r="E1496" s="4">
        <v>8925.09</v>
      </c>
      <c r="F1496" s="4">
        <v>3579600</v>
      </c>
      <c r="G1496" s="8">
        <f t="shared" si="323"/>
        <v>26.3799999999992</v>
      </c>
      <c r="H1496" s="8">
        <f t="shared" si="322"/>
        <v>-73.799999999999272</v>
      </c>
      <c r="I1496" s="20">
        <f t="shared" ca="1" si="315"/>
        <v>0</v>
      </c>
      <c r="J1496" s="8">
        <f t="shared" ca="1" si="316"/>
        <v>3</v>
      </c>
      <c r="K1496" s="8">
        <f t="shared" ca="1" si="317"/>
        <v>-142.26000000000022</v>
      </c>
      <c r="L1496" s="8">
        <f t="shared" ca="1" si="318"/>
        <v>18794.620000000017</v>
      </c>
      <c r="M1496" s="9">
        <f ca="1">AVERAGE(E1496:OFFSET(E1496,-M$5+1,0))</f>
        <v>8909.6849999999995</v>
      </c>
      <c r="N1496" s="9">
        <f ca="1">AVERAGE(E1496:OFFSET(E1496,-N$5+1,0))</f>
        <v>8904.0114999999987</v>
      </c>
      <c r="O1496" s="9">
        <f t="shared" ca="1" si="319"/>
        <v>0</v>
      </c>
      <c r="P1496" s="14">
        <f t="shared" si="324"/>
        <v>-0.52990469071099899</v>
      </c>
      <c r="Q1496" s="15">
        <f ca="1">STDEV(P1496:OFFSET(P1496,-$Q$5+1,0))</f>
        <v>0.85194656192606311</v>
      </c>
      <c r="R1496" s="15">
        <f ca="1">STDEV(P1496:OFFSET(P1496,-$R$5+1,0))</f>
        <v>0.62344486574218405</v>
      </c>
      <c r="S1496" s="18">
        <f t="shared" si="311"/>
        <v>85.170000000000073</v>
      </c>
      <c r="T1496" s="18">
        <f t="shared" si="312"/>
        <v>85.170000000000073</v>
      </c>
      <c r="U1496" s="18">
        <f t="shared" si="320"/>
        <v>87.315138242570498</v>
      </c>
      <c r="V1496" s="33">
        <f ca="1">AVERAGE(E1496:OFFSET(E1496,-V$5+1,0))</f>
        <v>8919.2078571428556</v>
      </c>
      <c r="W1496" s="33">
        <f t="shared" ca="1" si="313"/>
        <v>9050.1805645067107</v>
      </c>
      <c r="X1496" s="33">
        <f t="shared" ca="1" si="314"/>
        <v>8788.2351497790005</v>
      </c>
      <c r="Y1496" s="32">
        <f t="shared" ca="1" si="321"/>
        <v>0</v>
      </c>
    </row>
    <row r="1497" spans="1:25">
      <c r="A1497" s="5">
        <v>40561</v>
      </c>
      <c r="B1497" s="4">
        <v>8889.84</v>
      </c>
      <c r="C1497" s="4">
        <v>9003.4500000000007</v>
      </c>
      <c r="D1497" s="4">
        <v>8887.0300000000007</v>
      </c>
      <c r="E1497" s="4">
        <v>8988</v>
      </c>
      <c r="F1497" s="4">
        <v>3723200</v>
      </c>
      <c r="G1497" s="8">
        <f t="shared" si="323"/>
        <v>-35.25</v>
      </c>
      <c r="H1497" s="8">
        <f t="shared" si="322"/>
        <v>98.159999999999854</v>
      </c>
      <c r="I1497" s="20">
        <f t="shared" ca="1" si="315"/>
        <v>0</v>
      </c>
      <c r="J1497" s="8">
        <f t="shared" ca="1" si="316"/>
        <v>3</v>
      </c>
      <c r="K1497" s="8">
        <f t="shared" ca="1" si="317"/>
        <v>188.72999999999956</v>
      </c>
      <c r="L1497" s="8">
        <f t="shared" ca="1" si="318"/>
        <v>18983.350000000017</v>
      </c>
      <c r="M1497" s="9">
        <f ca="1">AVERAGE(E1497:OFFSET(E1497,-M$5+1,0))</f>
        <v>8908.7659999999996</v>
      </c>
      <c r="N1497" s="9">
        <f ca="1">AVERAGE(E1497:OFFSET(E1497,-N$5+1,0))</f>
        <v>8912.0220000000008</v>
      </c>
      <c r="O1497" s="9">
        <f t="shared" ca="1" si="319"/>
        <v>-1</v>
      </c>
      <c r="P1497" s="14">
        <f t="shared" si="324"/>
        <v>0.70239426746099409</v>
      </c>
      <c r="Q1497" s="15">
        <f ca="1">STDEV(P1497:OFFSET(P1497,-$Q$5+1,0))</f>
        <v>0.88518582660367162</v>
      </c>
      <c r="R1497" s="15">
        <f ca="1">STDEV(P1497:OFFSET(P1497,-$R$5+1,0))</f>
        <v>0.61822193664321667</v>
      </c>
      <c r="S1497" s="18">
        <f t="shared" si="311"/>
        <v>116.42000000000007</v>
      </c>
      <c r="T1497" s="18">
        <f t="shared" si="312"/>
        <v>116.42000000000007</v>
      </c>
      <c r="U1497" s="18">
        <f t="shared" si="320"/>
        <v>91.195786476894455</v>
      </c>
      <c r="V1497" s="33">
        <f ca="1">AVERAGE(E1497:OFFSET(E1497,-V$5+1,0))</f>
        <v>8927.8971428571422</v>
      </c>
      <c r="W1497" s="33">
        <f t="shared" ca="1" si="313"/>
        <v>9064.6908225724837</v>
      </c>
      <c r="X1497" s="33">
        <f t="shared" ca="1" si="314"/>
        <v>8791.1034631418006</v>
      </c>
      <c r="Y1497" s="32">
        <f t="shared" ca="1" si="321"/>
        <v>0</v>
      </c>
    </row>
    <row r="1498" spans="1:25">
      <c r="A1498" s="5">
        <v>40562</v>
      </c>
      <c r="B1498" s="4">
        <v>9023.2999999999993</v>
      </c>
      <c r="C1498" s="4">
        <v>9092.2800000000007</v>
      </c>
      <c r="D1498" s="4">
        <v>9005.77</v>
      </c>
      <c r="E1498" s="4">
        <v>9086.02</v>
      </c>
      <c r="F1498" s="4">
        <v>3935000</v>
      </c>
      <c r="G1498" s="8">
        <f t="shared" si="323"/>
        <v>35.299999999999272</v>
      </c>
      <c r="H1498" s="8">
        <f t="shared" si="322"/>
        <v>62.720000000001164</v>
      </c>
      <c r="I1498" s="20">
        <f t="shared" ca="1" si="315"/>
        <v>1</v>
      </c>
      <c r="J1498" s="8">
        <f t="shared" ca="1" si="316"/>
        <v>3</v>
      </c>
      <c r="K1498" s="8">
        <f t="shared" ca="1" si="317"/>
        <v>294.06000000000131</v>
      </c>
      <c r="L1498" s="8">
        <f t="shared" ca="1" si="318"/>
        <v>19277.410000000018</v>
      </c>
      <c r="M1498" s="9">
        <f ca="1">AVERAGE(E1498:OFFSET(E1498,-M$5+1,0))</f>
        <v>8932.737000000001</v>
      </c>
      <c r="N1498" s="9">
        <f ca="1">AVERAGE(E1498:OFFSET(E1498,-N$5+1,0))</f>
        <v>8923.2985000000008</v>
      </c>
      <c r="O1498" s="9">
        <f t="shared" ca="1" si="319"/>
        <v>1</v>
      </c>
      <c r="P1498" s="14">
        <f t="shared" si="324"/>
        <v>1.0846614200348224</v>
      </c>
      <c r="Q1498" s="15">
        <f ca="1">STDEV(P1498:OFFSET(P1498,-$Q$5+1,0))</f>
        <v>0.7191475991344326</v>
      </c>
      <c r="R1498" s="15">
        <f ca="1">STDEV(P1498:OFFSET(P1498,-$R$5+1,0))</f>
        <v>0.62688384235134009</v>
      </c>
      <c r="S1498" s="18">
        <f t="shared" si="311"/>
        <v>86.510000000000218</v>
      </c>
      <c r="T1498" s="18">
        <f t="shared" si="312"/>
        <v>104.28000000000065</v>
      </c>
      <c r="U1498" s="18">
        <f t="shared" si="320"/>
        <v>92.940348279975282</v>
      </c>
      <c r="V1498" s="33">
        <f ca="1">AVERAGE(E1498:OFFSET(E1498,-V$5+1,0))</f>
        <v>8940.6192857142851</v>
      </c>
      <c r="W1498" s="33">
        <f t="shared" ca="1" si="313"/>
        <v>9080.029808134248</v>
      </c>
      <c r="X1498" s="33">
        <f t="shared" ca="1" si="314"/>
        <v>8801.2087632943221</v>
      </c>
      <c r="Y1498" s="32">
        <f t="shared" ca="1" si="321"/>
        <v>1</v>
      </c>
    </row>
    <row r="1499" spans="1:25">
      <c r="A1499" s="5">
        <v>40563</v>
      </c>
      <c r="B1499" s="4">
        <v>9059.7999999999993</v>
      </c>
      <c r="C1499" s="4">
        <v>9063.52</v>
      </c>
      <c r="D1499" s="4">
        <v>9017.7999999999993</v>
      </c>
      <c r="E1499" s="4">
        <v>9022.17</v>
      </c>
      <c r="F1499" s="4">
        <v>3066400</v>
      </c>
      <c r="G1499" s="8">
        <f t="shared" si="323"/>
        <v>-26.220000000001164</v>
      </c>
      <c r="H1499" s="8">
        <f t="shared" si="322"/>
        <v>-37.6299999999992</v>
      </c>
      <c r="I1499" s="20">
        <f t="shared" ca="1" si="315"/>
        <v>0</v>
      </c>
      <c r="J1499" s="8">
        <f t="shared" ca="1" si="316"/>
        <v>3</v>
      </c>
      <c r="K1499" s="8">
        <f t="shared" ca="1" si="317"/>
        <v>-191.55000000000109</v>
      </c>
      <c r="L1499" s="8">
        <f t="shared" ca="1" si="318"/>
        <v>19085.860000000015</v>
      </c>
      <c r="M1499" s="9">
        <f ca="1">AVERAGE(E1499:OFFSET(E1499,-M$5+1,0))</f>
        <v>8946.6329999999998</v>
      </c>
      <c r="N1499" s="9">
        <f ca="1">AVERAGE(E1499:OFFSET(E1499,-N$5+1,0))</f>
        <v>8929.4635000000017</v>
      </c>
      <c r="O1499" s="9">
        <f t="shared" ca="1" si="319"/>
        <v>0</v>
      </c>
      <c r="P1499" s="14">
        <f t="shared" si="324"/>
        <v>-0.70520868861093911</v>
      </c>
      <c r="Q1499" s="15">
        <f ca="1">STDEV(P1499:OFFSET(P1499,-$Q$5+1,0))</f>
        <v>0.77835463497000656</v>
      </c>
      <c r="R1499" s="15">
        <f ca="1">STDEV(P1499:OFFSET(P1499,-$R$5+1,0))</f>
        <v>0.64017889934770966</v>
      </c>
      <c r="S1499" s="18">
        <f t="shared" si="311"/>
        <v>45.720000000001164</v>
      </c>
      <c r="T1499" s="18">
        <f t="shared" si="312"/>
        <v>68.220000000001164</v>
      </c>
      <c r="U1499" s="18">
        <f t="shared" si="320"/>
        <v>89.644301842645405</v>
      </c>
      <c r="V1499" s="33">
        <f ca="1">AVERAGE(E1499:OFFSET(E1499,-V$5+1,0))</f>
        <v>8944.1671428571426</v>
      </c>
      <c r="W1499" s="33">
        <f t="shared" ca="1" si="313"/>
        <v>9078.6335956211115</v>
      </c>
      <c r="X1499" s="33">
        <f t="shared" ca="1" si="314"/>
        <v>8809.7006900931738</v>
      </c>
      <c r="Y1499" s="32">
        <f t="shared" ca="1" si="321"/>
        <v>0</v>
      </c>
    </row>
    <row r="1500" spans="1:25">
      <c r="A1500" s="5">
        <v>40564</v>
      </c>
      <c r="B1500" s="4">
        <v>8935.2900000000009</v>
      </c>
      <c r="C1500" s="4">
        <v>8980.5400000000009</v>
      </c>
      <c r="D1500" s="4">
        <v>8892.27</v>
      </c>
      <c r="E1500" s="4">
        <v>8954.3799999999992</v>
      </c>
      <c r="F1500" s="4">
        <v>3170400</v>
      </c>
      <c r="G1500" s="8">
        <f t="shared" si="323"/>
        <v>-86.8799999999992</v>
      </c>
      <c r="H1500" s="8">
        <f t="shared" si="322"/>
        <v>19.089999999998327</v>
      </c>
      <c r="I1500" s="20">
        <f t="shared" ca="1" si="315"/>
        <v>0</v>
      </c>
      <c r="J1500" s="8">
        <f t="shared" ca="1" si="316"/>
        <v>3</v>
      </c>
      <c r="K1500" s="8">
        <f t="shared" ca="1" si="317"/>
        <v>-203.37000000000262</v>
      </c>
      <c r="L1500" s="8">
        <f t="shared" ca="1" si="318"/>
        <v>18882.490000000013</v>
      </c>
      <c r="M1500" s="9">
        <f ca="1">AVERAGE(E1500:OFFSET(E1500,-M$5+1,0))</f>
        <v>8963.7990000000009</v>
      </c>
      <c r="N1500" s="9">
        <f ca="1">AVERAGE(E1500:OFFSET(E1500,-N$5+1,0))</f>
        <v>8934.1275000000005</v>
      </c>
      <c r="O1500" s="9">
        <f t="shared" ca="1" si="319"/>
        <v>0</v>
      </c>
      <c r="P1500" s="14">
        <f t="shared" si="324"/>
        <v>-0.75420835857140656</v>
      </c>
      <c r="Q1500" s="15">
        <f ca="1">STDEV(P1500:OFFSET(P1500,-$Q$5+1,0))</f>
        <v>0.7143981460697999</v>
      </c>
      <c r="R1500" s="15">
        <f ca="1">STDEV(P1500:OFFSET(P1500,-$R$5+1,0))</f>
        <v>0.64964978984115762</v>
      </c>
      <c r="S1500" s="18">
        <f t="shared" si="311"/>
        <v>88.270000000000437</v>
      </c>
      <c r="T1500" s="18">
        <f t="shared" si="312"/>
        <v>129.89999999999964</v>
      </c>
      <c r="U1500" s="18">
        <f t="shared" si="320"/>
        <v>95.011728263625969</v>
      </c>
      <c r="V1500" s="33">
        <f ca="1">AVERAGE(E1500:OFFSET(E1500,-V$5+1,0))</f>
        <v>8939.1014285714282</v>
      </c>
      <c r="W1500" s="33">
        <f t="shared" ca="1" si="313"/>
        <v>9081.6190209668675</v>
      </c>
      <c r="X1500" s="33">
        <f t="shared" ca="1" si="314"/>
        <v>8796.5838361759888</v>
      </c>
      <c r="Y1500" s="32">
        <f t="shared" ca="1" si="321"/>
        <v>0</v>
      </c>
    </row>
    <row r="1501" spans="1:25">
      <c r="A1501" s="5">
        <v>40567</v>
      </c>
      <c r="B1501" s="4">
        <v>8983.59</v>
      </c>
      <c r="C1501" s="4">
        <v>8993.56</v>
      </c>
      <c r="D1501" s="4">
        <v>8927.49</v>
      </c>
      <c r="E1501" s="4">
        <v>8947.7900000000009</v>
      </c>
      <c r="F1501" s="4">
        <v>2580000</v>
      </c>
      <c r="G1501" s="8">
        <f t="shared" si="323"/>
        <v>29.210000000000946</v>
      </c>
      <c r="H1501" s="8">
        <f t="shared" si="322"/>
        <v>-35.799999999999272</v>
      </c>
      <c r="I1501" s="20">
        <f t="shared" ca="1" si="315"/>
        <v>0</v>
      </c>
      <c r="J1501" s="8">
        <f t="shared" ca="1" si="316"/>
        <v>3</v>
      </c>
      <c r="K1501" s="8">
        <f t="shared" ca="1" si="317"/>
        <v>-19.76999999999498</v>
      </c>
      <c r="L1501" s="8">
        <f t="shared" ca="1" si="318"/>
        <v>18862.720000000016</v>
      </c>
      <c r="M1501" s="9">
        <f ca="1">AVERAGE(E1501:OFFSET(E1501,-M$5+1,0))</f>
        <v>8976.7900000000027</v>
      </c>
      <c r="N1501" s="9">
        <f ca="1">AVERAGE(E1501:OFFSET(E1501,-N$5+1,0))</f>
        <v>8936.9015000000018</v>
      </c>
      <c r="O1501" s="9">
        <f t="shared" ca="1" si="319"/>
        <v>0</v>
      </c>
      <c r="P1501" s="14">
        <f t="shared" si="324"/>
        <v>-7.362236307286292E-2</v>
      </c>
      <c r="Q1501" s="15">
        <f ca="1">STDEV(P1501:OFFSET(P1501,-$Q$5+1,0))</f>
        <v>0.71490968726225568</v>
      </c>
      <c r="R1501" s="15">
        <f ca="1">STDEV(P1501:OFFSET(P1501,-$R$5+1,0))</f>
        <v>0.64627862013093873</v>
      </c>
      <c r="S1501" s="18">
        <f t="shared" si="311"/>
        <v>66.069999999999709</v>
      </c>
      <c r="T1501" s="18">
        <f t="shared" si="312"/>
        <v>66.069999999999709</v>
      </c>
      <c r="U1501" s="18">
        <f t="shared" si="320"/>
        <v>91.152831161809146</v>
      </c>
      <c r="V1501" s="33">
        <f ca="1">AVERAGE(E1501:OFFSET(E1501,-V$5+1,0))</f>
        <v>8935.5728571428572</v>
      </c>
      <c r="W1501" s="33">
        <f t="shared" ca="1" si="313"/>
        <v>9072.3021038855713</v>
      </c>
      <c r="X1501" s="33">
        <f t="shared" ca="1" si="314"/>
        <v>8798.843610400143</v>
      </c>
      <c r="Y1501" s="32">
        <f t="shared" ca="1" si="321"/>
        <v>0</v>
      </c>
    </row>
    <row r="1502" spans="1:25">
      <c r="A1502" s="5">
        <v>40568</v>
      </c>
      <c r="B1502" s="4">
        <v>9001.74</v>
      </c>
      <c r="C1502" s="4">
        <v>9032.2999999999993</v>
      </c>
      <c r="D1502" s="4">
        <v>8991.39</v>
      </c>
      <c r="E1502" s="4">
        <v>8991.39</v>
      </c>
      <c r="F1502" s="4">
        <v>2925600</v>
      </c>
      <c r="G1502" s="8">
        <f t="shared" si="323"/>
        <v>53.949999999998909</v>
      </c>
      <c r="H1502" s="8">
        <f t="shared" si="322"/>
        <v>-10.350000000000364</v>
      </c>
      <c r="I1502" s="20">
        <f t="shared" ca="1" si="315"/>
        <v>0</v>
      </c>
      <c r="J1502" s="8">
        <f t="shared" ca="1" si="316"/>
        <v>3</v>
      </c>
      <c r="K1502" s="8">
        <f t="shared" ca="1" si="317"/>
        <v>130.79999999999563</v>
      </c>
      <c r="L1502" s="8">
        <f t="shared" ca="1" si="318"/>
        <v>18993.520000000011</v>
      </c>
      <c r="M1502" s="9">
        <f ca="1">AVERAGE(E1502:OFFSET(E1502,-M$5+1,0))</f>
        <v>8982.7930000000015</v>
      </c>
      <c r="N1502" s="9">
        <f ca="1">AVERAGE(E1502:OFFSET(E1502,-N$5+1,0))</f>
        <v>8942.9329999999991</v>
      </c>
      <c r="O1502" s="9">
        <f t="shared" ca="1" si="319"/>
        <v>0</v>
      </c>
      <c r="P1502" s="14">
        <f t="shared" si="324"/>
        <v>0.48608783510580428</v>
      </c>
      <c r="Q1502" s="15">
        <f ca="1">STDEV(P1502:OFFSET(P1502,-$Q$5+1,0))</f>
        <v>0.61192219935018832</v>
      </c>
      <c r="R1502" s="15">
        <f ca="1">STDEV(P1502:OFFSET(P1502,-$R$5+1,0))</f>
        <v>0.64798264022124441</v>
      </c>
      <c r="S1502" s="18">
        <f t="shared" si="311"/>
        <v>40.909999999999854</v>
      </c>
      <c r="T1502" s="18">
        <f t="shared" si="312"/>
        <v>84.509999999998399</v>
      </c>
      <c r="U1502" s="18">
        <f t="shared" si="320"/>
        <v>90.267120340234385</v>
      </c>
      <c r="V1502" s="33">
        <f ca="1">AVERAGE(E1502:OFFSET(E1502,-V$5+1,0))</f>
        <v>8945.9357142857152</v>
      </c>
      <c r="W1502" s="33">
        <f t="shared" ca="1" si="313"/>
        <v>9081.3363947960661</v>
      </c>
      <c r="X1502" s="33">
        <f t="shared" ca="1" si="314"/>
        <v>8810.5350337753644</v>
      </c>
      <c r="Y1502" s="32">
        <f t="shared" ca="1" si="321"/>
        <v>0</v>
      </c>
    </row>
    <row r="1503" spans="1:25">
      <c r="A1503" s="5">
        <v>40569</v>
      </c>
      <c r="B1503" s="4">
        <v>9010.41</v>
      </c>
      <c r="C1503" s="4">
        <v>9072.76</v>
      </c>
      <c r="D1503" s="4">
        <v>9009.18</v>
      </c>
      <c r="E1503" s="4">
        <v>9055.59</v>
      </c>
      <c r="F1503" s="4">
        <v>3204800</v>
      </c>
      <c r="G1503" s="8">
        <f t="shared" si="323"/>
        <v>19.020000000000437</v>
      </c>
      <c r="H1503" s="8">
        <f t="shared" si="322"/>
        <v>45.180000000000291</v>
      </c>
      <c r="I1503" s="20">
        <f t="shared" ca="1" si="315"/>
        <v>0</v>
      </c>
      <c r="J1503" s="8">
        <f t="shared" ca="1" si="316"/>
        <v>3</v>
      </c>
      <c r="K1503" s="8">
        <f t="shared" ca="1" si="317"/>
        <v>192.60000000000218</v>
      </c>
      <c r="L1503" s="8">
        <f t="shared" ca="1" si="318"/>
        <v>19186.120000000014</v>
      </c>
      <c r="M1503" s="9">
        <f ca="1">AVERAGE(E1503:OFFSET(E1503,-M$5+1,0))</f>
        <v>8991.851999999999</v>
      </c>
      <c r="N1503" s="9">
        <f ca="1">AVERAGE(E1503:OFFSET(E1503,-N$5+1,0))</f>
        <v>8952.3950000000004</v>
      </c>
      <c r="O1503" s="9">
        <f t="shared" ca="1" si="319"/>
        <v>0</v>
      </c>
      <c r="P1503" s="14">
        <f t="shared" si="324"/>
        <v>0.7114793812408291</v>
      </c>
      <c r="Q1503" s="15">
        <f ca="1">STDEV(P1503:OFFSET(P1503,-$Q$5+1,0))</f>
        <v>0.63933096654782706</v>
      </c>
      <c r="R1503" s="15">
        <f ca="1">STDEV(P1503:OFFSET(P1503,-$R$5+1,0))</f>
        <v>0.60275244707711928</v>
      </c>
      <c r="S1503" s="18">
        <f t="shared" si="311"/>
        <v>63.579999999999927</v>
      </c>
      <c r="T1503" s="18">
        <f t="shared" si="312"/>
        <v>81.3700000000008</v>
      </c>
      <c r="U1503" s="18">
        <f t="shared" si="320"/>
        <v>89.080837628203255</v>
      </c>
      <c r="V1503" s="33">
        <f ca="1">AVERAGE(E1503:OFFSET(E1503,-V$5+1,0))</f>
        <v>8958.2485714285704</v>
      </c>
      <c r="W1503" s="33">
        <f t="shared" ca="1" si="313"/>
        <v>9091.8698278708744</v>
      </c>
      <c r="X1503" s="33">
        <f t="shared" ca="1" si="314"/>
        <v>8824.6273149862664</v>
      </c>
      <c r="Y1503" s="32">
        <f t="shared" ca="1" si="321"/>
        <v>0</v>
      </c>
    </row>
    <row r="1504" spans="1:25">
      <c r="A1504" s="5">
        <v>40570</v>
      </c>
      <c r="B1504" s="4">
        <v>9093.5400000000009</v>
      </c>
      <c r="C1504" s="4">
        <v>9126.93</v>
      </c>
      <c r="D1504" s="4">
        <v>9092.9699999999993</v>
      </c>
      <c r="E1504" s="4">
        <v>9102.33</v>
      </c>
      <c r="F1504" s="4">
        <v>3296800</v>
      </c>
      <c r="G1504" s="8">
        <f t="shared" si="323"/>
        <v>37.950000000000728</v>
      </c>
      <c r="H1504" s="8">
        <f t="shared" si="322"/>
        <v>8.7899999999990541</v>
      </c>
      <c r="I1504" s="20">
        <f t="shared" ca="1" si="315"/>
        <v>0</v>
      </c>
      <c r="J1504" s="8">
        <f t="shared" ca="1" si="316"/>
        <v>3</v>
      </c>
      <c r="K1504" s="8">
        <f t="shared" ca="1" si="317"/>
        <v>140.21999999999935</v>
      </c>
      <c r="L1504" s="8">
        <f t="shared" ca="1" si="318"/>
        <v>19326.340000000011</v>
      </c>
      <c r="M1504" s="9">
        <f ca="1">AVERAGE(E1504:OFFSET(E1504,-M$5+1,0))</f>
        <v>9004.5269999999982</v>
      </c>
      <c r="N1504" s="9">
        <f ca="1">AVERAGE(E1504:OFFSET(E1504,-N$5+1,0))</f>
        <v>8962.116</v>
      </c>
      <c r="O1504" s="9">
        <f t="shared" ca="1" si="319"/>
        <v>0</v>
      </c>
      <c r="P1504" s="14">
        <f t="shared" si="324"/>
        <v>0.51481781208434729</v>
      </c>
      <c r="Q1504" s="15">
        <f ca="1">STDEV(P1504:OFFSET(P1504,-$Q$5+1,0))</f>
        <v>0.65270956793122914</v>
      </c>
      <c r="R1504" s="15">
        <f ca="1">STDEV(P1504:OFFSET(P1504,-$R$5+1,0))</f>
        <v>0.59743605312675063</v>
      </c>
      <c r="S1504" s="18">
        <f t="shared" si="311"/>
        <v>33.960000000000946</v>
      </c>
      <c r="T1504" s="18">
        <f t="shared" si="312"/>
        <v>71.340000000000146</v>
      </c>
      <c r="U1504" s="18">
        <f t="shared" si="320"/>
        <v>86.715392611109507</v>
      </c>
      <c r="V1504" s="33">
        <f ca="1">AVERAGE(E1504:OFFSET(E1504,-V$5+1,0))</f>
        <v>8981.0778571428564</v>
      </c>
      <c r="W1504" s="33">
        <f t="shared" ca="1" si="313"/>
        <v>9111.1509460595207</v>
      </c>
      <c r="X1504" s="33">
        <f t="shared" ca="1" si="314"/>
        <v>8851.004768226192</v>
      </c>
      <c r="Y1504" s="32">
        <f t="shared" ca="1" si="321"/>
        <v>0</v>
      </c>
    </row>
    <row r="1505" spans="1:25">
      <c r="A1505" s="5">
        <v>40571</v>
      </c>
      <c r="B1505" s="4">
        <v>9122.16</v>
      </c>
      <c r="C1505" s="4">
        <v>9154.93</v>
      </c>
      <c r="D1505" s="4">
        <v>9095.7099999999991</v>
      </c>
      <c r="E1505" s="4">
        <v>9145.35</v>
      </c>
      <c r="F1505" s="4">
        <v>3372600</v>
      </c>
      <c r="G1505" s="8">
        <f t="shared" si="323"/>
        <v>19.829999999999927</v>
      </c>
      <c r="H1505" s="8">
        <f t="shared" si="322"/>
        <v>23.190000000000509</v>
      </c>
      <c r="I1505" s="20">
        <f t="shared" ca="1" si="315"/>
        <v>1</v>
      </c>
      <c r="J1505" s="8">
        <f t="shared" ca="1" si="316"/>
        <v>3</v>
      </c>
      <c r="K1505" s="8">
        <f t="shared" ca="1" si="317"/>
        <v>129.06000000000131</v>
      </c>
      <c r="L1505" s="8">
        <f t="shared" ca="1" si="318"/>
        <v>19455.400000000012</v>
      </c>
      <c r="M1505" s="9">
        <f ca="1">AVERAGE(E1505:OFFSET(E1505,-M$5+1,0))</f>
        <v>9021.8109999999997</v>
      </c>
      <c r="N1505" s="9">
        <f ca="1">AVERAGE(E1505:OFFSET(E1505,-N$5+1,0))</f>
        <v>8970.7584999999999</v>
      </c>
      <c r="O1505" s="9">
        <f t="shared" ca="1" si="319"/>
        <v>0</v>
      </c>
      <c r="P1505" s="14">
        <f t="shared" si="324"/>
        <v>0.4715128685209527</v>
      </c>
      <c r="Q1505" s="15">
        <f ca="1">STDEV(P1505:OFFSET(P1505,-$Q$5+1,0))</f>
        <v>0.65726816094858487</v>
      </c>
      <c r="R1505" s="15">
        <f ca="1">STDEV(P1505:OFFSET(P1505,-$R$5+1,0))</f>
        <v>0.59779849406732488</v>
      </c>
      <c r="S1505" s="18">
        <f t="shared" si="311"/>
        <v>59.220000000001164</v>
      </c>
      <c r="T1505" s="18">
        <f t="shared" si="312"/>
        <v>59.220000000001164</v>
      </c>
      <c r="U1505" s="18">
        <f t="shared" si="320"/>
        <v>83.049340262961735</v>
      </c>
      <c r="V1505" s="33">
        <f ca="1">AVERAGE(E1505:OFFSET(E1505,-V$5+1,0))</f>
        <v>9004.4685714285733</v>
      </c>
      <c r="W1505" s="33">
        <f t="shared" ca="1" si="313"/>
        <v>9129.042581823016</v>
      </c>
      <c r="X1505" s="33">
        <f t="shared" ca="1" si="314"/>
        <v>8879.8945610341307</v>
      </c>
      <c r="Y1505" s="32">
        <f t="shared" ca="1" si="321"/>
        <v>1</v>
      </c>
    </row>
    <row r="1506" spans="1:25">
      <c r="A1506" s="5">
        <v>40582</v>
      </c>
      <c r="B1506" s="4">
        <v>9220.69</v>
      </c>
      <c r="C1506" s="4">
        <v>9220.69</v>
      </c>
      <c r="D1506" s="4">
        <v>9085.41</v>
      </c>
      <c r="E1506" s="4">
        <v>9111.4599999999991</v>
      </c>
      <c r="F1506" s="4">
        <v>3854200</v>
      </c>
      <c r="G1506" s="8">
        <f t="shared" si="323"/>
        <v>75.340000000000146</v>
      </c>
      <c r="H1506" s="8">
        <f t="shared" si="322"/>
        <v>-109.23000000000138</v>
      </c>
      <c r="I1506" s="20">
        <f t="shared" ca="1" si="315"/>
        <v>0</v>
      </c>
      <c r="J1506" s="8">
        <f t="shared" ca="1" si="316"/>
        <v>3</v>
      </c>
      <c r="K1506" s="8">
        <f t="shared" ca="1" si="317"/>
        <v>-101.67000000000371</v>
      </c>
      <c r="L1506" s="8">
        <f t="shared" ca="1" si="318"/>
        <v>19353.73000000001</v>
      </c>
      <c r="M1506" s="9">
        <f ca="1">AVERAGE(E1506:OFFSET(E1506,-M$5+1,0))</f>
        <v>9040.4480000000003</v>
      </c>
      <c r="N1506" s="9">
        <f ca="1">AVERAGE(E1506:OFFSET(E1506,-N$5+1,0))</f>
        <v>8975.0664999999972</v>
      </c>
      <c r="O1506" s="9">
        <f t="shared" ca="1" si="319"/>
        <v>0</v>
      </c>
      <c r="P1506" s="14">
        <f t="shared" si="324"/>
        <v>-0.37125915125840014</v>
      </c>
      <c r="Q1506" s="15">
        <f ca="1">STDEV(P1506:OFFSET(P1506,-$Q$5+1,0))</f>
        <v>0.63961716112494982</v>
      </c>
      <c r="R1506" s="15">
        <f ca="1">STDEV(P1506:OFFSET(P1506,-$R$5+1,0))</f>
        <v>0.59037342622997036</v>
      </c>
      <c r="S1506" s="18">
        <f t="shared" si="311"/>
        <v>135.28000000000065</v>
      </c>
      <c r="T1506" s="18">
        <f t="shared" si="312"/>
        <v>135.28000000000065</v>
      </c>
      <c r="U1506" s="18">
        <f t="shared" si="320"/>
        <v>90.013428227900263</v>
      </c>
      <c r="V1506" s="33">
        <f ca="1">AVERAGE(E1506:OFFSET(E1506,-V$5+1,0))</f>
        <v>9017.3328571428574</v>
      </c>
      <c r="W1506" s="33">
        <f t="shared" ca="1" si="313"/>
        <v>9152.3529994847086</v>
      </c>
      <c r="X1506" s="33">
        <f t="shared" ca="1" si="314"/>
        <v>8882.3127148010062</v>
      </c>
      <c r="Y1506" s="32">
        <f t="shared" ca="1" si="321"/>
        <v>0</v>
      </c>
    </row>
    <row r="1507" spans="1:25">
      <c r="A1507" s="5">
        <v>40583</v>
      </c>
      <c r="B1507" s="4">
        <v>9107.9599999999991</v>
      </c>
      <c r="C1507" s="4">
        <v>9129.8799999999992</v>
      </c>
      <c r="D1507" s="4">
        <v>8992.64</v>
      </c>
      <c r="E1507" s="4">
        <v>9006.82</v>
      </c>
      <c r="F1507" s="4">
        <v>3537600</v>
      </c>
      <c r="G1507" s="8">
        <f t="shared" si="323"/>
        <v>-3.5</v>
      </c>
      <c r="H1507" s="8">
        <f t="shared" si="322"/>
        <v>-101.13999999999942</v>
      </c>
      <c r="I1507" s="20">
        <f t="shared" ca="1" si="315"/>
        <v>0</v>
      </c>
      <c r="J1507" s="8">
        <f t="shared" ca="1" si="316"/>
        <v>3</v>
      </c>
      <c r="K1507" s="8">
        <f t="shared" ca="1" si="317"/>
        <v>-313.91999999999825</v>
      </c>
      <c r="L1507" s="8">
        <f t="shared" ca="1" si="318"/>
        <v>19039.810000000012</v>
      </c>
      <c r="M1507" s="9">
        <f ca="1">AVERAGE(E1507:OFFSET(E1507,-M$5+1,0))</f>
        <v>9042.3300000000017</v>
      </c>
      <c r="N1507" s="9">
        <f ca="1">AVERAGE(E1507:OFFSET(E1507,-N$5+1,0))</f>
        <v>8975.5479999999989</v>
      </c>
      <c r="O1507" s="9">
        <f t="shared" ca="1" si="319"/>
        <v>0</v>
      </c>
      <c r="P1507" s="14">
        <f t="shared" si="324"/>
        <v>-1.1550893732434389</v>
      </c>
      <c r="Q1507" s="15">
        <f ca="1">STDEV(P1507:OFFSET(P1507,-$Q$5+1,0))</f>
        <v>0.74128985185247787</v>
      </c>
      <c r="R1507" s="15">
        <f ca="1">STDEV(P1507:OFFSET(P1507,-$R$5+1,0))</f>
        <v>0.62353431749653043</v>
      </c>
      <c r="S1507" s="18">
        <f t="shared" si="311"/>
        <v>137.23999999999978</v>
      </c>
      <c r="T1507" s="18">
        <f t="shared" si="312"/>
        <v>137.23999999999978</v>
      </c>
      <c r="U1507" s="18">
        <f t="shared" si="320"/>
        <v>96.310304464180192</v>
      </c>
      <c r="V1507" s="33">
        <f ca="1">AVERAGE(E1507:OFFSET(E1507,-V$5+1,0))</f>
        <v>9020.3200000000015</v>
      </c>
      <c r="W1507" s="33">
        <f t="shared" ca="1" si="313"/>
        <v>9164.7854566962724</v>
      </c>
      <c r="X1507" s="33">
        <f t="shared" ca="1" si="314"/>
        <v>8875.8545433037307</v>
      </c>
      <c r="Y1507" s="32">
        <f t="shared" ca="1" si="321"/>
        <v>0</v>
      </c>
    </row>
    <row r="1508" spans="1:25">
      <c r="A1508" s="5">
        <v>40584</v>
      </c>
      <c r="B1508" s="4">
        <v>8962.07</v>
      </c>
      <c r="C1508" s="4">
        <v>8979.35</v>
      </c>
      <c r="D1508" s="4">
        <v>8836.56</v>
      </c>
      <c r="E1508" s="4">
        <v>8836.56</v>
      </c>
      <c r="F1508" s="4">
        <v>3685600</v>
      </c>
      <c r="G1508" s="8">
        <f t="shared" si="323"/>
        <v>-44.75</v>
      </c>
      <c r="H1508" s="8">
        <f t="shared" si="322"/>
        <v>-125.51000000000022</v>
      </c>
      <c r="I1508" s="20">
        <f t="shared" ca="1" si="315"/>
        <v>-1</v>
      </c>
      <c r="J1508" s="8">
        <f t="shared" ca="1" si="316"/>
        <v>3</v>
      </c>
      <c r="K1508" s="8">
        <f t="shared" ca="1" si="317"/>
        <v>-510.78000000000065</v>
      </c>
      <c r="L1508" s="8">
        <f t="shared" ca="1" si="318"/>
        <v>18529.030000000013</v>
      </c>
      <c r="M1508" s="9">
        <f ca="1">AVERAGE(E1508:OFFSET(E1508,-M$5+1,0))</f>
        <v>9017.384</v>
      </c>
      <c r="N1508" s="9">
        <f ca="1">AVERAGE(E1508:OFFSET(E1508,-N$5+1,0))</f>
        <v>8975.0605000000014</v>
      </c>
      <c r="O1508" s="9">
        <f t="shared" ca="1" si="319"/>
        <v>0</v>
      </c>
      <c r="P1508" s="14">
        <f t="shared" si="324"/>
        <v>-1.9084407502044973</v>
      </c>
      <c r="Q1508" s="15">
        <f ca="1">STDEV(P1508:OFFSET(P1508,-$Q$5+1,0))</f>
        <v>0.8589787026551402</v>
      </c>
      <c r="R1508" s="15">
        <f ca="1">STDEV(P1508:OFFSET(P1508,-$R$5+1,0))</f>
        <v>0.69870651493596492</v>
      </c>
      <c r="S1508" s="18">
        <f t="shared" si="311"/>
        <v>142.79000000000087</v>
      </c>
      <c r="T1508" s="18">
        <f t="shared" si="312"/>
        <v>170.26000000000022</v>
      </c>
      <c r="U1508" s="18">
        <f t="shared" si="320"/>
        <v>106.1702638689562</v>
      </c>
      <c r="V1508" s="33">
        <f ca="1">AVERAGE(E1508:OFFSET(E1508,-V$5+1,0))</f>
        <v>9010.39</v>
      </c>
      <c r="W1508" s="33">
        <f t="shared" ca="1" si="313"/>
        <v>9169.6453958034344</v>
      </c>
      <c r="X1508" s="33">
        <f t="shared" ca="1" si="314"/>
        <v>8851.1346041965644</v>
      </c>
      <c r="Y1508" s="32">
        <f t="shared" ca="1" si="321"/>
        <v>-1</v>
      </c>
    </row>
    <row r="1509" spans="1:25">
      <c r="A1509" s="5">
        <v>40585</v>
      </c>
      <c r="B1509" s="4">
        <v>8842.41</v>
      </c>
      <c r="C1509" s="4">
        <v>8842.41</v>
      </c>
      <c r="D1509" s="4">
        <v>8574.65</v>
      </c>
      <c r="E1509" s="4">
        <v>8609.86</v>
      </c>
      <c r="F1509" s="4">
        <v>4563000</v>
      </c>
      <c r="G1509" s="8">
        <f t="shared" si="323"/>
        <v>5.8500000000003638</v>
      </c>
      <c r="H1509" s="8">
        <f t="shared" si="322"/>
        <v>-232.54999999999927</v>
      </c>
      <c r="I1509" s="20">
        <f t="shared" ca="1" si="315"/>
        <v>0</v>
      </c>
      <c r="J1509" s="8">
        <f t="shared" ca="1" si="316"/>
        <v>2</v>
      </c>
      <c r="K1509" s="8">
        <f t="shared" ca="1" si="317"/>
        <v>-447.54999999999745</v>
      </c>
      <c r="L1509" s="8">
        <f t="shared" ca="1" si="318"/>
        <v>18081.480000000018</v>
      </c>
      <c r="M1509" s="9">
        <f ca="1">AVERAGE(E1509:OFFSET(E1509,-M$5+1,0))</f>
        <v>8976.1529999999984</v>
      </c>
      <c r="N1509" s="9">
        <f ca="1">AVERAGE(E1509:OFFSET(E1509,-N$5+1,0))</f>
        <v>8961.393</v>
      </c>
      <c r="O1509" s="9">
        <f t="shared" ca="1" si="319"/>
        <v>0</v>
      </c>
      <c r="P1509" s="14">
        <f t="shared" si="324"/>
        <v>-2.5989602498495143</v>
      </c>
      <c r="Q1509" s="15">
        <f ca="1">STDEV(P1509:OFFSET(P1509,-$Q$5+1,0))</f>
        <v>1.1296425510132466</v>
      </c>
      <c r="R1509" s="15">
        <f ca="1">STDEV(P1509:OFFSET(P1509,-$R$5+1,0))</f>
        <v>0.80787465576093798</v>
      </c>
      <c r="S1509" s="18">
        <f t="shared" si="311"/>
        <v>267.76000000000022</v>
      </c>
      <c r="T1509" s="18">
        <f t="shared" si="312"/>
        <v>267.76000000000022</v>
      </c>
      <c r="U1509" s="18">
        <f t="shared" si="320"/>
        <v>127.71556201976207</v>
      </c>
      <c r="V1509" s="33">
        <f ca="1">AVERAGE(E1509:OFFSET(E1509,-V$5+1,0))</f>
        <v>8984.4864285714302</v>
      </c>
      <c r="W1509" s="33">
        <f t="shared" ca="1" si="313"/>
        <v>9176.0597716010725</v>
      </c>
      <c r="X1509" s="33">
        <f t="shared" ca="1" si="314"/>
        <v>8792.913085541788</v>
      </c>
      <c r="Y1509" s="32">
        <f t="shared" ca="1" si="321"/>
        <v>0</v>
      </c>
    </row>
    <row r="1510" spans="1:25">
      <c r="A1510" s="5">
        <v>40588</v>
      </c>
      <c r="B1510" s="4">
        <v>8666.61</v>
      </c>
      <c r="C1510" s="4">
        <v>8715.9699999999993</v>
      </c>
      <c r="D1510" s="4">
        <v>8626.66</v>
      </c>
      <c r="E1510" s="4">
        <v>8685.4699999999993</v>
      </c>
      <c r="F1510" s="4">
        <v>3074000</v>
      </c>
      <c r="G1510" s="8">
        <f t="shared" si="323"/>
        <v>56.75</v>
      </c>
      <c r="H1510" s="8">
        <f t="shared" si="322"/>
        <v>18.859999999998763</v>
      </c>
      <c r="I1510" s="20">
        <f t="shared" ca="1" si="315"/>
        <v>0</v>
      </c>
      <c r="J1510" s="8">
        <f t="shared" ca="1" si="316"/>
        <v>2</v>
      </c>
      <c r="K1510" s="8">
        <f t="shared" ca="1" si="317"/>
        <v>151.21999999999753</v>
      </c>
      <c r="L1510" s="8">
        <f t="shared" ca="1" si="318"/>
        <v>18232.700000000015</v>
      </c>
      <c r="M1510" s="9">
        <f ca="1">AVERAGE(E1510:OFFSET(E1510,-M$5+1,0))</f>
        <v>8949.2619999999988</v>
      </c>
      <c r="N1510" s="9">
        <f ca="1">AVERAGE(E1510:OFFSET(E1510,-N$5+1,0))</f>
        <v>8956.5305000000008</v>
      </c>
      <c r="O1510" s="9">
        <f t="shared" ca="1" si="319"/>
        <v>-1</v>
      </c>
      <c r="P1510" s="14">
        <f t="shared" si="324"/>
        <v>0.87434563764526074</v>
      </c>
      <c r="Q1510" s="15">
        <f ca="1">STDEV(P1510:OFFSET(P1510,-$Q$5+1,0))</f>
        <v>1.1990196703135114</v>
      </c>
      <c r="R1510" s="15">
        <f ca="1">STDEV(P1510:OFFSET(P1510,-$R$5+1,0))</f>
        <v>0.81842203912905898</v>
      </c>
      <c r="S1510" s="18">
        <f t="shared" si="311"/>
        <v>89.309999999999491</v>
      </c>
      <c r="T1510" s="18">
        <f t="shared" si="312"/>
        <v>106.10999999999876</v>
      </c>
      <c r="U1510" s="18">
        <f t="shared" si="320"/>
        <v>124.83482041712698</v>
      </c>
      <c r="V1510" s="33">
        <f ca="1">AVERAGE(E1510:OFFSET(E1510,-V$5+1,0))</f>
        <v>8967.3707142857147</v>
      </c>
      <c r="W1510" s="33">
        <f t="shared" ca="1" si="313"/>
        <v>9154.6229449114053</v>
      </c>
      <c r="X1510" s="33">
        <f t="shared" ca="1" si="314"/>
        <v>8780.1184836600241</v>
      </c>
      <c r="Y1510" s="32">
        <f t="shared" ca="1" si="321"/>
        <v>0</v>
      </c>
    </row>
    <row r="1511" spans="1:25">
      <c r="A1511" s="5">
        <v>40589</v>
      </c>
      <c r="B1511" s="4">
        <v>8679.1200000000008</v>
      </c>
      <c r="C1511" s="4">
        <v>8753.0499999999993</v>
      </c>
      <c r="D1511" s="4">
        <v>8565.0499999999993</v>
      </c>
      <c r="E1511" s="4">
        <v>8721.93</v>
      </c>
      <c r="F1511" s="4">
        <v>3209400</v>
      </c>
      <c r="G1511" s="8">
        <f t="shared" si="323"/>
        <v>-6.3499999999985448</v>
      </c>
      <c r="H1511" s="8">
        <f t="shared" si="322"/>
        <v>42.809999999999491</v>
      </c>
      <c r="I1511" s="20">
        <f t="shared" ca="1" si="315"/>
        <v>0</v>
      </c>
      <c r="J1511" s="8">
        <f t="shared" ca="1" si="316"/>
        <v>2</v>
      </c>
      <c r="K1511" s="8">
        <f t="shared" ca="1" si="317"/>
        <v>72.920000000001892</v>
      </c>
      <c r="L1511" s="8">
        <f t="shared" ca="1" si="318"/>
        <v>18305.620000000017</v>
      </c>
      <c r="M1511" s="9">
        <f ca="1">AVERAGE(E1511:OFFSET(E1511,-M$5+1,0))</f>
        <v>8926.6759999999977</v>
      </c>
      <c r="N1511" s="9">
        <f ca="1">AVERAGE(E1511:OFFSET(E1511,-N$5+1,0))</f>
        <v>8951.7330000000002</v>
      </c>
      <c r="O1511" s="9">
        <f t="shared" ca="1" si="319"/>
        <v>0</v>
      </c>
      <c r="P1511" s="14">
        <f t="shared" si="324"/>
        <v>0.41890291848930611</v>
      </c>
      <c r="Q1511" s="15">
        <f ca="1">STDEV(P1511:OFFSET(P1511,-$Q$5+1,0))</f>
        <v>1.2195167246716281</v>
      </c>
      <c r="R1511" s="15">
        <f ca="1">STDEV(P1511:OFFSET(P1511,-$R$5+1,0))</f>
        <v>0.82056595791772524</v>
      </c>
      <c r="S1511" s="18">
        <f t="shared" si="311"/>
        <v>188</v>
      </c>
      <c r="T1511" s="18">
        <f t="shared" si="312"/>
        <v>188</v>
      </c>
      <c r="U1511" s="18">
        <f t="shared" si="320"/>
        <v>133.25684436151005</v>
      </c>
      <c r="V1511" s="33">
        <f ca="1">AVERAGE(E1511:OFFSET(E1511,-V$5+1,0))</f>
        <v>8948.3657142857155</v>
      </c>
      <c r="W1511" s="33">
        <f t="shared" ca="1" si="313"/>
        <v>9148.250980827981</v>
      </c>
      <c r="X1511" s="33">
        <f t="shared" ca="1" si="314"/>
        <v>8748.48044774345</v>
      </c>
      <c r="Y1511" s="32">
        <f t="shared" ca="1" si="321"/>
        <v>0</v>
      </c>
    </row>
    <row r="1512" spans="1:25">
      <c r="A1512" s="5">
        <v>40590</v>
      </c>
      <c r="B1512" s="4">
        <v>8740.32</v>
      </c>
      <c r="C1512" s="4">
        <v>8767.09</v>
      </c>
      <c r="D1512" s="4">
        <v>8702.81</v>
      </c>
      <c r="E1512" s="4">
        <v>8712.9599999999991</v>
      </c>
      <c r="F1512" s="4">
        <v>2959800</v>
      </c>
      <c r="G1512" s="8">
        <f t="shared" si="323"/>
        <v>18.389999999999418</v>
      </c>
      <c r="H1512" s="8">
        <f t="shared" si="322"/>
        <v>-27.360000000000582</v>
      </c>
      <c r="I1512" s="20">
        <f t="shared" ca="1" si="315"/>
        <v>0</v>
      </c>
      <c r="J1512" s="8">
        <f t="shared" ca="1" si="316"/>
        <v>2</v>
      </c>
      <c r="K1512" s="8">
        <f t="shared" ca="1" si="317"/>
        <v>-17.940000000002328</v>
      </c>
      <c r="L1512" s="8">
        <f t="shared" ca="1" si="318"/>
        <v>18287.680000000015</v>
      </c>
      <c r="M1512" s="9">
        <f ca="1">AVERAGE(E1512:OFFSET(E1512,-M$5+1,0))</f>
        <v>8898.8329999999987</v>
      </c>
      <c r="N1512" s="9">
        <f ca="1">AVERAGE(E1512:OFFSET(E1512,-N$5+1,0))</f>
        <v>8940.8130000000001</v>
      </c>
      <c r="O1512" s="9">
        <f t="shared" ca="1" si="319"/>
        <v>0</v>
      </c>
      <c r="P1512" s="14">
        <f t="shared" si="324"/>
        <v>-0.10289713088457682</v>
      </c>
      <c r="Q1512" s="15">
        <f ca="1">STDEV(P1512:OFFSET(P1512,-$Q$5+1,0))</f>
        <v>1.1936612830677462</v>
      </c>
      <c r="R1512" s="15">
        <f ca="1">STDEV(P1512:OFFSET(P1512,-$R$5+1,0))</f>
        <v>0.82067351756800588</v>
      </c>
      <c r="S1512" s="18">
        <f t="shared" si="311"/>
        <v>64.280000000000655</v>
      </c>
      <c r="T1512" s="18">
        <f t="shared" si="312"/>
        <v>64.280000000000655</v>
      </c>
      <c r="U1512" s="18">
        <f t="shared" si="320"/>
        <v>124.05993177997547</v>
      </c>
      <c r="V1512" s="33">
        <f ca="1">AVERAGE(E1512:OFFSET(E1512,-V$5+1,0))</f>
        <v>8921.7185714285715</v>
      </c>
      <c r="W1512" s="33">
        <f t="shared" ca="1" si="313"/>
        <v>9107.8084690985343</v>
      </c>
      <c r="X1512" s="33">
        <f t="shared" ca="1" si="314"/>
        <v>8735.6286737586088</v>
      </c>
      <c r="Y1512" s="32">
        <f t="shared" ca="1" si="321"/>
        <v>0</v>
      </c>
    </row>
    <row r="1513" spans="1:25">
      <c r="A1513" s="5">
        <v>40591</v>
      </c>
      <c r="B1513" s="4">
        <v>8738.7099999999991</v>
      </c>
      <c r="C1513" s="4">
        <v>8745.65</v>
      </c>
      <c r="D1513" s="4">
        <v>8669.77</v>
      </c>
      <c r="E1513" s="4">
        <v>8683.8799999999992</v>
      </c>
      <c r="F1513" s="4">
        <v>3118400</v>
      </c>
      <c r="G1513" s="8">
        <f t="shared" si="323"/>
        <v>25.75</v>
      </c>
      <c r="H1513" s="8">
        <f t="shared" si="322"/>
        <v>-54.829999999999927</v>
      </c>
      <c r="I1513" s="20">
        <f t="shared" ca="1" si="315"/>
        <v>0</v>
      </c>
      <c r="J1513" s="8">
        <f t="shared" ca="1" si="316"/>
        <v>2</v>
      </c>
      <c r="K1513" s="8">
        <f t="shared" ca="1" si="317"/>
        <v>-58.159999999999854</v>
      </c>
      <c r="L1513" s="8">
        <f t="shared" ca="1" si="318"/>
        <v>18229.520000000015</v>
      </c>
      <c r="M1513" s="9">
        <f ca="1">AVERAGE(E1513:OFFSET(E1513,-M$5+1,0))</f>
        <v>8861.6620000000003</v>
      </c>
      <c r="N1513" s="9">
        <f ca="1">AVERAGE(E1513:OFFSET(E1513,-N$5+1,0))</f>
        <v>8926.7570000000014</v>
      </c>
      <c r="O1513" s="9">
        <f t="shared" ca="1" si="319"/>
        <v>0</v>
      </c>
      <c r="P1513" s="14">
        <f t="shared" si="324"/>
        <v>-0.33431389935838868</v>
      </c>
      <c r="Q1513" s="15">
        <f ca="1">STDEV(P1513:OFFSET(P1513,-$Q$5+1,0))</f>
        <v>1.1383083392293358</v>
      </c>
      <c r="R1513" s="15">
        <f ca="1">STDEV(P1513:OFFSET(P1513,-$R$5+1,0))</f>
        <v>0.8216442548301649</v>
      </c>
      <c r="S1513" s="18">
        <f t="shared" si="311"/>
        <v>75.8799999999992</v>
      </c>
      <c r="T1513" s="18">
        <f t="shared" si="312"/>
        <v>75.8799999999992</v>
      </c>
      <c r="U1513" s="18">
        <f t="shared" si="320"/>
        <v>117.63594087597863</v>
      </c>
      <c r="V1513" s="33">
        <f ca="1">AVERAGE(E1513:OFFSET(E1513,-V$5+1,0))</f>
        <v>8897.5549999999985</v>
      </c>
      <c r="W1513" s="33">
        <f t="shared" ca="1" si="313"/>
        <v>9074.0089113139657</v>
      </c>
      <c r="X1513" s="33">
        <f t="shared" ca="1" si="314"/>
        <v>8721.1010886860313</v>
      </c>
      <c r="Y1513" s="32">
        <f t="shared" ca="1" si="321"/>
        <v>0</v>
      </c>
    </row>
    <row r="1514" spans="1:25">
      <c r="A1514" s="5">
        <v>40592</v>
      </c>
      <c r="B1514" s="4">
        <v>8763.69</v>
      </c>
      <c r="C1514" s="4">
        <v>8874.5</v>
      </c>
      <c r="D1514" s="4">
        <v>8763.69</v>
      </c>
      <c r="E1514" s="4">
        <v>8843.84</v>
      </c>
      <c r="F1514" s="4">
        <v>3326600</v>
      </c>
      <c r="G1514" s="8">
        <f t="shared" si="323"/>
        <v>79.81000000000131</v>
      </c>
      <c r="H1514" s="8">
        <f t="shared" si="322"/>
        <v>80.149999999999636</v>
      </c>
      <c r="I1514" s="20">
        <f t="shared" ca="1" si="315"/>
        <v>0</v>
      </c>
      <c r="J1514" s="8">
        <f t="shared" ca="1" si="316"/>
        <v>2</v>
      </c>
      <c r="K1514" s="8">
        <f t="shared" ca="1" si="317"/>
        <v>319.92000000000189</v>
      </c>
      <c r="L1514" s="8">
        <f t="shared" ca="1" si="318"/>
        <v>18549.440000000017</v>
      </c>
      <c r="M1514" s="9">
        <f ca="1">AVERAGE(E1514:OFFSET(E1514,-M$5+1,0))</f>
        <v>8835.8130000000001</v>
      </c>
      <c r="N1514" s="9">
        <f ca="1">AVERAGE(E1514:OFFSET(E1514,-N$5+1,0))</f>
        <v>8920.17</v>
      </c>
      <c r="O1514" s="9">
        <f t="shared" ca="1" si="319"/>
        <v>0</v>
      </c>
      <c r="P1514" s="14">
        <f t="shared" si="324"/>
        <v>1.8252738066418077</v>
      </c>
      <c r="Q1514" s="15">
        <f ca="1">STDEV(P1514:OFFSET(P1514,-$Q$5+1,0))</f>
        <v>1.3188839823200245</v>
      </c>
      <c r="R1514" s="15">
        <f ca="1">STDEV(P1514:OFFSET(P1514,-$R$5+1,0))</f>
        <v>0.87091488746873502</v>
      </c>
      <c r="S1514" s="18">
        <f t="shared" si="311"/>
        <v>110.80999999999949</v>
      </c>
      <c r="T1514" s="18">
        <f t="shared" si="312"/>
        <v>190.6200000000008</v>
      </c>
      <c r="U1514" s="18">
        <f t="shared" si="320"/>
        <v>127.3671487591816</v>
      </c>
      <c r="V1514" s="33">
        <f ca="1">AVERAGE(E1514:OFFSET(E1514,-V$5+1,0))</f>
        <v>8889.6592857142841</v>
      </c>
      <c r="W1514" s="33">
        <f t="shared" ca="1" si="313"/>
        <v>9080.7100088530569</v>
      </c>
      <c r="X1514" s="33">
        <f t="shared" ca="1" si="314"/>
        <v>8698.6085625755113</v>
      </c>
      <c r="Y1514" s="32">
        <f t="shared" ca="1" si="321"/>
        <v>0</v>
      </c>
    </row>
    <row r="1515" spans="1:25">
      <c r="A1515" s="5">
        <v>40595</v>
      </c>
      <c r="B1515" s="4">
        <v>8867.16</v>
      </c>
      <c r="C1515" s="4">
        <v>8867.16</v>
      </c>
      <c r="D1515" s="4">
        <v>8797.25</v>
      </c>
      <c r="E1515" s="4">
        <v>8839.2199999999993</v>
      </c>
      <c r="F1515" s="4">
        <v>2736800</v>
      </c>
      <c r="G1515" s="8">
        <f t="shared" si="323"/>
        <v>23.319999999999709</v>
      </c>
      <c r="H1515" s="8">
        <f t="shared" si="322"/>
        <v>-27.940000000000509</v>
      </c>
      <c r="I1515" s="20">
        <f t="shared" ca="1" si="315"/>
        <v>0</v>
      </c>
      <c r="J1515" s="8">
        <f t="shared" ca="1" si="316"/>
        <v>2</v>
      </c>
      <c r="K1515" s="8">
        <f t="shared" ca="1" si="317"/>
        <v>-9.2400000000016007</v>
      </c>
      <c r="L1515" s="8">
        <f t="shared" ca="1" si="318"/>
        <v>18540.200000000015</v>
      </c>
      <c r="M1515" s="9">
        <f ca="1">AVERAGE(E1515:OFFSET(E1515,-M$5+1,0))</f>
        <v>8805.2000000000007</v>
      </c>
      <c r="N1515" s="9">
        <f ca="1">AVERAGE(E1515:OFFSET(E1515,-N$5+1,0))</f>
        <v>8913.5054999999993</v>
      </c>
      <c r="O1515" s="9">
        <f t="shared" ca="1" si="319"/>
        <v>0</v>
      </c>
      <c r="P1515" s="14">
        <f t="shared" si="324"/>
        <v>-5.2253400770246636E-2</v>
      </c>
      <c r="Q1515" s="15">
        <f ca="1">STDEV(P1515:OFFSET(P1515,-$Q$5+1,0))</f>
        <v>1.2955599926007988</v>
      </c>
      <c r="R1515" s="15">
        <f ca="1">STDEV(P1515:OFFSET(P1515,-$R$5+1,0))</f>
        <v>0.8686881190675857</v>
      </c>
      <c r="S1515" s="18">
        <f t="shared" si="311"/>
        <v>69.909999999999854</v>
      </c>
      <c r="T1515" s="18">
        <f t="shared" si="312"/>
        <v>69.909999999999854</v>
      </c>
      <c r="U1515" s="18">
        <f t="shared" si="320"/>
        <v>119.70619559129071</v>
      </c>
      <c r="V1515" s="33">
        <f ca="1">AVERAGE(E1515:OFFSET(E1515,-V$5+1,0))</f>
        <v>8881.9042857142831</v>
      </c>
      <c r="W1515" s="33">
        <f t="shared" ca="1" si="313"/>
        <v>9061.4635791012188</v>
      </c>
      <c r="X1515" s="33">
        <f t="shared" ca="1" si="314"/>
        <v>8702.3449923273474</v>
      </c>
      <c r="Y1515" s="32">
        <f t="shared" ca="1" si="321"/>
        <v>0</v>
      </c>
    </row>
    <row r="1516" spans="1:25">
      <c r="A1516" s="5">
        <v>40596</v>
      </c>
      <c r="B1516" s="4">
        <v>8744.81</v>
      </c>
      <c r="C1516" s="4">
        <v>8744.81</v>
      </c>
      <c r="D1516" s="4">
        <v>8613.34</v>
      </c>
      <c r="E1516" s="4">
        <v>8673.67</v>
      </c>
      <c r="F1516" s="4">
        <v>3728400</v>
      </c>
      <c r="G1516" s="8">
        <f t="shared" si="323"/>
        <v>-94.409999999999854</v>
      </c>
      <c r="H1516" s="8">
        <f t="shared" si="322"/>
        <v>-71.139999999999418</v>
      </c>
      <c r="I1516" s="20">
        <f t="shared" ca="1" si="315"/>
        <v>0</v>
      </c>
      <c r="J1516" s="8">
        <f t="shared" ca="1" si="316"/>
        <v>2</v>
      </c>
      <c r="K1516" s="8">
        <f t="shared" ca="1" si="317"/>
        <v>-331.09999999999854</v>
      </c>
      <c r="L1516" s="8">
        <f t="shared" ca="1" si="318"/>
        <v>18209.100000000017</v>
      </c>
      <c r="M1516" s="9">
        <f ca="1">AVERAGE(E1516:OFFSET(E1516,-M$5+1,0))</f>
        <v>8761.4209999999985</v>
      </c>
      <c r="N1516" s="9">
        <f ca="1">AVERAGE(E1516:OFFSET(E1516,-N$5+1,0))</f>
        <v>8900.9345000000012</v>
      </c>
      <c r="O1516" s="9">
        <f t="shared" ca="1" si="319"/>
        <v>0</v>
      </c>
      <c r="P1516" s="14">
        <f t="shared" si="324"/>
        <v>-1.8906637504397601</v>
      </c>
      <c r="Q1516" s="15">
        <f ca="1">STDEV(P1516:OFFSET(P1516,-$Q$5+1,0))</f>
        <v>1.3855435140167862</v>
      </c>
      <c r="R1516" s="15">
        <f ca="1">STDEV(P1516:OFFSET(P1516,-$R$5+1,0))</f>
        <v>0.9151671895098572</v>
      </c>
      <c r="S1516" s="18">
        <f t="shared" si="311"/>
        <v>131.46999999999935</v>
      </c>
      <c r="T1516" s="18">
        <f t="shared" si="312"/>
        <v>225.8799999999992</v>
      </c>
      <c r="U1516" s="18">
        <f t="shared" si="320"/>
        <v>133.86270284578518</v>
      </c>
      <c r="V1516" s="33">
        <f ca="1">AVERAGE(E1516:OFFSET(E1516,-V$5+1,0))</f>
        <v>8859.2099999999991</v>
      </c>
      <c r="W1516" s="33">
        <f t="shared" ca="1" si="313"/>
        <v>9060.0040542686766</v>
      </c>
      <c r="X1516" s="33">
        <f t="shared" ca="1" si="314"/>
        <v>8658.4159457313217</v>
      </c>
      <c r="Y1516" s="32">
        <f t="shared" ca="1" si="321"/>
        <v>0</v>
      </c>
    </row>
    <row r="1517" spans="1:25">
      <c r="A1517" s="5">
        <v>40597</v>
      </c>
      <c r="B1517" s="4">
        <v>8604.32</v>
      </c>
      <c r="C1517" s="4">
        <v>8673.2000000000007</v>
      </c>
      <c r="D1517" s="4">
        <v>8521.25</v>
      </c>
      <c r="E1517" s="4">
        <v>8528.94</v>
      </c>
      <c r="F1517" s="4">
        <v>3337800</v>
      </c>
      <c r="G1517" s="8">
        <f t="shared" si="323"/>
        <v>-69.350000000000364</v>
      </c>
      <c r="H1517" s="8">
        <f t="shared" si="322"/>
        <v>-75.3799999999992</v>
      </c>
      <c r="I1517" s="20">
        <f t="shared" ca="1" si="315"/>
        <v>-1</v>
      </c>
      <c r="J1517" s="8">
        <f t="shared" ca="1" si="316"/>
        <v>2</v>
      </c>
      <c r="K1517" s="8">
        <f t="shared" ca="1" si="317"/>
        <v>-289.45999999999913</v>
      </c>
      <c r="L1517" s="8">
        <f t="shared" ca="1" si="318"/>
        <v>17919.640000000018</v>
      </c>
      <c r="M1517" s="9">
        <f ca="1">AVERAGE(E1517:OFFSET(E1517,-M$5+1,0))</f>
        <v>8713.6329999999998</v>
      </c>
      <c r="N1517" s="9">
        <f ca="1">AVERAGE(E1517:OFFSET(E1517,-N$5+1,0))</f>
        <v>8877.9815000000017</v>
      </c>
      <c r="O1517" s="9">
        <f t="shared" ca="1" si="319"/>
        <v>0</v>
      </c>
      <c r="P1517" s="14">
        <f t="shared" si="324"/>
        <v>-1.6826913468216964</v>
      </c>
      <c r="Q1517" s="15">
        <f ca="1">STDEV(P1517:OFFSET(P1517,-$Q$5+1,0))</f>
        <v>1.4231173611924886</v>
      </c>
      <c r="R1517" s="15">
        <f ca="1">STDEV(P1517:OFFSET(P1517,-$R$5+1,0))</f>
        <v>0.94431598264840155</v>
      </c>
      <c r="S1517" s="18">
        <f t="shared" si="311"/>
        <v>151.95000000000073</v>
      </c>
      <c r="T1517" s="18">
        <f t="shared" si="312"/>
        <v>152.42000000000007</v>
      </c>
      <c r="U1517" s="18">
        <f t="shared" si="320"/>
        <v>136.33700913301385</v>
      </c>
      <c r="V1517" s="33">
        <f ca="1">AVERAGE(E1517:OFFSET(E1517,-V$5+1,0))</f>
        <v>8821.5921428571419</v>
      </c>
      <c r="W1517" s="33">
        <f t="shared" ca="1" si="313"/>
        <v>9026.0976565566634</v>
      </c>
      <c r="X1517" s="33">
        <f t="shared" ca="1" si="314"/>
        <v>8617.0866291576203</v>
      </c>
      <c r="Y1517" s="32">
        <f t="shared" ca="1" si="321"/>
        <v>-1</v>
      </c>
    </row>
    <row r="1518" spans="1:25">
      <c r="A1518" s="5">
        <v>40598</v>
      </c>
      <c r="B1518" s="4">
        <v>8561.16</v>
      </c>
      <c r="C1518" s="4">
        <v>8633.24</v>
      </c>
      <c r="D1518" s="4">
        <v>8541.64</v>
      </c>
      <c r="E1518" s="4">
        <v>8541.64</v>
      </c>
      <c r="F1518" s="4">
        <v>2738400</v>
      </c>
      <c r="G1518" s="8">
        <f t="shared" si="323"/>
        <v>32.219999999999345</v>
      </c>
      <c r="H1518" s="8">
        <f t="shared" si="322"/>
        <v>-19.520000000000437</v>
      </c>
      <c r="I1518" s="20">
        <f t="shared" ca="1" si="315"/>
        <v>0</v>
      </c>
      <c r="J1518" s="8">
        <f t="shared" ca="1" si="316"/>
        <v>1</v>
      </c>
      <c r="K1518" s="8">
        <f t="shared" ca="1" si="317"/>
        <v>44.919999999998254</v>
      </c>
      <c r="L1518" s="8">
        <f t="shared" ca="1" si="318"/>
        <v>17964.560000000016</v>
      </c>
      <c r="M1518" s="9">
        <f ca="1">AVERAGE(E1518:OFFSET(E1518,-M$5+1,0))</f>
        <v>8684.1409999999996</v>
      </c>
      <c r="N1518" s="9">
        <f ca="1">AVERAGE(E1518:OFFSET(E1518,-N$5+1,0))</f>
        <v>8850.7625000000007</v>
      </c>
      <c r="O1518" s="9">
        <f t="shared" ca="1" si="319"/>
        <v>0</v>
      </c>
      <c r="P1518" s="14">
        <f t="shared" si="324"/>
        <v>0.14879403445125064</v>
      </c>
      <c r="Q1518" s="15">
        <f ca="1">STDEV(P1518:OFFSET(P1518,-$Q$5+1,0))</f>
        <v>1.3510170615584514</v>
      </c>
      <c r="R1518" s="15">
        <f ca="1">STDEV(P1518:OFFSET(P1518,-$R$5+1,0))</f>
        <v>0.94222516788238408</v>
      </c>
      <c r="S1518" s="18">
        <f t="shared" si="311"/>
        <v>91.600000000000364</v>
      </c>
      <c r="T1518" s="18">
        <f t="shared" si="312"/>
        <v>104.29999999999927</v>
      </c>
      <c r="U1518" s="18">
        <f t="shared" si="320"/>
        <v>132.06540791527857</v>
      </c>
      <c r="V1518" s="33">
        <f ca="1">AVERAGE(E1518:OFFSET(E1518,-V$5+1,0))</f>
        <v>8781.5428571428583</v>
      </c>
      <c r="W1518" s="33">
        <f t="shared" ca="1" si="313"/>
        <v>8979.6409690157761</v>
      </c>
      <c r="X1518" s="33">
        <f t="shared" ca="1" si="314"/>
        <v>8583.4447452699405</v>
      </c>
      <c r="Y1518" s="32">
        <f t="shared" ca="1" si="321"/>
        <v>0</v>
      </c>
    </row>
    <row r="1519" spans="1:25">
      <c r="A1519" s="5">
        <v>40599</v>
      </c>
      <c r="B1519" s="4">
        <v>8597.8700000000008</v>
      </c>
      <c r="C1519" s="4">
        <v>8635.0400000000009</v>
      </c>
      <c r="D1519" s="4">
        <v>8470.09</v>
      </c>
      <c r="E1519" s="4">
        <v>8599.65</v>
      </c>
      <c r="F1519" s="4">
        <v>3641600</v>
      </c>
      <c r="G1519" s="8">
        <f t="shared" si="323"/>
        <v>56.230000000001382</v>
      </c>
      <c r="H1519" s="8">
        <f t="shared" si="322"/>
        <v>1.7799999999988358</v>
      </c>
      <c r="I1519" s="20">
        <f t="shared" ca="1" si="315"/>
        <v>0</v>
      </c>
      <c r="J1519" s="8">
        <f t="shared" ca="1" si="316"/>
        <v>1</v>
      </c>
      <c r="K1519" s="8">
        <f t="shared" ca="1" si="317"/>
        <v>58.010000000000218</v>
      </c>
      <c r="L1519" s="8">
        <f t="shared" ca="1" si="318"/>
        <v>18022.570000000014</v>
      </c>
      <c r="M1519" s="9">
        <f ca="1">AVERAGE(E1519:OFFSET(E1519,-M$5+1,0))</f>
        <v>8683.119999999999</v>
      </c>
      <c r="N1519" s="9">
        <f ca="1">AVERAGE(E1519:OFFSET(E1519,-N$5+1,0))</f>
        <v>8829.6365000000005</v>
      </c>
      <c r="O1519" s="9">
        <f t="shared" ca="1" si="319"/>
        <v>0</v>
      </c>
      <c r="P1519" s="14">
        <f t="shared" si="324"/>
        <v>0.67684779225009917</v>
      </c>
      <c r="Q1519" s="15">
        <f ca="1">STDEV(P1519:OFFSET(P1519,-$Q$5+1,0))</f>
        <v>1.1196022465667854</v>
      </c>
      <c r="R1519" s="15">
        <f ca="1">STDEV(P1519:OFFSET(P1519,-$R$5+1,0))</f>
        <v>0.94649662305755455</v>
      </c>
      <c r="S1519" s="18">
        <f t="shared" si="311"/>
        <v>164.95000000000073</v>
      </c>
      <c r="T1519" s="18">
        <f t="shared" si="312"/>
        <v>164.95000000000073</v>
      </c>
      <c r="U1519" s="18">
        <f t="shared" si="320"/>
        <v>136.45002019324153</v>
      </c>
      <c r="V1519" s="33">
        <f ca="1">AVERAGE(E1519:OFFSET(E1519,-V$5+1,0))</f>
        <v>8742.5642857142848</v>
      </c>
      <c r="W1519" s="33">
        <f t="shared" ca="1" si="313"/>
        <v>8947.2393160041465</v>
      </c>
      <c r="X1519" s="33">
        <f t="shared" ca="1" si="314"/>
        <v>8537.889255424423</v>
      </c>
      <c r="Y1519" s="32">
        <f t="shared" ca="1" si="321"/>
        <v>0</v>
      </c>
    </row>
    <row r="1520" spans="1:25">
      <c r="A1520" s="5">
        <v>40603</v>
      </c>
      <c r="B1520" s="4">
        <v>8611.7900000000009</v>
      </c>
      <c r="C1520" s="4">
        <v>8734.24</v>
      </c>
      <c r="D1520" s="4">
        <v>8611.7900000000009</v>
      </c>
      <c r="E1520" s="4">
        <v>8727.56</v>
      </c>
      <c r="F1520" s="4">
        <v>2811800</v>
      </c>
      <c r="G1520" s="8">
        <f t="shared" si="323"/>
        <v>12.140000000001237</v>
      </c>
      <c r="H1520" s="8">
        <f t="shared" si="322"/>
        <v>115.76999999999862</v>
      </c>
      <c r="I1520" s="20">
        <f t="shared" ca="1" si="315"/>
        <v>0</v>
      </c>
      <c r="J1520" s="8">
        <f t="shared" ca="1" si="316"/>
        <v>1</v>
      </c>
      <c r="K1520" s="8">
        <f t="shared" ca="1" si="317"/>
        <v>127.90999999999985</v>
      </c>
      <c r="L1520" s="8">
        <f t="shared" ca="1" si="318"/>
        <v>18150.480000000014</v>
      </c>
      <c r="M1520" s="9">
        <f ca="1">AVERAGE(E1520:OFFSET(E1520,-M$5+1,0))</f>
        <v>8687.3289999999997</v>
      </c>
      <c r="N1520" s="9">
        <f ca="1">AVERAGE(E1520:OFFSET(E1520,-N$5+1,0))</f>
        <v>8818.2955000000002</v>
      </c>
      <c r="O1520" s="9">
        <f t="shared" ca="1" si="319"/>
        <v>0</v>
      </c>
      <c r="P1520" s="14">
        <f t="shared" si="324"/>
        <v>1.4764330037520121</v>
      </c>
      <c r="Q1520" s="15">
        <f ca="1">STDEV(P1520:OFFSET(P1520,-$Q$5+1,0))</f>
        <v>1.1867319313323859</v>
      </c>
      <c r="R1520" s="15">
        <f ca="1">STDEV(P1520:OFFSET(P1520,-$R$5+1,0))</f>
        <v>0.97628456645907991</v>
      </c>
      <c r="S1520" s="18">
        <f t="shared" si="311"/>
        <v>122.44999999999891</v>
      </c>
      <c r="T1520" s="18">
        <f t="shared" si="312"/>
        <v>134.59000000000015</v>
      </c>
      <c r="U1520" s="18">
        <f t="shared" si="320"/>
        <v>136.20201750080935</v>
      </c>
      <c r="V1520" s="33">
        <f ca="1">AVERAGE(E1520:OFFSET(E1520,-V$5+1,0))</f>
        <v>8715.1428571428569</v>
      </c>
      <c r="W1520" s="33">
        <f t="shared" ca="1" si="313"/>
        <v>8919.4458833940716</v>
      </c>
      <c r="X1520" s="33">
        <f t="shared" ca="1" si="314"/>
        <v>8510.8398308916421</v>
      </c>
      <c r="Y1520" s="32">
        <f t="shared" ca="1" si="321"/>
        <v>0</v>
      </c>
    </row>
    <row r="1521" spans="1:25">
      <c r="A1521" s="5">
        <v>40604</v>
      </c>
      <c r="B1521" s="4">
        <v>8675.3700000000008</v>
      </c>
      <c r="C1521" s="4">
        <v>8709.57</v>
      </c>
      <c r="D1521" s="4">
        <v>8619.9</v>
      </c>
      <c r="E1521" s="4">
        <v>8619.9</v>
      </c>
      <c r="F1521" s="4">
        <v>2677400</v>
      </c>
      <c r="G1521" s="8">
        <f t="shared" si="323"/>
        <v>-52.18999999999869</v>
      </c>
      <c r="H1521" s="8">
        <f t="shared" si="322"/>
        <v>-55.470000000001164</v>
      </c>
      <c r="I1521" s="20">
        <f t="shared" ca="1" si="315"/>
        <v>0</v>
      </c>
      <c r="J1521" s="8">
        <f t="shared" ca="1" si="316"/>
        <v>1</v>
      </c>
      <c r="K1521" s="8">
        <f t="shared" ca="1" si="317"/>
        <v>-107.65999999999985</v>
      </c>
      <c r="L1521" s="8">
        <f t="shared" ca="1" si="318"/>
        <v>18042.820000000014</v>
      </c>
      <c r="M1521" s="9">
        <f ca="1">AVERAGE(E1521:OFFSET(E1521,-M$5+1,0))</f>
        <v>8677.1259999999984</v>
      </c>
      <c r="N1521" s="9">
        <f ca="1">AVERAGE(E1521:OFFSET(E1521,-N$5+1,0))</f>
        <v>8801.900999999998</v>
      </c>
      <c r="O1521" s="9">
        <f t="shared" ca="1" si="319"/>
        <v>0</v>
      </c>
      <c r="P1521" s="14">
        <f t="shared" si="324"/>
        <v>-1.2412351114154607</v>
      </c>
      <c r="Q1521" s="15">
        <f ca="1">STDEV(P1521:OFFSET(P1521,-$Q$5+1,0))</f>
        <v>1.2438777176919731</v>
      </c>
      <c r="R1521" s="15">
        <f ca="1">STDEV(P1521:OFFSET(P1521,-$R$5+1,0))</f>
        <v>0.99234005299861172</v>
      </c>
      <c r="S1521" s="18">
        <f t="shared" si="311"/>
        <v>89.670000000000073</v>
      </c>
      <c r="T1521" s="18">
        <f t="shared" si="312"/>
        <v>107.65999999999985</v>
      </c>
      <c r="U1521" s="18">
        <f t="shared" si="320"/>
        <v>132.3964151673681</v>
      </c>
      <c r="V1521" s="33">
        <f ca="1">AVERAGE(E1521:OFFSET(E1521,-V$5+1,0))</f>
        <v>8687.5057142857131</v>
      </c>
      <c r="W1521" s="33">
        <f t="shared" ca="1" si="313"/>
        <v>8886.1003370367653</v>
      </c>
      <c r="X1521" s="33">
        <f t="shared" ca="1" si="314"/>
        <v>8488.911091534661</v>
      </c>
      <c r="Y1521" s="32">
        <f t="shared" ca="1" si="321"/>
        <v>0</v>
      </c>
    </row>
    <row r="1522" spans="1:25">
      <c r="A1522" s="5">
        <v>40605</v>
      </c>
      <c r="B1522" s="4">
        <v>8661.6299999999992</v>
      </c>
      <c r="C1522" s="4">
        <v>8758.89</v>
      </c>
      <c r="D1522" s="4">
        <v>8661.6299999999992</v>
      </c>
      <c r="E1522" s="4">
        <v>8738.3700000000008</v>
      </c>
      <c r="F1522" s="4">
        <v>3099000</v>
      </c>
      <c r="G1522" s="8">
        <f t="shared" si="323"/>
        <v>41.729999999999563</v>
      </c>
      <c r="H1522" s="8">
        <f t="shared" si="322"/>
        <v>76.740000000001601</v>
      </c>
      <c r="I1522" s="20">
        <f t="shared" ca="1" si="315"/>
        <v>0</v>
      </c>
      <c r="J1522" s="8">
        <f t="shared" ca="1" si="316"/>
        <v>1</v>
      </c>
      <c r="K1522" s="8">
        <f t="shared" ca="1" si="317"/>
        <v>118.47000000000116</v>
      </c>
      <c r="L1522" s="8">
        <f t="shared" ca="1" si="318"/>
        <v>18161.290000000015</v>
      </c>
      <c r="M1522" s="9">
        <f ca="1">AVERAGE(E1522:OFFSET(E1522,-M$5+1,0))</f>
        <v>8679.6669999999995</v>
      </c>
      <c r="N1522" s="9">
        <f ca="1">AVERAGE(E1522:OFFSET(E1522,-N$5+1,0))</f>
        <v>8789.2499999999964</v>
      </c>
      <c r="O1522" s="9">
        <f t="shared" ca="1" si="319"/>
        <v>0</v>
      </c>
      <c r="P1522" s="14">
        <f t="shared" si="324"/>
        <v>1.3650189738298697</v>
      </c>
      <c r="Q1522" s="15">
        <f ca="1">STDEV(P1522:OFFSET(P1522,-$Q$5+1,0))</f>
        <v>1.3294843753126104</v>
      </c>
      <c r="R1522" s="15">
        <f ca="1">STDEV(P1522:OFFSET(P1522,-$R$5+1,0))</f>
        <v>1.0177237049989811</v>
      </c>
      <c r="S1522" s="18">
        <f t="shared" si="311"/>
        <v>97.260000000000218</v>
      </c>
      <c r="T1522" s="18">
        <f t="shared" si="312"/>
        <v>138.98999999999978</v>
      </c>
      <c r="U1522" s="18">
        <f t="shared" si="320"/>
        <v>133.27555981171901</v>
      </c>
      <c r="V1522" s="33">
        <f ca="1">AVERAGE(E1522:OFFSET(E1522,-V$5+1,0))</f>
        <v>8680.4921428571415</v>
      </c>
      <c r="W1522" s="33">
        <f t="shared" ca="1" si="313"/>
        <v>8880.4054825747207</v>
      </c>
      <c r="X1522" s="33">
        <f t="shared" ca="1" si="314"/>
        <v>8480.5788031395623</v>
      </c>
      <c r="Y1522" s="32">
        <f t="shared" ca="1" si="321"/>
        <v>0</v>
      </c>
    </row>
    <row r="1523" spans="1:25">
      <c r="A1523" s="5">
        <v>40606</v>
      </c>
      <c r="B1523" s="4">
        <v>8815.52</v>
      </c>
      <c r="C1523" s="4">
        <v>8829.23</v>
      </c>
      <c r="D1523" s="4">
        <v>8771.89</v>
      </c>
      <c r="E1523" s="4">
        <v>8784.4</v>
      </c>
      <c r="F1523" s="4">
        <v>3112800</v>
      </c>
      <c r="G1523" s="8">
        <f t="shared" si="323"/>
        <v>77.149999999999636</v>
      </c>
      <c r="H1523" s="8">
        <f t="shared" si="322"/>
        <v>-31.1200000000008</v>
      </c>
      <c r="I1523" s="20">
        <f t="shared" ca="1" si="315"/>
        <v>0</v>
      </c>
      <c r="J1523" s="8">
        <f t="shared" ca="1" si="316"/>
        <v>1</v>
      </c>
      <c r="K1523" s="8">
        <f t="shared" ca="1" si="317"/>
        <v>46.029999999998836</v>
      </c>
      <c r="L1523" s="8">
        <f t="shared" ca="1" si="318"/>
        <v>18207.320000000014</v>
      </c>
      <c r="M1523" s="9">
        <f ca="1">AVERAGE(E1523:OFFSET(E1523,-M$5+1,0))</f>
        <v>8689.7189999999991</v>
      </c>
      <c r="N1523" s="9">
        <f ca="1">AVERAGE(E1523:OFFSET(E1523,-N$5+1,0))</f>
        <v>8775.6904999999988</v>
      </c>
      <c r="O1523" s="9">
        <f t="shared" ca="1" si="319"/>
        <v>0</v>
      </c>
      <c r="P1523" s="14">
        <f t="shared" si="324"/>
        <v>0.52537476524660309</v>
      </c>
      <c r="Q1523" s="15">
        <f ca="1">STDEV(P1523:OFFSET(P1523,-$Q$5+1,0))</f>
        <v>1.3311663529772937</v>
      </c>
      <c r="R1523" s="15">
        <f ca="1">STDEV(P1523:OFFSET(P1523,-$R$5+1,0))</f>
        <v>1.021602761148525</v>
      </c>
      <c r="S1523" s="18">
        <f t="shared" si="311"/>
        <v>57.340000000000146</v>
      </c>
      <c r="T1523" s="18">
        <f t="shared" si="312"/>
        <v>90.859999999998763</v>
      </c>
      <c r="U1523" s="18">
        <f t="shared" si="320"/>
        <v>127.62015183682297</v>
      </c>
      <c r="V1523" s="33">
        <f ca="1">AVERAGE(E1523:OFFSET(E1523,-V$5+1,0))</f>
        <v>8692.9592857142834</v>
      </c>
      <c r="W1523" s="33">
        <f t="shared" ca="1" si="313"/>
        <v>8884.3895134695176</v>
      </c>
      <c r="X1523" s="33">
        <f t="shared" ca="1" si="314"/>
        <v>8501.5290579590492</v>
      </c>
      <c r="Y1523" s="32">
        <f t="shared" ca="1" si="321"/>
        <v>0</v>
      </c>
    </row>
    <row r="1524" spans="1:25">
      <c r="A1524" s="5">
        <v>40609</v>
      </c>
      <c r="B1524" s="4">
        <v>8769.8700000000008</v>
      </c>
      <c r="C1524" s="4">
        <v>8769.8700000000008</v>
      </c>
      <c r="D1524" s="4">
        <v>8706.3799999999992</v>
      </c>
      <c r="E1524" s="4">
        <v>8713.7900000000009</v>
      </c>
      <c r="F1524" s="4">
        <v>2288200</v>
      </c>
      <c r="G1524" s="8">
        <f t="shared" si="323"/>
        <v>-14.529999999998836</v>
      </c>
      <c r="H1524" s="8">
        <f t="shared" si="322"/>
        <v>-56.079999999999927</v>
      </c>
      <c r="I1524" s="20">
        <f t="shared" ca="1" si="315"/>
        <v>0</v>
      </c>
      <c r="J1524" s="8">
        <f t="shared" ca="1" si="316"/>
        <v>1</v>
      </c>
      <c r="K1524" s="8">
        <f t="shared" ca="1" si="317"/>
        <v>-70.609999999998763</v>
      </c>
      <c r="L1524" s="8">
        <f t="shared" ca="1" si="318"/>
        <v>18136.710000000014</v>
      </c>
      <c r="M1524" s="9">
        <f ca="1">AVERAGE(E1524:OFFSET(E1524,-M$5+1,0))</f>
        <v>8676.7139999999981</v>
      </c>
      <c r="N1524" s="9">
        <f ca="1">AVERAGE(E1524:OFFSET(E1524,-N$5+1,0))</f>
        <v>8756.2634999999991</v>
      </c>
      <c r="O1524" s="9">
        <f t="shared" ca="1" si="319"/>
        <v>0</v>
      </c>
      <c r="P1524" s="14">
        <f t="shared" si="324"/>
        <v>-0.80705928169314523</v>
      </c>
      <c r="Q1524" s="15">
        <f ca="1">STDEV(P1524:OFFSET(P1524,-$Q$5+1,0))</f>
        <v>1.2101766161664376</v>
      </c>
      <c r="R1524" s="15">
        <f ca="1">STDEV(P1524:OFFSET(P1524,-$R$5+1,0))</f>
        <v>1.0257713223271221</v>
      </c>
      <c r="S1524" s="18">
        <f t="shared" si="311"/>
        <v>63.490000000001601</v>
      </c>
      <c r="T1524" s="18">
        <f t="shared" si="312"/>
        <v>78.020000000000437</v>
      </c>
      <c r="U1524" s="18">
        <f t="shared" si="320"/>
        <v>121.00679825857998</v>
      </c>
      <c r="V1524" s="33">
        <f ca="1">AVERAGE(E1524:OFFSET(E1524,-V$5+1,0))</f>
        <v>8694.9821428571413</v>
      </c>
      <c r="W1524" s="33">
        <f t="shared" ca="1" si="313"/>
        <v>8876.4923402450113</v>
      </c>
      <c r="X1524" s="33">
        <f t="shared" ca="1" si="314"/>
        <v>8513.4719454692713</v>
      </c>
      <c r="Y1524" s="32">
        <f t="shared" ca="1" si="321"/>
        <v>0</v>
      </c>
    </row>
    <row r="1525" spans="1:25">
      <c r="A1525" s="5">
        <v>40610</v>
      </c>
      <c r="B1525" s="4">
        <v>8692.1</v>
      </c>
      <c r="C1525" s="4">
        <v>8768.31</v>
      </c>
      <c r="D1525" s="4">
        <v>8692.1</v>
      </c>
      <c r="E1525" s="4">
        <v>8747.75</v>
      </c>
      <c r="F1525" s="4">
        <v>2487400</v>
      </c>
      <c r="G1525" s="8">
        <f t="shared" si="323"/>
        <v>-21.690000000000509</v>
      </c>
      <c r="H1525" s="8">
        <f t="shared" si="322"/>
        <v>55.649999999999636</v>
      </c>
      <c r="I1525" s="20">
        <f t="shared" ca="1" si="315"/>
        <v>0</v>
      </c>
      <c r="J1525" s="8">
        <f t="shared" ca="1" si="316"/>
        <v>1</v>
      </c>
      <c r="K1525" s="8">
        <f t="shared" ca="1" si="317"/>
        <v>33.959999999999127</v>
      </c>
      <c r="L1525" s="8">
        <f t="shared" ca="1" si="318"/>
        <v>18170.670000000013</v>
      </c>
      <c r="M1525" s="9">
        <f ca="1">AVERAGE(E1525:OFFSET(E1525,-M$5+1,0))</f>
        <v>8667.5670000000009</v>
      </c>
      <c r="N1525" s="9">
        <f ca="1">AVERAGE(E1525:OFFSET(E1525,-N$5+1,0))</f>
        <v>8736.3834999999999</v>
      </c>
      <c r="O1525" s="9">
        <f t="shared" ca="1" si="319"/>
        <v>0</v>
      </c>
      <c r="P1525" s="14">
        <f t="shared" si="324"/>
        <v>0.3889696191417551</v>
      </c>
      <c r="Q1525" s="15">
        <f ca="1">STDEV(P1525:OFFSET(P1525,-$Q$5+1,0))</f>
        <v>1.2220463137829329</v>
      </c>
      <c r="R1525" s="15">
        <f ca="1">STDEV(P1525:OFFSET(P1525,-$R$5+1,0))</f>
        <v>1.0206317786575125</v>
      </c>
      <c r="S1525" s="18">
        <f t="shared" ref="S1525:S1588" si="325">C1525-D1525</f>
        <v>76.209999999999127</v>
      </c>
      <c r="T1525" s="18">
        <f t="shared" ref="T1525:T1588" si="326">MAX(C1525,E1524)-MIN(D1525,E1524)</f>
        <v>76.209999999999127</v>
      </c>
      <c r="U1525" s="18">
        <f t="shared" si="320"/>
        <v>115.03389182410254</v>
      </c>
      <c r="V1525" s="33">
        <f ca="1">AVERAGE(E1525:OFFSET(E1525,-V$5+1,0))</f>
        <v>8696.8264285714267</v>
      </c>
      <c r="W1525" s="33">
        <f t="shared" ref="W1525:W1588" ca="1" si="327">V1525+W$5*U1525</f>
        <v>8869.3772663075797</v>
      </c>
      <c r="X1525" s="33">
        <f t="shared" ref="X1525:X1588" ca="1" si="328">V1525-W$5*U1525</f>
        <v>8524.2755908352738</v>
      </c>
      <c r="Y1525" s="32">
        <f t="shared" ca="1" si="321"/>
        <v>0</v>
      </c>
    </row>
    <row r="1526" spans="1:25">
      <c r="A1526" s="5">
        <v>40611</v>
      </c>
      <c r="B1526" s="4">
        <v>8810.35</v>
      </c>
      <c r="C1526" s="4">
        <v>8824.41</v>
      </c>
      <c r="D1526" s="4">
        <v>8730.74</v>
      </c>
      <c r="E1526" s="4">
        <v>8750.02</v>
      </c>
      <c r="F1526" s="4">
        <v>2811200</v>
      </c>
      <c r="G1526" s="8">
        <f t="shared" si="323"/>
        <v>62.600000000000364</v>
      </c>
      <c r="H1526" s="8">
        <f t="shared" si="322"/>
        <v>-60.329999999999927</v>
      </c>
      <c r="I1526" s="20">
        <f t="shared" ref="I1526:I1589" ca="1" si="329">Y1526</f>
        <v>0</v>
      </c>
      <c r="J1526" s="8">
        <f t="shared" ref="J1526:J1589" ca="1" si="330">IF((J1525+I1525)&gt;=J$5,J$5,IF((J1525+I1525)&lt;=J$7,J$7,J1525+I1525))</f>
        <v>1</v>
      </c>
      <c r="K1526" s="8">
        <f t="shared" ref="K1526:K1589" ca="1" si="331">J1525*G1526+J1526*H1526</f>
        <v>2.2700000000004366</v>
      </c>
      <c r="L1526" s="8">
        <f t="shared" ref="L1526:L1589" ca="1" si="332">L1525+K1526</f>
        <v>18172.940000000013</v>
      </c>
      <c r="M1526" s="9">
        <f ca="1">AVERAGE(E1526:OFFSET(E1526,-M$5+1,0))</f>
        <v>8675.2020000000011</v>
      </c>
      <c r="N1526" s="9">
        <f ca="1">AVERAGE(E1526:OFFSET(E1526,-N$5+1,0))</f>
        <v>8718.3114999999998</v>
      </c>
      <c r="O1526" s="9">
        <f t="shared" ref="O1526:O1589" ca="1" si="333">IF(AND(M1525&lt;=N1525,M1526&gt;N1526),1,IF(AND(M1525&gt;=N1525,M1526&lt;N1526),-1,0))</f>
        <v>0</v>
      </c>
      <c r="P1526" s="14">
        <f t="shared" si="324"/>
        <v>2.5946163570953581E-2</v>
      </c>
      <c r="Q1526" s="15">
        <f ca="1">STDEV(P1526:OFFSET(P1526,-$Q$5+1,0))</f>
        <v>1.0487047580443138</v>
      </c>
      <c r="R1526" s="15">
        <f ca="1">STDEV(P1526:OFFSET(P1526,-$R$5+1,0))</f>
        <v>1.015309682982811</v>
      </c>
      <c r="S1526" s="18">
        <f t="shared" si="325"/>
        <v>93.670000000000073</v>
      </c>
      <c r="T1526" s="18">
        <f t="shared" si="326"/>
        <v>93.670000000000073</v>
      </c>
      <c r="U1526" s="18">
        <f t="shared" ref="U1526:U1589" si="334">$U$5*T1526+(1-$U$5)*U1525</f>
        <v>112.18537291422221</v>
      </c>
      <c r="V1526" s="33">
        <f ca="1">AVERAGE(E1526:OFFSET(E1526,-V$5+1,0))</f>
        <v>8699.4735714285707</v>
      </c>
      <c r="W1526" s="33">
        <f t="shared" ca="1" si="327"/>
        <v>8867.7516307999049</v>
      </c>
      <c r="X1526" s="33">
        <f t="shared" ca="1" si="328"/>
        <v>8531.1955120572366</v>
      </c>
      <c r="Y1526" s="32">
        <f t="shared" ref="Y1526:Y1589" ca="1" si="335">IF(AND(E1525&gt;X1525,E1526&lt;X1526),-1,IF(AND(E1525&lt;W1525,E1526&gt;W1526),1,0))</f>
        <v>0</v>
      </c>
    </row>
    <row r="1527" spans="1:25">
      <c r="A1527" s="5">
        <v>40612</v>
      </c>
      <c r="B1527" s="4">
        <v>8754.41</v>
      </c>
      <c r="C1527" s="4">
        <v>8754.41</v>
      </c>
      <c r="D1527" s="4">
        <v>8635.75</v>
      </c>
      <c r="E1527" s="4">
        <v>8642.9</v>
      </c>
      <c r="F1527" s="4">
        <v>2763000</v>
      </c>
      <c r="G1527" s="8">
        <f t="shared" si="323"/>
        <v>4.3899999999994179</v>
      </c>
      <c r="H1527" s="8">
        <f t="shared" si="322"/>
        <v>-111.51000000000022</v>
      </c>
      <c r="I1527" s="20">
        <f t="shared" ca="1" si="329"/>
        <v>0</v>
      </c>
      <c r="J1527" s="8">
        <f t="shared" ca="1" si="330"/>
        <v>1</v>
      </c>
      <c r="K1527" s="8">
        <f t="shared" ca="1" si="331"/>
        <v>-107.1200000000008</v>
      </c>
      <c r="L1527" s="8">
        <f t="shared" ca="1" si="332"/>
        <v>18065.820000000014</v>
      </c>
      <c r="M1527" s="9">
        <f ca="1">AVERAGE(E1527:OFFSET(E1527,-M$5+1,0))</f>
        <v>8686.598</v>
      </c>
      <c r="N1527" s="9">
        <f ca="1">AVERAGE(E1527:OFFSET(E1527,-N$5+1,0))</f>
        <v>8700.1154999999981</v>
      </c>
      <c r="O1527" s="9">
        <f t="shared" ca="1" si="333"/>
        <v>0</v>
      </c>
      <c r="P1527" s="14">
        <f t="shared" si="324"/>
        <v>-1.2317811434322383</v>
      </c>
      <c r="Q1527" s="15">
        <f ca="1">STDEV(P1527:OFFSET(P1527,-$Q$5+1,0))</f>
        <v>0.97093896284255599</v>
      </c>
      <c r="R1527" s="15">
        <f ca="1">STDEV(P1527:OFFSET(P1527,-$R$5+1,0))</f>
        <v>1.0310519443294566</v>
      </c>
      <c r="S1527" s="18">
        <f t="shared" si="325"/>
        <v>118.65999999999985</v>
      </c>
      <c r="T1527" s="18">
        <f t="shared" si="326"/>
        <v>118.65999999999985</v>
      </c>
      <c r="U1527" s="18">
        <f t="shared" si="334"/>
        <v>113.04865652565924</v>
      </c>
      <c r="V1527" s="33">
        <f ca="1">AVERAGE(E1527:OFFSET(E1527,-V$5+1,0))</f>
        <v>8696.5464285714279</v>
      </c>
      <c r="W1527" s="33">
        <f t="shared" ca="1" si="327"/>
        <v>8866.1194133599165</v>
      </c>
      <c r="X1527" s="33">
        <f t="shared" ca="1" si="328"/>
        <v>8526.9734437829393</v>
      </c>
      <c r="Y1527" s="32">
        <f t="shared" ca="1" si="335"/>
        <v>0</v>
      </c>
    </row>
    <row r="1528" spans="1:25">
      <c r="A1528" s="5">
        <v>40613</v>
      </c>
      <c r="B1528" s="4">
        <v>8566.91</v>
      </c>
      <c r="C1528" s="4">
        <v>8593.7099999999991</v>
      </c>
      <c r="D1528" s="4">
        <v>8513.51</v>
      </c>
      <c r="E1528" s="4">
        <v>8567.82</v>
      </c>
      <c r="F1528" s="4">
        <v>2422200</v>
      </c>
      <c r="G1528" s="8">
        <f t="shared" si="323"/>
        <v>-75.989999999999782</v>
      </c>
      <c r="H1528" s="8">
        <f t="shared" si="322"/>
        <v>0.90999999999985448</v>
      </c>
      <c r="I1528" s="20">
        <f t="shared" ca="1" si="329"/>
        <v>0</v>
      </c>
      <c r="J1528" s="8">
        <f t="shared" ca="1" si="330"/>
        <v>1</v>
      </c>
      <c r="K1528" s="8">
        <f t="shared" ca="1" si="331"/>
        <v>-75.079999999999927</v>
      </c>
      <c r="L1528" s="8">
        <f t="shared" ca="1" si="332"/>
        <v>17990.740000000013</v>
      </c>
      <c r="M1528" s="9">
        <f ca="1">AVERAGE(E1528:OFFSET(E1528,-M$5+1,0))</f>
        <v>8689.2160000000003</v>
      </c>
      <c r="N1528" s="9">
        <f ca="1">AVERAGE(E1528:OFFSET(E1528,-N$5+1,0))</f>
        <v>8686.6784999999982</v>
      </c>
      <c r="O1528" s="9">
        <f t="shared" ca="1" si="333"/>
        <v>1</v>
      </c>
      <c r="P1528" s="14">
        <f t="shared" si="324"/>
        <v>-0.87248501254675104</v>
      </c>
      <c r="Q1528" s="15">
        <f ca="1">STDEV(P1528:OFFSET(P1528,-$Q$5+1,0))</f>
        <v>1.021458766547632</v>
      </c>
      <c r="R1528" s="15">
        <f ca="1">STDEV(P1528:OFFSET(P1528,-$R$5+1,0))</f>
        <v>1.0064976727454908</v>
      </c>
      <c r="S1528" s="18">
        <f t="shared" si="325"/>
        <v>80.199999999998909</v>
      </c>
      <c r="T1528" s="18">
        <f t="shared" si="326"/>
        <v>129.38999999999942</v>
      </c>
      <c r="U1528" s="18">
        <f t="shared" si="334"/>
        <v>115.22750232223794</v>
      </c>
      <c r="V1528" s="33">
        <f ca="1">AVERAGE(E1528:OFFSET(E1528,-V$5+1,0))</f>
        <v>8676.830714285712</v>
      </c>
      <c r="W1528" s="33">
        <f t="shared" ca="1" si="327"/>
        <v>8849.6719677690689</v>
      </c>
      <c r="X1528" s="33">
        <f t="shared" ca="1" si="328"/>
        <v>8503.9894608023551</v>
      </c>
      <c r="Y1528" s="32">
        <f t="shared" ca="1" si="335"/>
        <v>0</v>
      </c>
    </row>
    <row r="1529" spans="1:25">
      <c r="A1529" s="5">
        <v>40616</v>
      </c>
      <c r="B1529" s="4">
        <v>8616.2900000000009</v>
      </c>
      <c r="C1529" s="4">
        <v>8616.2900000000009</v>
      </c>
      <c r="D1529" s="4">
        <v>8395.11</v>
      </c>
      <c r="E1529" s="4">
        <v>8520.02</v>
      </c>
      <c r="F1529" s="4">
        <v>3309000</v>
      </c>
      <c r="G1529" s="8">
        <f t="shared" si="323"/>
        <v>48.470000000001164</v>
      </c>
      <c r="H1529" s="8">
        <f t="shared" si="322"/>
        <v>-96.270000000000437</v>
      </c>
      <c r="I1529" s="20">
        <f t="shared" ca="1" si="329"/>
        <v>0</v>
      </c>
      <c r="J1529" s="8">
        <f t="shared" ca="1" si="330"/>
        <v>1</v>
      </c>
      <c r="K1529" s="8">
        <f t="shared" ca="1" si="331"/>
        <v>-47.799999999999272</v>
      </c>
      <c r="L1529" s="8">
        <f t="shared" ca="1" si="332"/>
        <v>17942.940000000013</v>
      </c>
      <c r="M1529" s="9">
        <f ca="1">AVERAGE(E1529:OFFSET(E1529,-M$5+1,0))</f>
        <v>8681.2530000000006</v>
      </c>
      <c r="N1529" s="9">
        <f ca="1">AVERAGE(E1529:OFFSET(E1529,-N$5+1,0))</f>
        <v>8682.186499999998</v>
      </c>
      <c r="O1529" s="9">
        <f t="shared" ca="1" si="333"/>
        <v>-1</v>
      </c>
      <c r="P1529" s="14">
        <f t="shared" si="324"/>
        <v>-0.55946362650970849</v>
      </c>
      <c r="Q1529" s="15">
        <f ca="1">STDEV(P1529:OFFSET(P1529,-$Q$5+1,0))</f>
        <v>1.0092957802578555</v>
      </c>
      <c r="R1529" s="15">
        <f ca="1">STDEV(P1529:OFFSET(P1529,-$R$5+1,0))</f>
        <v>1.0059864799086731</v>
      </c>
      <c r="S1529" s="18">
        <f t="shared" si="325"/>
        <v>221.18000000000029</v>
      </c>
      <c r="T1529" s="18">
        <f t="shared" si="326"/>
        <v>221.18000000000029</v>
      </c>
      <c r="U1529" s="18">
        <f t="shared" si="334"/>
        <v>129.35450201260625</v>
      </c>
      <c r="V1529" s="33">
        <f ca="1">AVERAGE(E1529:OFFSET(E1529,-V$5+1,0))</f>
        <v>8654.0307142857146</v>
      </c>
      <c r="W1529" s="33">
        <f t="shared" ca="1" si="327"/>
        <v>8848.0624673046241</v>
      </c>
      <c r="X1529" s="33">
        <f t="shared" ca="1" si="328"/>
        <v>8459.9989612668051</v>
      </c>
      <c r="Y1529" s="32">
        <f t="shared" ca="1" si="335"/>
        <v>0</v>
      </c>
    </row>
    <row r="1530" spans="1:25">
      <c r="A1530" s="5">
        <v>40617</v>
      </c>
      <c r="B1530" s="4">
        <v>8493.83</v>
      </c>
      <c r="C1530" s="4">
        <v>8519.9</v>
      </c>
      <c r="D1530" s="4">
        <v>8070.52</v>
      </c>
      <c r="E1530" s="4">
        <v>8234.7800000000007</v>
      </c>
      <c r="F1530" s="4">
        <v>4871800</v>
      </c>
      <c r="G1530" s="8">
        <f t="shared" si="323"/>
        <v>-26.190000000000509</v>
      </c>
      <c r="H1530" s="8">
        <f t="shared" si="322"/>
        <v>-259.04999999999927</v>
      </c>
      <c r="I1530" s="20">
        <f t="shared" ca="1" si="329"/>
        <v>-1</v>
      </c>
      <c r="J1530" s="8">
        <f t="shared" ca="1" si="330"/>
        <v>1</v>
      </c>
      <c r="K1530" s="8">
        <f t="shared" ca="1" si="331"/>
        <v>-285.23999999999978</v>
      </c>
      <c r="L1530" s="8">
        <f t="shared" ca="1" si="332"/>
        <v>17657.700000000012</v>
      </c>
      <c r="M1530" s="9">
        <f ca="1">AVERAGE(E1530:OFFSET(E1530,-M$5+1,0))</f>
        <v>8631.9750000000004</v>
      </c>
      <c r="N1530" s="9">
        <f ca="1">AVERAGE(E1530:OFFSET(E1530,-N$5+1,0))</f>
        <v>8659.6519999999982</v>
      </c>
      <c r="O1530" s="9">
        <f t="shared" ca="1" si="333"/>
        <v>0</v>
      </c>
      <c r="P1530" s="14">
        <f t="shared" si="324"/>
        <v>-3.4052040223394293</v>
      </c>
      <c r="Q1530" s="15">
        <f ca="1">STDEV(P1530:OFFSET(P1530,-$Q$5+1,0))</f>
        <v>1.3035150893144065</v>
      </c>
      <c r="R1530" s="15">
        <f ca="1">STDEV(P1530:OFFSET(P1530,-$R$5+1,0))</f>
        <v>1.1228125701634915</v>
      </c>
      <c r="S1530" s="18">
        <f t="shared" si="325"/>
        <v>449.3799999999992</v>
      </c>
      <c r="T1530" s="18">
        <f t="shared" si="326"/>
        <v>449.5</v>
      </c>
      <c r="U1530" s="18">
        <f t="shared" si="334"/>
        <v>172.0405684109254</v>
      </c>
      <c r="V1530" s="33">
        <f ca="1">AVERAGE(E1530:OFFSET(E1530,-V$5+1,0))</f>
        <v>8622.6814285714281</v>
      </c>
      <c r="W1530" s="33">
        <f t="shared" ca="1" si="327"/>
        <v>8880.7422811878168</v>
      </c>
      <c r="X1530" s="33">
        <f t="shared" ca="1" si="328"/>
        <v>8364.6205759550394</v>
      </c>
      <c r="Y1530" s="32">
        <f t="shared" ca="1" si="335"/>
        <v>-1</v>
      </c>
    </row>
    <row r="1531" spans="1:25">
      <c r="A1531" s="5">
        <v>40618</v>
      </c>
      <c r="B1531" s="4">
        <v>8317.3799999999992</v>
      </c>
      <c r="C1531" s="4">
        <v>8372.02</v>
      </c>
      <c r="D1531" s="4">
        <v>8257.08</v>
      </c>
      <c r="E1531" s="4">
        <v>8324.58</v>
      </c>
      <c r="F1531" s="4">
        <v>3250800</v>
      </c>
      <c r="G1531" s="8">
        <f t="shared" si="323"/>
        <v>82.599999999998545</v>
      </c>
      <c r="H1531" s="8">
        <f t="shared" si="322"/>
        <v>7.2000000000007276</v>
      </c>
      <c r="I1531" s="20">
        <f t="shared" ca="1" si="329"/>
        <v>0</v>
      </c>
      <c r="J1531" s="8">
        <f t="shared" ca="1" si="330"/>
        <v>0</v>
      </c>
      <c r="K1531" s="8">
        <f t="shared" ca="1" si="331"/>
        <v>82.599999999998545</v>
      </c>
      <c r="L1531" s="8">
        <f t="shared" ca="1" si="332"/>
        <v>17740.30000000001</v>
      </c>
      <c r="M1531" s="9">
        <f ca="1">AVERAGE(E1531:OFFSET(E1531,-M$5+1,0))</f>
        <v>8602.4430000000011</v>
      </c>
      <c r="N1531" s="9">
        <f ca="1">AVERAGE(E1531:OFFSET(E1531,-N$5+1,0))</f>
        <v>8639.7844999999979</v>
      </c>
      <c r="O1531" s="9">
        <f t="shared" ca="1" si="333"/>
        <v>0</v>
      </c>
      <c r="P1531" s="14">
        <f t="shared" si="324"/>
        <v>1.0845936110474943</v>
      </c>
      <c r="Q1531" s="15">
        <f ca="1">STDEV(P1531:OFFSET(P1531,-$Q$5+1,0))</f>
        <v>1.3780259852913919</v>
      </c>
      <c r="R1531" s="15">
        <f ca="1">STDEV(P1531:OFFSET(P1531,-$R$5+1,0))</f>
        <v>1.136721056432874</v>
      </c>
      <c r="S1531" s="18">
        <f t="shared" si="325"/>
        <v>114.94000000000051</v>
      </c>
      <c r="T1531" s="18">
        <f t="shared" si="326"/>
        <v>137.23999999999978</v>
      </c>
      <c r="U1531" s="18">
        <f t="shared" si="334"/>
        <v>167.40049262280198</v>
      </c>
      <c r="V1531" s="33">
        <f ca="1">AVERAGE(E1531:OFFSET(E1531,-V$5+1,0))</f>
        <v>8608.0842857142852</v>
      </c>
      <c r="W1531" s="33">
        <f t="shared" ca="1" si="327"/>
        <v>8859.1850246484883</v>
      </c>
      <c r="X1531" s="33">
        <f t="shared" ca="1" si="328"/>
        <v>8356.9835467800822</v>
      </c>
      <c r="Y1531" s="32">
        <f t="shared" ca="1" si="335"/>
        <v>0</v>
      </c>
    </row>
    <row r="1532" spans="1:25">
      <c r="A1532" s="5">
        <v>40619</v>
      </c>
      <c r="B1532" s="4">
        <v>8190.5</v>
      </c>
      <c r="C1532" s="4">
        <v>8282.69</v>
      </c>
      <c r="D1532" s="4">
        <v>8150.73</v>
      </c>
      <c r="E1532" s="4">
        <v>8282.69</v>
      </c>
      <c r="F1532" s="4">
        <v>3048000</v>
      </c>
      <c r="G1532" s="8">
        <f t="shared" si="323"/>
        <v>-134.07999999999993</v>
      </c>
      <c r="H1532" s="8">
        <f t="shared" si="322"/>
        <v>92.190000000000509</v>
      </c>
      <c r="I1532" s="20">
        <f t="shared" ca="1" si="329"/>
        <v>0</v>
      </c>
      <c r="J1532" s="8">
        <f t="shared" ca="1" si="330"/>
        <v>0</v>
      </c>
      <c r="K1532" s="8">
        <f t="shared" ca="1" si="331"/>
        <v>0</v>
      </c>
      <c r="L1532" s="8">
        <f t="shared" ca="1" si="332"/>
        <v>17740.30000000001</v>
      </c>
      <c r="M1532" s="9">
        <f ca="1">AVERAGE(E1532:OFFSET(E1532,-M$5+1,0))</f>
        <v>8556.8750000000018</v>
      </c>
      <c r="N1532" s="9">
        <f ca="1">AVERAGE(E1532:OFFSET(E1532,-N$5+1,0))</f>
        <v>8618.270999999997</v>
      </c>
      <c r="O1532" s="9">
        <f t="shared" ca="1" si="333"/>
        <v>0</v>
      </c>
      <c r="P1532" s="14">
        <f t="shared" si="324"/>
        <v>-0.50447892809977068</v>
      </c>
      <c r="Q1532" s="15">
        <f ca="1">STDEV(P1532:OFFSET(P1532,-$Q$5+1,0))</f>
        <v>1.2395730861794374</v>
      </c>
      <c r="R1532" s="15">
        <f ca="1">STDEV(P1532:OFFSET(P1532,-$R$5+1,0))</f>
        <v>1.1142417302581646</v>
      </c>
      <c r="S1532" s="18">
        <f t="shared" si="325"/>
        <v>131.96000000000095</v>
      </c>
      <c r="T1532" s="18">
        <f t="shared" si="326"/>
        <v>173.85000000000036</v>
      </c>
      <c r="U1532" s="18">
        <f t="shared" si="334"/>
        <v>168.26042693976177</v>
      </c>
      <c r="V1532" s="33">
        <f ca="1">AVERAGE(E1532:OFFSET(E1532,-V$5+1,0))</f>
        <v>8589.5878571428584</v>
      </c>
      <c r="W1532" s="33">
        <f t="shared" ca="1" si="327"/>
        <v>8841.9784975525017</v>
      </c>
      <c r="X1532" s="33">
        <f t="shared" ca="1" si="328"/>
        <v>8337.1972167332151</v>
      </c>
      <c r="Y1532" s="32">
        <f t="shared" ca="1" si="335"/>
        <v>0</v>
      </c>
    </row>
    <row r="1533" spans="1:25">
      <c r="A1533" s="5">
        <v>40620</v>
      </c>
      <c r="B1533" s="4">
        <v>8343.7900000000009</v>
      </c>
      <c r="C1533" s="4">
        <v>8399.17</v>
      </c>
      <c r="D1533" s="4">
        <v>8312.8799999999992</v>
      </c>
      <c r="E1533" s="4">
        <v>8394.75</v>
      </c>
      <c r="F1533" s="4">
        <v>3085400</v>
      </c>
      <c r="G1533" s="8">
        <f t="shared" si="323"/>
        <v>61.100000000000364</v>
      </c>
      <c r="H1533" s="8">
        <f t="shared" si="322"/>
        <v>50.959999999999127</v>
      </c>
      <c r="I1533" s="20">
        <f t="shared" ca="1" si="329"/>
        <v>0</v>
      </c>
      <c r="J1533" s="8">
        <f t="shared" ca="1" si="330"/>
        <v>0</v>
      </c>
      <c r="K1533" s="8">
        <f t="shared" ca="1" si="331"/>
        <v>0</v>
      </c>
      <c r="L1533" s="8">
        <f t="shared" ca="1" si="332"/>
        <v>17740.30000000001</v>
      </c>
      <c r="M1533" s="9">
        <f ca="1">AVERAGE(E1533:OFFSET(E1533,-M$5+1,0))</f>
        <v>8517.91</v>
      </c>
      <c r="N1533" s="9">
        <f ca="1">AVERAGE(E1533:OFFSET(E1533,-N$5+1,0))</f>
        <v>8603.8144999999968</v>
      </c>
      <c r="O1533" s="9">
        <f t="shared" ca="1" si="333"/>
        <v>0</v>
      </c>
      <c r="P1533" s="14">
        <f t="shared" si="324"/>
        <v>1.343871559295702</v>
      </c>
      <c r="Q1533" s="15">
        <f ca="1">STDEV(P1533:OFFSET(P1533,-$Q$5+1,0))</f>
        <v>1.340338168174009</v>
      </c>
      <c r="R1533" s="15">
        <f ca="1">STDEV(P1533:OFFSET(P1533,-$R$5+1,0))</f>
        <v>1.1370903008364732</v>
      </c>
      <c r="S1533" s="18">
        <f t="shared" si="325"/>
        <v>86.290000000000873</v>
      </c>
      <c r="T1533" s="18">
        <f t="shared" si="326"/>
        <v>116.47999999999956</v>
      </c>
      <c r="U1533" s="18">
        <f t="shared" si="334"/>
        <v>161.35637001446014</v>
      </c>
      <c r="V1533" s="33">
        <f ca="1">AVERAGE(E1533:OFFSET(E1533,-V$5+1,0))</f>
        <v>8574.9521428571443</v>
      </c>
      <c r="W1533" s="33">
        <f t="shared" ca="1" si="327"/>
        <v>8816.9866978788341</v>
      </c>
      <c r="X1533" s="33">
        <f t="shared" ca="1" si="328"/>
        <v>8332.9175878354545</v>
      </c>
      <c r="Y1533" s="32">
        <f t="shared" ca="1" si="335"/>
        <v>0</v>
      </c>
    </row>
    <row r="1534" spans="1:25">
      <c r="A1534" s="5">
        <v>40623</v>
      </c>
      <c r="B1534" s="4">
        <v>8421.66</v>
      </c>
      <c r="C1534" s="4">
        <v>8508.2000000000007</v>
      </c>
      <c r="D1534" s="4">
        <v>8394.2199999999993</v>
      </c>
      <c r="E1534" s="4">
        <v>8467.7099999999991</v>
      </c>
      <c r="F1534" s="4">
        <v>2464000</v>
      </c>
      <c r="G1534" s="8">
        <f t="shared" si="323"/>
        <v>26.909999999999854</v>
      </c>
      <c r="H1534" s="8">
        <f t="shared" si="322"/>
        <v>46.049999999999272</v>
      </c>
      <c r="I1534" s="20">
        <f t="shared" ca="1" si="329"/>
        <v>0</v>
      </c>
      <c r="J1534" s="8">
        <f t="shared" ca="1" si="330"/>
        <v>0</v>
      </c>
      <c r="K1534" s="8">
        <f t="shared" ca="1" si="331"/>
        <v>0</v>
      </c>
      <c r="L1534" s="8">
        <f t="shared" ca="1" si="332"/>
        <v>17740.30000000001</v>
      </c>
      <c r="M1534" s="9">
        <f ca="1">AVERAGE(E1534:OFFSET(E1534,-M$5+1,0))</f>
        <v>8493.3019999999997</v>
      </c>
      <c r="N1534" s="9">
        <f ca="1">AVERAGE(E1534:OFFSET(E1534,-N$5+1,0))</f>
        <v>8585.007999999998</v>
      </c>
      <c r="O1534" s="9">
        <f t="shared" ca="1" si="333"/>
        <v>0</v>
      </c>
      <c r="P1534" s="14">
        <f t="shared" si="324"/>
        <v>0.86535956554992399</v>
      </c>
      <c r="Q1534" s="15">
        <f ca="1">STDEV(P1534:OFFSET(P1534,-$Q$5+1,0))</f>
        <v>1.3945905404510814</v>
      </c>
      <c r="R1534" s="15">
        <f ca="1">STDEV(P1534:OFFSET(P1534,-$R$5+1,0))</f>
        <v>1.1479365726154847</v>
      </c>
      <c r="S1534" s="18">
        <f t="shared" si="325"/>
        <v>113.98000000000138</v>
      </c>
      <c r="T1534" s="18">
        <f t="shared" si="326"/>
        <v>113.98000000000138</v>
      </c>
      <c r="U1534" s="18">
        <f t="shared" si="334"/>
        <v>155.03952067919897</v>
      </c>
      <c r="V1534" s="33">
        <f ca="1">AVERAGE(E1534:OFFSET(E1534,-V$5+1,0))</f>
        <v>8556.3914285714291</v>
      </c>
      <c r="W1534" s="33">
        <f t="shared" ca="1" si="327"/>
        <v>8788.9507095902281</v>
      </c>
      <c r="X1534" s="33">
        <f t="shared" ca="1" si="328"/>
        <v>8323.83214755263</v>
      </c>
      <c r="Y1534" s="32">
        <f t="shared" ca="1" si="335"/>
        <v>0</v>
      </c>
    </row>
    <row r="1535" spans="1:25">
      <c r="A1535" s="5">
        <v>40624</v>
      </c>
      <c r="B1535" s="4">
        <v>8523.27</v>
      </c>
      <c r="C1535" s="4">
        <v>8552.82</v>
      </c>
      <c r="D1535" s="4">
        <v>8508.0400000000009</v>
      </c>
      <c r="E1535" s="4">
        <v>8508.0400000000009</v>
      </c>
      <c r="F1535" s="4">
        <v>2781400</v>
      </c>
      <c r="G1535" s="8">
        <f t="shared" si="323"/>
        <v>55.56000000000131</v>
      </c>
      <c r="H1535" s="8">
        <f t="shared" si="322"/>
        <v>-15.229999999999563</v>
      </c>
      <c r="I1535" s="20">
        <f t="shared" ca="1" si="329"/>
        <v>0</v>
      </c>
      <c r="J1535" s="8">
        <f t="shared" ca="1" si="330"/>
        <v>0</v>
      </c>
      <c r="K1535" s="8">
        <f t="shared" ca="1" si="331"/>
        <v>0</v>
      </c>
      <c r="L1535" s="8">
        <f t="shared" ca="1" si="332"/>
        <v>17740.30000000001</v>
      </c>
      <c r="M1535" s="9">
        <f ca="1">AVERAGE(E1535:OFFSET(E1535,-M$5+1,0))</f>
        <v>8469.3310000000001</v>
      </c>
      <c r="N1535" s="9">
        <f ca="1">AVERAGE(E1535:OFFSET(E1535,-N$5+1,0))</f>
        <v>8568.4490000000005</v>
      </c>
      <c r="O1535" s="9">
        <f t="shared" ca="1" si="333"/>
        <v>0</v>
      </c>
      <c r="P1535" s="14">
        <f t="shared" si="324"/>
        <v>0.4751492673542011</v>
      </c>
      <c r="Q1535" s="15">
        <f ca="1">STDEV(P1535:OFFSET(P1535,-$Q$5+1,0))</f>
        <v>1.399485899133081</v>
      </c>
      <c r="R1535" s="15">
        <f ca="1">STDEV(P1535:OFFSET(P1535,-$R$5+1,0))</f>
        <v>1.1520219826597577</v>
      </c>
      <c r="S1535" s="18">
        <f t="shared" si="325"/>
        <v>44.779999999998836</v>
      </c>
      <c r="T1535" s="18">
        <f t="shared" si="326"/>
        <v>85.110000000000582</v>
      </c>
      <c r="U1535" s="18">
        <f t="shared" si="334"/>
        <v>145.71558458863919</v>
      </c>
      <c r="V1535" s="33">
        <f ca="1">AVERAGE(E1535:OFFSET(E1535,-V$5+1,0))</f>
        <v>8548.4014285714311</v>
      </c>
      <c r="W1535" s="33">
        <f t="shared" ca="1" si="327"/>
        <v>8766.9748054543907</v>
      </c>
      <c r="X1535" s="33">
        <f t="shared" ca="1" si="328"/>
        <v>8329.8280516884715</v>
      </c>
      <c r="Y1535" s="32">
        <f t="shared" ca="1" si="335"/>
        <v>0</v>
      </c>
    </row>
    <row r="1536" spans="1:25">
      <c r="A1536" s="5">
        <v>40625</v>
      </c>
      <c r="B1536" s="4">
        <v>8529.93</v>
      </c>
      <c r="C1536" s="4">
        <v>8551.1200000000008</v>
      </c>
      <c r="D1536" s="4">
        <v>8481.9599999999991</v>
      </c>
      <c r="E1536" s="4">
        <v>8545.08</v>
      </c>
      <c r="F1536" s="4">
        <v>2474600</v>
      </c>
      <c r="G1536" s="8">
        <f t="shared" si="323"/>
        <v>21.889999999999418</v>
      </c>
      <c r="H1536" s="8">
        <f t="shared" si="322"/>
        <v>15.149999999999636</v>
      </c>
      <c r="I1536" s="20">
        <f t="shared" ca="1" si="329"/>
        <v>0</v>
      </c>
      <c r="J1536" s="8">
        <f t="shared" ca="1" si="330"/>
        <v>0</v>
      </c>
      <c r="K1536" s="8">
        <f t="shared" ca="1" si="331"/>
        <v>0</v>
      </c>
      <c r="L1536" s="8">
        <f t="shared" ca="1" si="332"/>
        <v>17740.30000000001</v>
      </c>
      <c r="M1536" s="9">
        <f ca="1">AVERAGE(E1536:OFFSET(E1536,-M$5+1,0))</f>
        <v>8448.8370000000014</v>
      </c>
      <c r="N1536" s="9">
        <f ca="1">AVERAGE(E1536:OFFSET(E1536,-N$5+1,0))</f>
        <v>8562.0194999999985</v>
      </c>
      <c r="O1536" s="9">
        <f t="shared" ca="1" si="333"/>
        <v>0</v>
      </c>
      <c r="P1536" s="14">
        <f t="shared" si="324"/>
        <v>0.43440799394553659</v>
      </c>
      <c r="Q1536" s="15">
        <f ca="1">STDEV(P1536:OFFSET(P1536,-$Q$5+1,0))</f>
        <v>1.4152102970469893</v>
      </c>
      <c r="R1536" s="15">
        <f ca="1">STDEV(P1536:OFFSET(P1536,-$R$5+1,0))</f>
        <v>1.153589491142722</v>
      </c>
      <c r="S1536" s="18">
        <f t="shared" si="325"/>
        <v>69.160000000001673</v>
      </c>
      <c r="T1536" s="18">
        <f t="shared" si="326"/>
        <v>69.160000000001673</v>
      </c>
      <c r="U1536" s="18">
        <f t="shared" si="334"/>
        <v>135.50817331015418</v>
      </c>
      <c r="V1536" s="33">
        <f ca="1">AVERAGE(E1536:OFFSET(E1536,-V$5+1,0))</f>
        <v>8534.595000000003</v>
      </c>
      <c r="W1536" s="33">
        <f t="shared" ca="1" si="327"/>
        <v>8737.8572599652343</v>
      </c>
      <c r="X1536" s="33">
        <f t="shared" ca="1" si="328"/>
        <v>8331.3327400347716</v>
      </c>
      <c r="Y1536" s="32">
        <f t="shared" ca="1" si="335"/>
        <v>0</v>
      </c>
    </row>
    <row r="1537" spans="1:25">
      <c r="A1537" s="5">
        <v>40626</v>
      </c>
      <c r="B1537" s="4">
        <v>8589.7099999999991</v>
      </c>
      <c r="C1537" s="4">
        <v>8603.43</v>
      </c>
      <c r="D1537" s="4">
        <v>8550.6</v>
      </c>
      <c r="E1537" s="4">
        <v>8576.4</v>
      </c>
      <c r="F1537" s="4">
        <v>2431800</v>
      </c>
      <c r="G1537" s="8">
        <f t="shared" si="323"/>
        <v>44.6299999999992</v>
      </c>
      <c r="H1537" s="8">
        <f t="shared" si="322"/>
        <v>-13.309999999999491</v>
      </c>
      <c r="I1537" s="20">
        <f t="shared" ca="1" si="329"/>
        <v>0</v>
      </c>
      <c r="J1537" s="8">
        <f t="shared" ca="1" si="330"/>
        <v>0</v>
      </c>
      <c r="K1537" s="8">
        <f t="shared" ca="1" si="331"/>
        <v>0</v>
      </c>
      <c r="L1537" s="8">
        <f t="shared" ca="1" si="332"/>
        <v>17740.30000000001</v>
      </c>
      <c r="M1537" s="9">
        <f ca="1">AVERAGE(E1537:OFFSET(E1537,-M$5+1,0))</f>
        <v>8442.1870000000017</v>
      </c>
      <c r="N1537" s="9">
        <f ca="1">AVERAGE(E1537:OFFSET(E1537,-N$5+1,0))</f>
        <v>8564.3924999999981</v>
      </c>
      <c r="O1537" s="9">
        <f t="shared" ca="1" si="333"/>
        <v>0</v>
      </c>
      <c r="P1537" s="14">
        <f t="shared" si="324"/>
        <v>0.36585663079502678</v>
      </c>
      <c r="Q1537" s="15">
        <f ca="1">STDEV(P1537:OFFSET(P1537,-$Q$5+1,0))</f>
        <v>1.3801768579475646</v>
      </c>
      <c r="R1537" s="15">
        <f ca="1">STDEV(P1537:OFFSET(P1537,-$R$5+1,0))</f>
        <v>1.1487387373471389</v>
      </c>
      <c r="S1537" s="18">
        <f t="shared" si="325"/>
        <v>52.829999999999927</v>
      </c>
      <c r="T1537" s="18">
        <f t="shared" si="326"/>
        <v>58.350000000000364</v>
      </c>
      <c r="U1537" s="18">
        <f t="shared" si="334"/>
        <v>125.22041686880033</v>
      </c>
      <c r="V1537" s="33">
        <f ca="1">AVERAGE(E1537:OFFSET(E1537,-V$5+1,0))</f>
        <v>8519.737857142858</v>
      </c>
      <c r="W1537" s="33">
        <f t="shared" ca="1" si="327"/>
        <v>8707.5684824460586</v>
      </c>
      <c r="X1537" s="33">
        <f t="shared" ca="1" si="328"/>
        <v>8331.9072318396575</v>
      </c>
      <c r="Y1537" s="32">
        <f t="shared" ca="1" si="335"/>
        <v>0</v>
      </c>
    </row>
    <row r="1538" spans="1:25">
      <c r="A1538" s="5">
        <v>40627</v>
      </c>
      <c r="B1538" s="4">
        <v>8645.3700000000008</v>
      </c>
      <c r="C1538" s="4">
        <v>8658.0499999999993</v>
      </c>
      <c r="D1538" s="4">
        <v>8587.84</v>
      </c>
      <c r="E1538" s="4">
        <v>8610.39</v>
      </c>
      <c r="F1538" s="4">
        <v>2449400</v>
      </c>
      <c r="G1538" s="8">
        <f t="shared" si="323"/>
        <v>68.970000000001164</v>
      </c>
      <c r="H1538" s="8">
        <f t="shared" si="322"/>
        <v>-34.980000000001382</v>
      </c>
      <c r="I1538" s="20">
        <f t="shared" ca="1" si="329"/>
        <v>0</v>
      </c>
      <c r="J1538" s="8">
        <f t="shared" ca="1" si="330"/>
        <v>0</v>
      </c>
      <c r="K1538" s="8">
        <f t="shared" ca="1" si="331"/>
        <v>0</v>
      </c>
      <c r="L1538" s="8">
        <f t="shared" ca="1" si="332"/>
        <v>17740.30000000001</v>
      </c>
      <c r="M1538" s="9">
        <f ca="1">AVERAGE(E1538:OFFSET(E1538,-M$5+1,0))</f>
        <v>8446.4439999999995</v>
      </c>
      <c r="N1538" s="9">
        <f ca="1">AVERAGE(E1538:OFFSET(E1538,-N$5+1,0))</f>
        <v>8567.8299999999981</v>
      </c>
      <c r="O1538" s="9">
        <f t="shared" ca="1" si="333"/>
        <v>0</v>
      </c>
      <c r="P1538" s="14">
        <f t="shared" si="324"/>
        <v>0.39553685492499702</v>
      </c>
      <c r="Q1538" s="15">
        <f ca="1">STDEV(P1538:OFFSET(P1538,-$Q$5+1,0))</f>
        <v>1.3570518301273267</v>
      </c>
      <c r="R1538" s="15">
        <f ca="1">STDEV(P1538:OFFSET(P1538,-$R$5+1,0))</f>
        <v>1.1353413140852393</v>
      </c>
      <c r="S1538" s="18">
        <f t="shared" si="325"/>
        <v>70.209999999999127</v>
      </c>
      <c r="T1538" s="18">
        <f t="shared" si="326"/>
        <v>81.649999999999636</v>
      </c>
      <c r="U1538" s="18">
        <f t="shared" si="334"/>
        <v>119.41102795296024</v>
      </c>
      <c r="V1538" s="33">
        <f ca="1">AVERAGE(E1538:OFFSET(E1538,-V$5+1,0))</f>
        <v>8512.3521428571421</v>
      </c>
      <c r="W1538" s="33">
        <f t="shared" ca="1" si="327"/>
        <v>8691.4686847865833</v>
      </c>
      <c r="X1538" s="33">
        <f t="shared" ca="1" si="328"/>
        <v>8333.2356009277009</v>
      </c>
      <c r="Y1538" s="32">
        <f t="shared" ca="1" si="335"/>
        <v>0</v>
      </c>
    </row>
    <row r="1539" spans="1:25">
      <c r="A1539" s="5">
        <v>40630</v>
      </c>
      <c r="B1539" s="4">
        <v>8587.99</v>
      </c>
      <c r="C1539" s="4">
        <v>8604.24</v>
      </c>
      <c r="D1539" s="4">
        <v>8549.26</v>
      </c>
      <c r="E1539" s="4">
        <v>8553.06</v>
      </c>
      <c r="F1539" s="4">
        <v>1942800</v>
      </c>
      <c r="G1539" s="8">
        <f t="shared" si="323"/>
        <v>-22.399999999999636</v>
      </c>
      <c r="H1539" s="8">
        <f t="shared" si="322"/>
        <v>-34.930000000000291</v>
      </c>
      <c r="I1539" s="20">
        <f t="shared" ca="1" si="329"/>
        <v>0</v>
      </c>
      <c r="J1539" s="8">
        <f t="shared" ca="1" si="330"/>
        <v>0</v>
      </c>
      <c r="K1539" s="8">
        <f t="shared" ca="1" si="331"/>
        <v>0</v>
      </c>
      <c r="L1539" s="8">
        <f t="shared" ca="1" si="332"/>
        <v>17740.30000000001</v>
      </c>
      <c r="M1539" s="9">
        <f ca="1">AVERAGE(E1539:OFFSET(E1539,-M$5+1,0))</f>
        <v>8449.7479999999996</v>
      </c>
      <c r="N1539" s="9">
        <f ca="1">AVERAGE(E1539:OFFSET(E1539,-N$5+1,0))</f>
        <v>8565.5005000000001</v>
      </c>
      <c r="O1539" s="9">
        <f t="shared" ca="1" si="333"/>
        <v>0</v>
      </c>
      <c r="P1539" s="14">
        <f t="shared" si="324"/>
        <v>-0.668049992458011</v>
      </c>
      <c r="Q1539" s="15">
        <f ca="1">STDEV(P1539:OFFSET(P1539,-$Q$5+1,0))</f>
        <v>1.3628883902444353</v>
      </c>
      <c r="R1539" s="15">
        <f ca="1">STDEV(P1539:OFFSET(P1539,-$R$5+1,0))</f>
        <v>1.1348774098714267</v>
      </c>
      <c r="S1539" s="18">
        <f t="shared" si="325"/>
        <v>54.979999999999563</v>
      </c>
      <c r="T1539" s="18">
        <f t="shared" si="326"/>
        <v>61.1299999999992</v>
      </c>
      <c r="U1539" s="18">
        <f t="shared" si="334"/>
        <v>111.64022422589878</v>
      </c>
      <c r="V1539" s="33">
        <f ca="1">AVERAGE(E1539:OFFSET(E1539,-V$5+1,0))</f>
        <v>8498.4457142857136</v>
      </c>
      <c r="W1539" s="33">
        <f t="shared" ca="1" si="327"/>
        <v>8665.9060506245623</v>
      </c>
      <c r="X1539" s="33">
        <f t="shared" ca="1" si="328"/>
        <v>8330.9853779468649</v>
      </c>
      <c r="Y1539" s="32">
        <f t="shared" ca="1" si="335"/>
        <v>0</v>
      </c>
    </row>
    <row r="1540" spans="1:25">
      <c r="A1540" s="5">
        <v>40631</v>
      </c>
      <c r="B1540" s="4">
        <v>8538.44</v>
      </c>
      <c r="C1540" s="4">
        <v>8596.57</v>
      </c>
      <c r="D1540" s="4">
        <v>8522.57</v>
      </c>
      <c r="E1540" s="4">
        <v>8596.57</v>
      </c>
      <c r="F1540" s="4">
        <v>2214000</v>
      </c>
      <c r="G1540" s="8">
        <f t="shared" si="323"/>
        <v>-14.619999999998981</v>
      </c>
      <c r="H1540" s="8">
        <f t="shared" ref="H1540:H1603" si="336">E1540-B1540</f>
        <v>58.1299999999992</v>
      </c>
      <c r="I1540" s="20">
        <f t="shared" ca="1" si="329"/>
        <v>0</v>
      </c>
      <c r="J1540" s="8">
        <f t="shared" ca="1" si="330"/>
        <v>0</v>
      </c>
      <c r="K1540" s="8">
        <f t="shared" ca="1" si="331"/>
        <v>0</v>
      </c>
      <c r="L1540" s="8">
        <f t="shared" ca="1" si="332"/>
        <v>17740.30000000001</v>
      </c>
      <c r="M1540" s="9">
        <f ca="1">AVERAGE(E1540:OFFSET(E1540,-M$5+1,0))</f>
        <v>8485.9269999999997</v>
      </c>
      <c r="N1540" s="9">
        <f ca="1">AVERAGE(E1540:OFFSET(E1540,-N$5+1,0))</f>
        <v>8558.9510000000009</v>
      </c>
      <c r="O1540" s="9">
        <f t="shared" ca="1" si="333"/>
        <v>0</v>
      </c>
      <c r="P1540" s="14">
        <f t="shared" si="324"/>
        <v>0.50741728369794725</v>
      </c>
      <c r="Q1540" s="15">
        <f ca="1">STDEV(P1540:OFFSET(P1540,-$Q$5+1,0))</f>
        <v>0.6276508245725132</v>
      </c>
      <c r="R1540" s="15">
        <f ca="1">STDEV(P1540:OFFSET(P1540,-$R$5+1,0))</f>
        <v>1.13471559299569</v>
      </c>
      <c r="S1540" s="18">
        <f t="shared" si="325"/>
        <v>74</v>
      </c>
      <c r="T1540" s="18">
        <f t="shared" si="326"/>
        <v>74</v>
      </c>
      <c r="U1540" s="18">
        <f t="shared" si="334"/>
        <v>106.6215276624456</v>
      </c>
      <c r="V1540" s="33">
        <f ca="1">AVERAGE(E1540:OFFSET(E1540,-V$5+1,0))</f>
        <v>8487.4850000000006</v>
      </c>
      <c r="W1540" s="33">
        <f t="shared" ca="1" si="327"/>
        <v>8647.4172914936698</v>
      </c>
      <c r="X1540" s="33">
        <f t="shared" ca="1" si="328"/>
        <v>8327.5527085063313</v>
      </c>
      <c r="Y1540" s="32">
        <f t="shared" ca="1" si="335"/>
        <v>0</v>
      </c>
    </row>
    <row r="1541" spans="1:25">
      <c r="A1541" s="5">
        <v>40632</v>
      </c>
      <c r="B1541" s="4">
        <v>8605.83</v>
      </c>
      <c r="C1541" s="4">
        <v>8671.59</v>
      </c>
      <c r="D1541" s="4">
        <v>8605.83</v>
      </c>
      <c r="E1541" s="4">
        <v>8646.31</v>
      </c>
      <c r="F1541" s="4">
        <v>2544000</v>
      </c>
      <c r="G1541" s="8">
        <f t="shared" ref="G1541:G1604" si="337">B1541-E1540</f>
        <v>9.2600000000002183</v>
      </c>
      <c r="H1541" s="8">
        <f t="shared" si="336"/>
        <v>40.479999999999563</v>
      </c>
      <c r="I1541" s="20">
        <f t="shared" ca="1" si="329"/>
        <v>1</v>
      </c>
      <c r="J1541" s="8">
        <f t="shared" ca="1" si="330"/>
        <v>0</v>
      </c>
      <c r="K1541" s="8">
        <f t="shared" ca="1" si="331"/>
        <v>0</v>
      </c>
      <c r="L1541" s="8">
        <f t="shared" ca="1" si="332"/>
        <v>17740.30000000001</v>
      </c>
      <c r="M1541" s="9">
        <f ca="1">AVERAGE(E1541:OFFSET(E1541,-M$5+1,0))</f>
        <v>8518.1</v>
      </c>
      <c r="N1541" s="9">
        <f ca="1">AVERAGE(E1541:OFFSET(E1541,-N$5+1,0))</f>
        <v>8560.2715000000026</v>
      </c>
      <c r="O1541" s="9">
        <f t="shared" ca="1" si="333"/>
        <v>0</v>
      </c>
      <c r="P1541" s="14">
        <f t="shared" ref="P1541:P1604" si="338">100*LN(E1541/E1540)</f>
        <v>0.57693538397398303</v>
      </c>
      <c r="Q1541" s="15">
        <f ca="1">STDEV(P1541:OFFSET(P1541,-$Q$5+1,0))</f>
        <v>0.58810443251588651</v>
      </c>
      <c r="R1541" s="15">
        <f ca="1">STDEV(P1541:OFFSET(P1541,-$R$5+1,0))</f>
        <v>1.1397829335484073</v>
      </c>
      <c r="S1541" s="18">
        <f t="shared" si="325"/>
        <v>65.760000000000218</v>
      </c>
      <c r="T1541" s="18">
        <f t="shared" si="326"/>
        <v>75.020000000000437</v>
      </c>
      <c r="U1541" s="18">
        <f t="shared" si="334"/>
        <v>102.40799064078625</v>
      </c>
      <c r="V1541" s="33">
        <f ca="1">AVERAGE(E1541:OFFSET(E1541,-V$5+1,0))</f>
        <v>8487.7285714285717</v>
      </c>
      <c r="W1541" s="33">
        <f t="shared" ca="1" si="327"/>
        <v>8641.3405573897508</v>
      </c>
      <c r="X1541" s="33">
        <f t="shared" ca="1" si="328"/>
        <v>8334.1165854673927</v>
      </c>
      <c r="Y1541" s="32">
        <f t="shared" ca="1" si="335"/>
        <v>1</v>
      </c>
    </row>
    <row r="1542" spans="1:25">
      <c r="A1542" s="5">
        <v>40633</v>
      </c>
      <c r="B1542" s="4">
        <v>8683.69</v>
      </c>
      <c r="C1542" s="4">
        <v>8685.44</v>
      </c>
      <c r="D1542" s="4">
        <v>8608.0499999999993</v>
      </c>
      <c r="E1542" s="4">
        <v>8683.2999999999993</v>
      </c>
      <c r="F1542" s="4">
        <v>2411400</v>
      </c>
      <c r="G1542" s="8">
        <f t="shared" si="337"/>
        <v>37.380000000001019</v>
      </c>
      <c r="H1542" s="8">
        <f t="shared" si="336"/>
        <v>-0.39000000000123691</v>
      </c>
      <c r="I1542" s="20">
        <f t="shared" ca="1" si="329"/>
        <v>0</v>
      </c>
      <c r="J1542" s="8">
        <f t="shared" ca="1" si="330"/>
        <v>1</v>
      </c>
      <c r="K1542" s="8">
        <f t="shared" ca="1" si="331"/>
        <v>-0.39000000000123691</v>
      </c>
      <c r="L1542" s="8">
        <f t="shared" ca="1" si="332"/>
        <v>17739.910000000011</v>
      </c>
      <c r="M1542" s="9">
        <f ca="1">AVERAGE(E1542:OFFSET(E1542,-M$5+1,0))</f>
        <v>8558.1610000000001</v>
      </c>
      <c r="N1542" s="9">
        <f ca="1">AVERAGE(E1542:OFFSET(E1542,-N$5+1,0))</f>
        <v>8557.518</v>
      </c>
      <c r="O1542" s="9">
        <f t="shared" ca="1" si="333"/>
        <v>1</v>
      </c>
      <c r="P1542" s="14">
        <f t="shared" si="338"/>
        <v>0.42690004191191944</v>
      </c>
      <c r="Q1542" s="15">
        <f ca="1">STDEV(P1542:OFFSET(P1542,-$Q$5+1,0))</f>
        <v>0.49971553382082157</v>
      </c>
      <c r="R1542" s="15">
        <f ca="1">STDEV(P1542:OFFSET(P1542,-$R$5+1,0))</f>
        <v>1.1390598009850241</v>
      </c>
      <c r="S1542" s="18">
        <f t="shared" si="325"/>
        <v>77.390000000001237</v>
      </c>
      <c r="T1542" s="18">
        <f t="shared" si="326"/>
        <v>77.390000000001237</v>
      </c>
      <c r="U1542" s="18">
        <f t="shared" si="334"/>
        <v>99.072258555348256</v>
      </c>
      <c r="V1542" s="33">
        <f ca="1">AVERAGE(E1542:OFFSET(E1542,-V$5+1,0))</f>
        <v>8495.9771428571439</v>
      </c>
      <c r="W1542" s="33">
        <f t="shared" ca="1" si="327"/>
        <v>8644.5855306901667</v>
      </c>
      <c r="X1542" s="33">
        <f t="shared" ca="1" si="328"/>
        <v>8347.3687550241211</v>
      </c>
      <c r="Y1542" s="32">
        <f t="shared" ca="1" si="335"/>
        <v>0</v>
      </c>
    </row>
    <row r="1543" spans="1:25">
      <c r="A1543" s="5">
        <v>40634</v>
      </c>
      <c r="B1543" s="4">
        <v>8697.84</v>
      </c>
      <c r="C1543" s="4">
        <v>8705.1299999999992</v>
      </c>
      <c r="D1543" s="4">
        <v>8654.4</v>
      </c>
      <c r="E1543" s="4">
        <v>8705.1299999999992</v>
      </c>
      <c r="F1543" s="4">
        <v>1912600</v>
      </c>
      <c r="G1543" s="8">
        <f t="shared" si="337"/>
        <v>14.540000000000873</v>
      </c>
      <c r="H1543" s="8">
        <f t="shared" si="336"/>
        <v>7.2899999999990541</v>
      </c>
      <c r="I1543" s="20">
        <f t="shared" ca="1" si="329"/>
        <v>0</v>
      </c>
      <c r="J1543" s="8">
        <f t="shared" ca="1" si="330"/>
        <v>1</v>
      </c>
      <c r="K1543" s="8">
        <f t="shared" ca="1" si="331"/>
        <v>21.829999999999927</v>
      </c>
      <c r="L1543" s="8">
        <f t="shared" ca="1" si="332"/>
        <v>17761.740000000013</v>
      </c>
      <c r="M1543" s="9">
        <f ca="1">AVERAGE(E1543:OFFSET(E1543,-M$5+1,0))</f>
        <v>8589.1990000000005</v>
      </c>
      <c r="N1543" s="9">
        <f ca="1">AVERAGE(E1543:OFFSET(E1543,-N$5+1,0))</f>
        <v>8553.5545000000002</v>
      </c>
      <c r="O1543" s="9">
        <f t="shared" ca="1" si="333"/>
        <v>0</v>
      </c>
      <c r="P1543" s="14">
        <f t="shared" si="338"/>
        <v>0.25108663023450656</v>
      </c>
      <c r="Q1543" s="15">
        <f ca="1">STDEV(P1543:OFFSET(P1543,-$Q$5+1,0))</f>
        <v>0.39684940736851743</v>
      </c>
      <c r="R1543" s="15">
        <f ca="1">STDEV(P1543:OFFSET(P1543,-$R$5+1,0))</f>
        <v>1.1330932780287652</v>
      </c>
      <c r="S1543" s="18">
        <f t="shared" si="325"/>
        <v>50.729999999999563</v>
      </c>
      <c r="T1543" s="18">
        <f t="shared" si="326"/>
        <v>50.729999999999563</v>
      </c>
      <c r="U1543" s="18">
        <f t="shared" si="334"/>
        <v>92.62662408130177</v>
      </c>
      <c r="V1543" s="33">
        <f ca="1">AVERAGE(E1543:OFFSET(E1543,-V$5+1,0))</f>
        <v>8509.199285714285</v>
      </c>
      <c r="W1543" s="33">
        <f t="shared" ca="1" si="327"/>
        <v>8648.139221836238</v>
      </c>
      <c r="X1543" s="33">
        <f t="shared" ca="1" si="328"/>
        <v>8370.259349592332</v>
      </c>
      <c r="Y1543" s="32">
        <f t="shared" ca="1" si="335"/>
        <v>0</v>
      </c>
    </row>
    <row r="1544" spans="1:25">
      <c r="A1544" s="5">
        <v>40639</v>
      </c>
      <c r="B1544" s="4">
        <v>8772.1299999999992</v>
      </c>
      <c r="C1544" s="4">
        <v>8860.02</v>
      </c>
      <c r="D1544" s="4">
        <v>8767.2099999999991</v>
      </c>
      <c r="E1544" s="4">
        <v>8851.98</v>
      </c>
      <c r="F1544" s="4">
        <v>2992600</v>
      </c>
      <c r="G1544" s="8">
        <f t="shared" si="337"/>
        <v>67</v>
      </c>
      <c r="H1544" s="8">
        <f t="shared" si="336"/>
        <v>79.850000000000364</v>
      </c>
      <c r="I1544" s="20">
        <f t="shared" ca="1" si="329"/>
        <v>0</v>
      </c>
      <c r="J1544" s="8">
        <f t="shared" ca="1" si="330"/>
        <v>1</v>
      </c>
      <c r="K1544" s="8">
        <f t="shared" ca="1" si="331"/>
        <v>146.85000000000036</v>
      </c>
      <c r="L1544" s="8">
        <f t="shared" ca="1" si="332"/>
        <v>17908.590000000011</v>
      </c>
      <c r="M1544" s="9">
        <f ca="1">AVERAGE(E1544:OFFSET(E1544,-M$5+1,0))</f>
        <v>8627.6260000000002</v>
      </c>
      <c r="N1544" s="9">
        <f ca="1">AVERAGE(E1544:OFFSET(E1544,-N$5+1,0))</f>
        <v>8560.4639999999999</v>
      </c>
      <c r="O1544" s="9">
        <f t="shared" ca="1" si="333"/>
        <v>0</v>
      </c>
      <c r="P1544" s="14">
        <f t="shared" si="338"/>
        <v>1.6728655755188515</v>
      </c>
      <c r="Q1544" s="15">
        <f ca="1">STDEV(P1544:OFFSET(P1544,-$Q$5+1,0))</f>
        <v>0.55931349990416657</v>
      </c>
      <c r="R1544" s="15">
        <f ca="1">STDEV(P1544:OFFSET(P1544,-$R$5+1,0))</f>
        <v>1.1635552161297837</v>
      </c>
      <c r="S1544" s="18">
        <f t="shared" si="325"/>
        <v>92.81000000000131</v>
      </c>
      <c r="T1544" s="18">
        <f t="shared" si="326"/>
        <v>154.89000000000124</v>
      </c>
      <c r="U1544" s="18">
        <f t="shared" si="334"/>
        <v>100.92840753712838</v>
      </c>
      <c r="V1544" s="33">
        <f ca="1">AVERAGE(E1544:OFFSET(E1544,-V$5+1,0))</f>
        <v>8553.2849999999999</v>
      </c>
      <c r="W1544" s="33">
        <f t="shared" ca="1" si="327"/>
        <v>8704.6776113056931</v>
      </c>
      <c r="X1544" s="33">
        <f t="shared" ca="1" si="328"/>
        <v>8401.8923886943066</v>
      </c>
      <c r="Y1544" s="32">
        <f t="shared" ca="1" si="335"/>
        <v>0</v>
      </c>
    </row>
    <row r="1545" spans="1:25">
      <c r="A1545" s="5">
        <v>40640</v>
      </c>
      <c r="B1545" s="4">
        <v>8884.84</v>
      </c>
      <c r="C1545" s="4">
        <v>8901.7199999999993</v>
      </c>
      <c r="D1545" s="4">
        <v>8828.92</v>
      </c>
      <c r="E1545" s="4">
        <v>8901.7199999999993</v>
      </c>
      <c r="F1545" s="4">
        <v>2638400</v>
      </c>
      <c r="G1545" s="8">
        <f t="shared" si="337"/>
        <v>32.860000000000582</v>
      </c>
      <c r="H1545" s="8">
        <f t="shared" si="336"/>
        <v>16.8799999999992</v>
      </c>
      <c r="I1545" s="20">
        <f t="shared" ca="1" si="329"/>
        <v>0</v>
      </c>
      <c r="J1545" s="8">
        <f t="shared" ca="1" si="330"/>
        <v>1</v>
      </c>
      <c r="K1545" s="8">
        <f t="shared" ca="1" si="331"/>
        <v>49.739999999999782</v>
      </c>
      <c r="L1545" s="8">
        <f t="shared" ca="1" si="332"/>
        <v>17958.330000000009</v>
      </c>
      <c r="M1545" s="9">
        <f ca="1">AVERAGE(E1545:OFFSET(E1545,-M$5+1,0))</f>
        <v>8666.9940000000006</v>
      </c>
      <c r="N1545" s="9">
        <f ca="1">AVERAGE(E1545:OFFSET(E1545,-N$5+1,0))</f>
        <v>8568.1625000000004</v>
      </c>
      <c r="O1545" s="9">
        <f t="shared" ca="1" si="333"/>
        <v>0</v>
      </c>
      <c r="P1545" s="14">
        <f t="shared" si="338"/>
        <v>0.56033536832176412</v>
      </c>
      <c r="Q1545" s="15">
        <f ca="1">STDEV(P1545:OFFSET(P1545,-$Q$5+1,0))</f>
        <v>0.56049130913874068</v>
      </c>
      <c r="R1545" s="15">
        <f ca="1">STDEV(P1545:OFFSET(P1545,-$R$5+1,0))</f>
        <v>1.1646988052604059</v>
      </c>
      <c r="S1545" s="18">
        <f t="shared" si="325"/>
        <v>72.799999999999272</v>
      </c>
      <c r="T1545" s="18">
        <f t="shared" si="326"/>
        <v>72.799999999999272</v>
      </c>
      <c r="U1545" s="18">
        <f t="shared" si="334"/>
        <v>97.177953198844492</v>
      </c>
      <c r="V1545" s="33">
        <f ca="1">AVERAGE(E1545:OFFSET(E1545,-V$5+1,0))</f>
        <v>8594.5092857142863</v>
      </c>
      <c r="W1545" s="33">
        <f t="shared" ca="1" si="327"/>
        <v>8740.2762155125529</v>
      </c>
      <c r="X1545" s="33">
        <f t="shared" ca="1" si="328"/>
        <v>8448.7423559160197</v>
      </c>
      <c r="Y1545" s="32">
        <f t="shared" ca="1" si="335"/>
        <v>0</v>
      </c>
    </row>
    <row r="1546" spans="1:25">
      <c r="A1546" s="5">
        <v>40641</v>
      </c>
      <c r="B1546" s="4">
        <v>8904.44</v>
      </c>
      <c r="C1546" s="4">
        <v>8929.06</v>
      </c>
      <c r="D1546" s="4">
        <v>8862.49</v>
      </c>
      <c r="E1546" s="4">
        <v>8894.5400000000009</v>
      </c>
      <c r="F1546" s="4">
        <v>3122600</v>
      </c>
      <c r="G1546" s="8">
        <f t="shared" si="337"/>
        <v>2.7200000000011642</v>
      </c>
      <c r="H1546" s="8">
        <f t="shared" si="336"/>
        <v>-9.8999999999996362</v>
      </c>
      <c r="I1546" s="20">
        <f t="shared" ca="1" si="329"/>
        <v>0</v>
      </c>
      <c r="J1546" s="8">
        <f t="shared" ca="1" si="330"/>
        <v>1</v>
      </c>
      <c r="K1546" s="8">
        <f t="shared" ca="1" si="331"/>
        <v>-7.179999999998472</v>
      </c>
      <c r="L1546" s="8">
        <f t="shared" ca="1" si="332"/>
        <v>17951.150000000009</v>
      </c>
      <c r="M1546" s="9">
        <f ca="1">AVERAGE(E1546:OFFSET(E1546,-M$5+1,0))</f>
        <v>8701.9399999999987</v>
      </c>
      <c r="N1546" s="9">
        <f ca="1">AVERAGE(E1546:OFFSET(E1546,-N$5+1,0))</f>
        <v>8575.3885000000009</v>
      </c>
      <c r="O1546" s="9">
        <f t="shared" ca="1" si="333"/>
        <v>0</v>
      </c>
      <c r="P1546" s="14">
        <f t="shared" si="338"/>
        <v>-8.0691115881389289E-2</v>
      </c>
      <c r="Q1546" s="15">
        <f ca="1">STDEV(P1546:OFFSET(P1546,-$Q$5+1,0))</f>
        <v>0.58543538624368618</v>
      </c>
      <c r="R1546" s="15">
        <f ca="1">STDEV(P1546:OFFSET(P1546,-$R$5+1,0))</f>
        <v>1.1636613759524363</v>
      </c>
      <c r="S1546" s="18">
        <f t="shared" si="325"/>
        <v>66.569999999999709</v>
      </c>
      <c r="T1546" s="18">
        <f t="shared" si="326"/>
        <v>66.569999999999709</v>
      </c>
      <c r="U1546" s="18">
        <f t="shared" si="334"/>
        <v>93.096892772331856</v>
      </c>
      <c r="V1546" s="33">
        <f ca="1">AVERAGE(E1546:OFFSET(E1546,-V$5+1,0))</f>
        <v>8638.2128571428584</v>
      </c>
      <c r="W1546" s="33">
        <f t="shared" ca="1" si="327"/>
        <v>8777.8581963013567</v>
      </c>
      <c r="X1546" s="33">
        <f t="shared" ca="1" si="328"/>
        <v>8498.5675179843602</v>
      </c>
      <c r="Y1546" s="32">
        <f t="shared" ca="1" si="335"/>
        <v>0</v>
      </c>
    </row>
    <row r="1547" spans="1:25">
      <c r="A1547" s="5">
        <v>40644</v>
      </c>
      <c r="B1547" s="4">
        <v>8922.75</v>
      </c>
      <c r="C1547" s="4">
        <v>8922.75</v>
      </c>
      <c r="D1547" s="4">
        <v>8836.3799999999992</v>
      </c>
      <c r="E1547" s="4">
        <v>8880.27</v>
      </c>
      <c r="F1547" s="4">
        <v>2322000</v>
      </c>
      <c r="G1547" s="8">
        <f t="shared" si="337"/>
        <v>28.209999999999127</v>
      </c>
      <c r="H1547" s="8">
        <f t="shared" si="336"/>
        <v>-42.479999999999563</v>
      </c>
      <c r="I1547" s="20">
        <f t="shared" ca="1" si="329"/>
        <v>0</v>
      </c>
      <c r="J1547" s="8">
        <f t="shared" ca="1" si="330"/>
        <v>1</v>
      </c>
      <c r="K1547" s="8">
        <f t="shared" ca="1" si="331"/>
        <v>-14.270000000000437</v>
      </c>
      <c r="L1547" s="8">
        <f t="shared" ca="1" si="332"/>
        <v>17936.880000000008</v>
      </c>
      <c r="M1547" s="9">
        <f ca="1">AVERAGE(E1547:OFFSET(E1547,-M$5+1,0))</f>
        <v>8732.3270000000011</v>
      </c>
      <c r="N1547" s="9">
        <f ca="1">AVERAGE(E1547:OFFSET(E1547,-N$5+1,0))</f>
        <v>8587.2570000000014</v>
      </c>
      <c r="O1547" s="9">
        <f t="shared" ca="1" si="333"/>
        <v>0</v>
      </c>
      <c r="P1547" s="14">
        <f t="shared" si="338"/>
        <v>-0.16056433869931</v>
      </c>
      <c r="Q1547" s="15">
        <f ca="1">STDEV(P1547:OFFSET(P1547,-$Q$5+1,0))</f>
        <v>0.61199388026701318</v>
      </c>
      <c r="R1547" s="15">
        <f ca="1">STDEV(P1547:OFFSET(P1547,-$R$5+1,0))</f>
        <v>1.1502156290544638</v>
      </c>
      <c r="S1547" s="18">
        <f t="shared" si="325"/>
        <v>86.3700000000008</v>
      </c>
      <c r="T1547" s="18">
        <f t="shared" si="326"/>
        <v>86.3700000000008</v>
      </c>
      <c r="U1547" s="18">
        <f t="shared" si="334"/>
        <v>92.19997373602105</v>
      </c>
      <c r="V1547" s="33">
        <f ca="1">AVERAGE(E1547:OFFSET(E1547,-V$5+1,0))</f>
        <v>8672.8928571428587</v>
      </c>
      <c r="W1547" s="33">
        <f t="shared" ca="1" si="327"/>
        <v>8811.1928177468908</v>
      </c>
      <c r="X1547" s="33">
        <f t="shared" ca="1" si="328"/>
        <v>8534.5928965388266</v>
      </c>
      <c r="Y1547" s="32">
        <f t="shared" ca="1" si="335"/>
        <v>0</v>
      </c>
    </row>
    <row r="1548" spans="1:25">
      <c r="A1548" s="5">
        <v>40645</v>
      </c>
      <c r="B1548" s="4">
        <v>8839.2199999999993</v>
      </c>
      <c r="C1548" s="4">
        <v>8839.2199999999993</v>
      </c>
      <c r="D1548" s="4">
        <v>8708.86</v>
      </c>
      <c r="E1548" s="4">
        <v>8732.59</v>
      </c>
      <c r="F1548" s="4">
        <v>2297200</v>
      </c>
      <c r="G1548" s="8">
        <f t="shared" si="337"/>
        <v>-41.050000000001091</v>
      </c>
      <c r="H1548" s="8">
        <f t="shared" si="336"/>
        <v>-106.6299999999992</v>
      </c>
      <c r="I1548" s="20">
        <f t="shared" ca="1" si="329"/>
        <v>0</v>
      </c>
      <c r="J1548" s="8">
        <f t="shared" ca="1" si="330"/>
        <v>1</v>
      </c>
      <c r="K1548" s="8">
        <f t="shared" ca="1" si="331"/>
        <v>-147.68000000000029</v>
      </c>
      <c r="L1548" s="8">
        <f t="shared" ca="1" si="332"/>
        <v>17789.200000000008</v>
      </c>
      <c r="M1548" s="9">
        <f ca="1">AVERAGE(E1548:OFFSET(E1548,-M$5+1,0))</f>
        <v>8744.5469999999987</v>
      </c>
      <c r="N1548" s="9">
        <f ca="1">AVERAGE(E1548:OFFSET(E1548,-N$5+1,0))</f>
        <v>8595.4955000000009</v>
      </c>
      <c r="O1548" s="9">
        <f t="shared" ca="1" si="333"/>
        <v>0</v>
      </c>
      <c r="P1548" s="14">
        <f t="shared" si="338"/>
        <v>-1.6769957974569398</v>
      </c>
      <c r="Q1548" s="15">
        <f ca="1">STDEV(P1548:OFFSET(P1548,-$Q$5+1,0))</f>
        <v>0.88445664617682107</v>
      </c>
      <c r="R1548" s="15">
        <f ca="1">STDEV(P1548:OFFSET(P1548,-$R$5+1,0))</f>
        <v>1.1410976298297564</v>
      </c>
      <c r="S1548" s="18">
        <f t="shared" si="325"/>
        <v>130.35999999999876</v>
      </c>
      <c r="T1548" s="18">
        <f t="shared" si="326"/>
        <v>171.40999999999985</v>
      </c>
      <c r="U1548" s="18">
        <f t="shared" si="334"/>
        <v>102.76131057121823</v>
      </c>
      <c r="V1548" s="33">
        <f ca="1">AVERAGE(E1548:OFFSET(E1548,-V$5+1,0))</f>
        <v>8691.812857142857</v>
      </c>
      <c r="W1548" s="33">
        <f t="shared" ca="1" si="327"/>
        <v>8845.9548229996835</v>
      </c>
      <c r="X1548" s="33">
        <f t="shared" ca="1" si="328"/>
        <v>8537.6708912860304</v>
      </c>
      <c r="Y1548" s="32">
        <f t="shared" ca="1" si="335"/>
        <v>0</v>
      </c>
    </row>
    <row r="1549" spans="1:25">
      <c r="A1549" s="5">
        <v>40646</v>
      </c>
      <c r="B1549" s="4">
        <v>8727.9500000000007</v>
      </c>
      <c r="C1549" s="4">
        <v>8780.2000000000007</v>
      </c>
      <c r="D1549" s="4">
        <v>8700.08</v>
      </c>
      <c r="E1549" s="4">
        <v>8780.2000000000007</v>
      </c>
      <c r="F1549" s="4">
        <v>2134800</v>
      </c>
      <c r="G1549" s="8">
        <f t="shared" si="337"/>
        <v>-4.6399999999994179</v>
      </c>
      <c r="H1549" s="8">
        <f t="shared" si="336"/>
        <v>52.25</v>
      </c>
      <c r="I1549" s="20">
        <f t="shared" ca="1" si="329"/>
        <v>0</v>
      </c>
      <c r="J1549" s="8">
        <f t="shared" ca="1" si="330"/>
        <v>1</v>
      </c>
      <c r="K1549" s="8">
        <f t="shared" ca="1" si="331"/>
        <v>47.610000000000582</v>
      </c>
      <c r="L1549" s="8">
        <f t="shared" ca="1" si="332"/>
        <v>17836.810000000009</v>
      </c>
      <c r="M1549" s="9">
        <f ca="1">AVERAGE(E1549:OFFSET(E1549,-M$5+1,0))</f>
        <v>8767.2609999999986</v>
      </c>
      <c r="N1549" s="9">
        <f ca="1">AVERAGE(E1549:OFFSET(E1549,-N$5+1,0))</f>
        <v>8608.5044999999991</v>
      </c>
      <c r="O1549" s="9">
        <f t="shared" ca="1" si="333"/>
        <v>0</v>
      </c>
      <c r="P1549" s="14">
        <f t="shared" si="338"/>
        <v>0.54371824581873041</v>
      </c>
      <c r="Q1549" s="15">
        <f ca="1">STDEV(P1549:OFFSET(P1549,-$Q$5+1,0))</f>
        <v>0.84336220775477166</v>
      </c>
      <c r="R1549" s="15">
        <f ca="1">STDEV(P1549:OFFSET(P1549,-$R$5+1,0))</f>
        <v>1.0653295023821392</v>
      </c>
      <c r="S1549" s="18">
        <f t="shared" si="325"/>
        <v>80.1200000000008</v>
      </c>
      <c r="T1549" s="18">
        <f t="shared" si="326"/>
        <v>80.1200000000008</v>
      </c>
      <c r="U1549" s="18">
        <f t="shared" si="334"/>
        <v>99.742469161722582</v>
      </c>
      <c r="V1549" s="33">
        <f ca="1">AVERAGE(E1549:OFFSET(E1549,-V$5+1,0))</f>
        <v>8711.2528571428575</v>
      </c>
      <c r="W1549" s="33">
        <f t="shared" ca="1" si="327"/>
        <v>8860.8665608854408</v>
      </c>
      <c r="X1549" s="33">
        <f t="shared" ca="1" si="328"/>
        <v>8561.6391534002742</v>
      </c>
      <c r="Y1549" s="32">
        <f t="shared" ca="1" si="335"/>
        <v>0</v>
      </c>
    </row>
    <row r="1550" spans="1:25">
      <c r="A1550" s="5">
        <v>40647</v>
      </c>
      <c r="B1550" s="4">
        <v>8787.75</v>
      </c>
      <c r="C1550" s="4">
        <v>8835.39</v>
      </c>
      <c r="D1550" s="4">
        <v>8772.2999999999993</v>
      </c>
      <c r="E1550" s="4">
        <v>8802.73</v>
      </c>
      <c r="F1550" s="4">
        <v>2277200</v>
      </c>
      <c r="G1550" s="8">
        <f t="shared" si="337"/>
        <v>7.5499999999992724</v>
      </c>
      <c r="H1550" s="8">
        <f t="shared" si="336"/>
        <v>14.979999999999563</v>
      </c>
      <c r="I1550" s="20">
        <f t="shared" ca="1" si="329"/>
        <v>0</v>
      </c>
      <c r="J1550" s="8">
        <f t="shared" ca="1" si="330"/>
        <v>1</v>
      </c>
      <c r="K1550" s="8">
        <f t="shared" ca="1" si="331"/>
        <v>22.529999999998836</v>
      </c>
      <c r="L1550" s="8">
        <f t="shared" ca="1" si="332"/>
        <v>17859.340000000007</v>
      </c>
      <c r="M1550" s="9">
        <f ca="1">AVERAGE(E1550:OFFSET(E1550,-M$5+1,0))</f>
        <v>8787.8769999999986</v>
      </c>
      <c r="N1550" s="9">
        <f ca="1">AVERAGE(E1550:OFFSET(E1550,-N$5+1,0))</f>
        <v>8636.902</v>
      </c>
      <c r="O1550" s="9">
        <f t="shared" ca="1" si="333"/>
        <v>0</v>
      </c>
      <c r="P1550" s="14">
        <f t="shared" si="338"/>
        <v>0.25627142154903959</v>
      </c>
      <c r="Q1550" s="15">
        <f ca="1">STDEV(P1550:OFFSET(P1550,-$Q$5+1,0))</f>
        <v>0.83897322596659663</v>
      </c>
      <c r="R1550" s="15">
        <f ca="1">STDEV(P1550:OFFSET(P1550,-$R$5+1,0))</f>
        <v>1.0575047942849776</v>
      </c>
      <c r="S1550" s="18">
        <f t="shared" si="325"/>
        <v>63.090000000000146</v>
      </c>
      <c r="T1550" s="18">
        <f t="shared" si="326"/>
        <v>63.090000000000146</v>
      </c>
      <c r="U1550" s="18">
        <f t="shared" si="334"/>
        <v>94.855473273492933</v>
      </c>
      <c r="V1550" s="33">
        <f ca="1">AVERAGE(E1550:OFFSET(E1550,-V$5+1,0))</f>
        <v>8729.6564285714285</v>
      </c>
      <c r="W1550" s="33">
        <f t="shared" ca="1" si="327"/>
        <v>8871.9396384816682</v>
      </c>
      <c r="X1550" s="33">
        <f t="shared" ca="1" si="328"/>
        <v>8587.3732186611887</v>
      </c>
      <c r="Y1550" s="32">
        <f t="shared" ca="1" si="335"/>
        <v>0</v>
      </c>
    </row>
    <row r="1551" spans="1:25">
      <c r="A1551" s="5">
        <v>40648</v>
      </c>
      <c r="B1551" s="4">
        <v>8828.6299999999992</v>
      </c>
      <c r="C1551" s="4">
        <v>8834.07</v>
      </c>
      <c r="D1551" s="4">
        <v>8716.7000000000007</v>
      </c>
      <c r="E1551" s="4">
        <v>8718.1200000000008</v>
      </c>
      <c r="F1551" s="4">
        <v>2372400</v>
      </c>
      <c r="G1551" s="8">
        <f t="shared" si="337"/>
        <v>25.899999999999636</v>
      </c>
      <c r="H1551" s="8">
        <f t="shared" si="336"/>
        <v>-110.5099999999984</v>
      </c>
      <c r="I1551" s="20">
        <f t="shared" ca="1" si="329"/>
        <v>0</v>
      </c>
      <c r="J1551" s="8">
        <f t="shared" ca="1" si="330"/>
        <v>1</v>
      </c>
      <c r="K1551" s="8">
        <f t="shared" ca="1" si="331"/>
        <v>-84.609999999998763</v>
      </c>
      <c r="L1551" s="8">
        <f t="shared" ca="1" si="332"/>
        <v>17774.73000000001</v>
      </c>
      <c r="M1551" s="9">
        <f ca="1">AVERAGE(E1551:OFFSET(E1551,-M$5+1,0))</f>
        <v>8795.0579999999991</v>
      </c>
      <c r="N1551" s="9">
        <f ca="1">AVERAGE(E1551:OFFSET(E1551,-N$5+1,0))</f>
        <v>8656.5790000000015</v>
      </c>
      <c r="O1551" s="9">
        <f t="shared" ca="1" si="333"/>
        <v>0</v>
      </c>
      <c r="P1551" s="14">
        <f t="shared" si="338"/>
        <v>-0.96582822999741247</v>
      </c>
      <c r="Q1551" s="15">
        <f ca="1">STDEV(P1551:OFFSET(P1551,-$Q$5+1,0))</f>
        <v>0.90848283987044953</v>
      </c>
      <c r="R1551" s="15">
        <f ca="1">STDEV(P1551:OFFSET(P1551,-$R$5+1,0))</f>
        <v>1.0671865192789391</v>
      </c>
      <c r="S1551" s="18">
        <f t="shared" si="325"/>
        <v>117.36999999999898</v>
      </c>
      <c r="T1551" s="18">
        <f t="shared" si="326"/>
        <v>117.36999999999898</v>
      </c>
      <c r="U1551" s="18">
        <f t="shared" si="334"/>
        <v>97.85741017036041</v>
      </c>
      <c r="V1551" s="33">
        <f ca="1">AVERAGE(E1551:OFFSET(E1551,-V$5+1,0))</f>
        <v>8739.7792857142849</v>
      </c>
      <c r="W1551" s="33">
        <f t="shared" ca="1" si="327"/>
        <v>8886.5654009698264</v>
      </c>
      <c r="X1551" s="33">
        <f t="shared" ca="1" si="328"/>
        <v>8592.9931704587434</v>
      </c>
      <c r="Y1551" s="32">
        <f t="shared" ca="1" si="335"/>
        <v>0</v>
      </c>
    </row>
    <row r="1552" spans="1:25">
      <c r="A1552" s="5">
        <v>40651</v>
      </c>
      <c r="B1552" s="4">
        <v>8752.56</v>
      </c>
      <c r="C1552" s="4">
        <v>8764.65</v>
      </c>
      <c r="D1552" s="4">
        <v>8703.11</v>
      </c>
      <c r="E1552" s="4">
        <v>8714.48</v>
      </c>
      <c r="F1552" s="4">
        <v>2042400</v>
      </c>
      <c r="G1552" s="8">
        <f t="shared" si="337"/>
        <v>34.43999999999869</v>
      </c>
      <c r="H1552" s="8">
        <f t="shared" si="336"/>
        <v>-38.079999999999927</v>
      </c>
      <c r="I1552" s="20">
        <f t="shared" ca="1" si="329"/>
        <v>0</v>
      </c>
      <c r="J1552" s="8">
        <f t="shared" ca="1" si="330"/>
        <v>1</v>
      </c>
      <c r="K1552" s="8">
        <f t="shared" ca="1" si="331"/>
        <v>-3.6400000000012369</v>
      </c>
      <c r="L1552" s="8">
        <f t="shared" ca="1" si="332"/>
        <v>17771.090000000011</v>
      </c>
      <c r="M1552" s="9">
        <f ca="1">AVERAGE(E1552:OFFSET(E1552,-M$5+1,0))</f>
        <v>8798.1759999999977</v>
      </c>
      <c r="N1552" s="9">
        <f ca="1">AVERAGE(E1552:OFFSET(E1552,-N$5+1,0))</f>
        <v>8678.1685000000034</v>
      </c>
      <c r="O1552" s="9">
        <f t="shared" ca="1" si="333"/>
        <v>0</v>
      </c>
      <c r="P1552" s="14">
        <f t="shared" si="338"/>
        <v>-4.1760839494986234E-2</v>
      </c>
      <c r="Q1552" s="15">
        <f ca="1">STDEV(P1552:OFFSET(P1552,-$Q$5+1,0))</f>
        <v>0.90081021121862881</v>
      </c>
      <c r="R1552" s="15">
        <f ca="1">STDEV(P1552:OFFSET(P1552,-$R$5+1,0))</f>
        <v>1.0670807514837239</v>
      </c>
      <c r="S1552" s="18">
        <f t="shared" si="325"/>
        <v>61.539999999999054</v>
      </c>
      <c r="T1552" s="18">
        <f t="shared" si="326"/>
        <v>61.539999999999054</v>
      </c>
      <c r="U1552" s="18">
        <f t="shared" si="334"/>
        <v>93.015088814312236</v>
      </c>
      <c r="V1552" s="33">
        <f ca="1">AVERAGE(E1552:OFFSET(E1552,-V$5+1,0))</f>
        <v>8747.2142857142844</v>
      </c>
      <c r="W1552" s="33">
        <f t="shared" ca="1" si="327"/>
        <v>8886.7369189357523</v>
      </c>
      <c r="X1552" s="33">
        <f t="shared" ca="1" si="328"/>
        <v>8607.6916524928165</v>
      </c>
      <c r="Y1552" s="32">
        <f t="shared" ca="1" si="335"/>
        <v>0</v>
      </c>
    </row>
    <row r="1553" spans="1:25">
      <c r="A1553" s="5">
        <v>40652</v>
      </c>
      <c r="B1553" s="4">
        <v>8643.4</v>
      </c>
      <c r="C1553" s="4">
        <v>8658.9699999999993</v>
      </c>
      <c r="D1553" s="4">
        <v>8592.23</v>
      </c>
      <c r="E1553" s="4">
        <v>8638.5499999999993</v>
      </c>
      <c r="F1553" s="4">
        <v>2233000</v>
      </c>
      <c r="G1553" s="8">
        <f t="shared" si="337"/>
        <v>-71.079999999999927</v>
      </c>
      <c r="H1553" s="8">
        <f t="shared" si="336"/>
        <v>-4.8500000000003638</v>
      </c>
      <c r="I1553" s="20">
        <f t="shared" ca="1" si="329"/>
        <v>0</v>
      </c>
      <c r="J1553" s="8">
        <f t="shared" ca="1" si="330"/>
        <v>1</v>
      </c>
      <c r="K1553" s="8">
        <f t="shared" ca="1" si="331"/>
        <v>-75.930000000000291</v>
      </c>
      <c r="L1553" s="8">
        <f t="shared" ca="1" si="332"/>
        <v>17695.160000000011</v>
      </c>
      <c r="M1553" s="9">
        <f ca="1">AVERAGE(E1553:OFFSET(E1553,-M$5+1,0))</f>
        <v>8791.5179999999982</v>
      </c>
      <c r="N1553" s="9">
        <f ca="1">AVERAGE(E1553:OFFSET(E1553,-N$5+1,0))</f>
        <v>8690.3585000000003</v>
      </c>
      <c r="O1553" s="9">
        <f t="shared" ca="1" si="333"/>
        <v>0</v>
      </c>
      <c r="P1553" s="14">
        <f t="shared" si="338"/>
        <v>-0.87512652935790547</v>
      </c>
      <c r="Q1553" s="15">
        <f ca="1">STDEV(P1553:OFFSET(P1553,-$Q$5+1,0))</f>
        <v>0.94043919664988107</v>
      </c>
      <c r="R1553" s="15">
        <f ca="1">STDEV(P1553:OFFSET(P1553,-$R$5+1,0))</f>
        <v>1.0748289341412371</v>
      </c>
      <c r="S1553" s="18">
        <f t="shared" si="325"/>
        <v>66.739999999999782</v>
      </c>
      <c r="T1553" s="18">
        <f t="shared" si="326"/>
        <v>122.25</v>
      </c>
      <c r="U1553" s="18">
        <f t="shared" si="334"/>
        <v>96.913076972403942</v>
      </c>
      <c r="V1553" s="33">
        <f ca="1">AVERAGE(E1553:OFFSET(E1553,-V$5+1,0))</f>
        <v>8753.3207142857118</v>
      </c>
      <c r="W1553" s="33">
        <f t="shared" ca="1" si="327"/>
        <v>8898.6903297443168</v>
      </c>
      <c r="X1553" s="33">
        <f t="shared" ca="1" si="328"/>
        <v>8607.9510988271068</v>
      </c>
      <c r="Y1553" s="32">
        <f t="shared" ca="1" si="335"/>
        <v>0</v>
      </c>
    </row>
    <row r="1554" spans="1:25">
      <c r="A1554" s="5">
        <v>40653</v>
      </c>
      <c r="B1554" s="4">
        <v>8704.48</v>
      </c>
      <c r="C1554" s="4">
        <v>8813.2800000000007</v>
      </c>
      <c r="D1554" s="4">
        <v>8698.9699999999993</v>
      </c>
      <c r="E1554" s="4">
        <v>8813.2800000000007</v>
      </c>
      <c r="F1554" s="4">
        <v>2643200</v>
      </c>
      <c r="G1554" s="8">
        <f t="shared" si="337"/>
        <v>65.930000000000291</v>
      </c>
      <c r="H1554" s="8">
        <f t="shared" si="336"/>
        <v>108.80000000000109</v>
      </c>
      <c r="I1554" s="20">
        <f t="shared" ca="1" si="329"/>
        <v>0</v>
      </c>
      <c r="J1554" s="8">
        <f t="shared" ca="1" si="330"/>
        <v>1</v>
      </c>
      <c r="K1554" s="8">
        <f t="shared" ca="1" si="331"/>
        <v>174.73000000000138</v>
      </c>
      <c r="L1554" s="8">
        <f t="shared" ca="1" si="332"/>
        <v>17869.890000000014</v>
      </c>
      <c r="M1554" s="9">
        <f ca="1">AVERAGE(E1554:OFFSET(E1554,-M$5+1,0))</f>
        <v>8787.648000000001</v>
      </c>
      <c r="N1554" s="9">
        <f ca="1">AVERAGE(E1554:OFFSET(E1554,-N$5+1,0))</f>
        <v>8707.6369999999988</v>
      </c>
      <c r="O1554" s="9">
        <f t="shared" ca="1" si="333"/>
        <v>0</v>
      </c>
      <c r="P1554" s="14">
        <f t="shared" si="338"/>
        <v>2.0024930201995228</v>
      </c>
      <c r="Q1554" s="15">
        <f ca="1">STDEV(P1554:OFFSET(P1554,-$Q$5+1,0))</f>
        <v>1.0116588469943149</v>
      </c>
      <c r="R1554" s="15">
        <f ca="1">STDEV(P1554:OFFSET(P1554,-$R$5+1,0))</f>
        <v>1.0829356881315815</v>
      </c>
      <c r="S1554" s="18">
        <f t="shared" si="325"/>
        <v>114.31000000000131</v>
      </c>
      <c r="T1554" s="18">
        <f t="shared" si="326"/>
        <v>174.73000000000138</v>
      </c>
      <c r="U1554" s="18">
        <f t="shared" si="334"/>
        <v>107.28866670941693</v>
      </c>
      <c r="V1554" s="33">
        <f ca="1">AVERAGE(E1554:OFFSET(E1554,-V$5+1,0))</f>
        <v>8768.7999999999993</v>
      </c>
      <c r="W1554" s="33">
        <f t="shared" ca="1" si="327"/>
        <v>8929.733000064125</v>
      </c>
      <c r="X1554" s="33">
        <f t="shared" ca="1" si="328"/>
        <v>8607.8669999358735</v>
      </c>
      <c r="Y1554" s="32">
        <f t="shared" ca="1" si="335"/>
        <v>0</v>
      </c>
    </row>
    <row r="1555" spans="1:25">
      <c r="A1555" s="5">
        <v>40654</v>
      </c>
      <c r="B1555" s="4">
        <v>8893.07</v>
      </c>
      <c r="C1555" s="4">
        <v>8992.08</v>
      </c>
      <c r="D1555" s="4">
        <v>8892.06</v>
      </c>
      <c r="E1555" s="4">
        <v>8957.65</v>
      </c>
      <c r="F1555" s="4">
        <v>3689400</v>
      </c>
      <c r="G1555" s="8">
        <f t="shared" si="337"/>
        <v>79.789999999999054</v>
      </c>
      <c r="H1555" s="8">
        <f t="shared" si="336"/>
        <v>64.579999999999927</v>
      </c>
      <c r="I1555" s="20">
        <f t="shared" ca="1" si="329"/>
        <v>0</v>
      </c>
      <c r="J1555" s="8">
        <f t="shared" ca="1" si="330"/>
        <v>1</v>
      </c>
      <c r="K1555" s="8">
        <f t="shared" ca="1" si="331"/>
        <v>144.36999999999898</v>
      </c>
      <c r="L1555" s="8">
        <f t="shared" ca="1" si="332"/>
        <v>18014.260000000013</v>
      </c>
      <c r="M1555" s="9">
        <f ca="1">AVERAGE(E1555:OFFSET(E1555,-M$5+1,0))</f>
        <v>8793.241</v>
      </c>
      <c r="N1555" s="9">
        <f ca="1">AVERAGE(E1555:OFFSET(E1555,-N$5+1,0))</f>
        <v>8730.1175000000003</v>
      </c>
      <c r="O1555" s="9">
        <f t="shared" ca="1" si="333"/>
        <v>0</v>
      </c>
      <c r="P1555" s="14">
        <f t="shared" si="338"/>
        <v>1.6248240940703849</v>
      </c>
      <c r="Q1555" s="15">
        <f ca="1">STDEV(P1555:OFFSET(P1555,-$Q$5+1,0))</f>
        <v>1.1312297871376236</v>
      </c>
      <c r="R1555" s="15">
        <f ca="1">STDEV(P1555:OFFSET(P1555,-$R$5+1,0))</f>
        <v>1.1132451139606958</v>
      </c>
      <c r="S1555" s="18">
        <f t="shared" si="325"/>
        <v>100.02000000000044</v>
      </c>
      <c r="T1555" s="18">
        <f t="shared" si="326"/>
        <v>178.79999999999927</v>
      </c>
      <c r="U1555" s="18">
        <f t="shared" si="334"/>
        <v>116.82351114816124</v>
      </c>
      <c r="V1555" s="33">
        <f ca="1">AVERAGE(E1555:OFFSET(E1555,-V$5+1,0))</f>
        <v>8791.0385714285694</v>
      </c>
      <c r="W1555" s="33">
        <f t="shared" ca="1" si="327"/>
        <v>8966.2738381508116</v>
      </c>
      <c r="X1555" s="33">
        <f t="shared" ca="1" si="328"/>
        <v>8615.8033047063273</v>
      </c>
      <c r="Y1555" s="32">
        <f t="shared" ca="1" si="335"/>
        <v>0</v>
      </c>
    </row>
    <row r="1556" spans="1:25">
      <c r="A1556" s="5">
        <v>40655</v>
      </c>
      <c r="B1556" s="4">
        <v>8980.43</v>
      </c>
      <c r="C1556" s="4">
        <v>8992.67</v>
      </c>
      <c r="D1556" s="4">
        <v>8956.07</v>
      </c>
      <c r="E1556" s="4">
        <v>8969.43</v>
      </c>
      <c r="F1556" s="4">
        <v>2776600</v>
      </c>
      <c r="G1556" s="8">
        <f t="shared" si="337"/>
        <v>22.780000000000655</v>
      </c>
      <c r="H1556" s="8">
        <f t="shared" si="336"/>
        <v>-11</v>
      </c>
      <c r="I1556" s="20">
        <f t="shared" ca="1" si="329"/>
        <v>0</v>
      </c>
      <c r="J1556" s="8">
        <f t="shared" ca="1" si="330"/>
        <v>1</v>
      </c>
      <c r="K1556" s="8">
        <f t="shared" ca="1" si="331"/>
        <v>11.780000000000655</v>
      </c>
      <c r="L1556" s="8">
        <f t="shared" ca="1" si="332"/>
        <v>18026.040000000015</v>
      </c>
      <c r="M1556" s="9">
        <f ca="1">AVERAGE(E1556:OFFSET(E1556,-M$5+1,0))</f>
        <v>8800.73</v>
      </c>
      <c r="N1556" s="9">
        <f ca="1">AVERAGE(E1556:OFFSET(E1556,-N$5+1,0))</f>
        <v>8751.3349999999973</v>
      </c>
      <c r="O1556" s="9">
        <f t="shared" ca="1" si="333"/>
        <v>0</v>
      </c>
      <c r="P1556" s="14">
        <f t="shared" si="338"/>
        <v>0.1314213100570997</v>
      </c>
      <c r="Q1556" s="15">
        <f ca="1">STDEV(P1556:OFFSET(P1556,-$Q$5+1,0))</f>
        <v>1.1302319290876834</v>
      </c>
      <c r="R1556" s="15">
        <f ca="1">STDEV(P1556:OFFSET(P1556,-$R$5+1,0))</f>
        <v>1.068657816786577</v>
      </c>
      <c r="S1556" s="18">
        <f t="shared" si="325"/>
        <v>36.600000000000364</v>
      </c>
      <c r="T1556" s="18">
        <f t="shared" si="326"/>
        <v>36.600000000000364</v>
      </c>
      <c r="U1556" s="18">
        <f t="shared" si="334"/>
        <v>106.12704299507314</v>
      </c>
      <c r="V1556" s="33">
        <f ca="1">AVERAGE(E1556:OFFSET(E1556,-V$5+1,0))</f>
        <v>8811.4764285714282</v>
      </c>
      <c r="W1556" s="33">
        <f t="shared" ca="1" si="327"/>
        <v>8970.6669930640383</v>
      </c>
      <c r="X1556" s="33">
        <f t="shared" ca="1" si="328"/>
        <v>8652.2858640788181</v>
      </c>
      <c r="Y1556" s="32">
        <f t="shared" ca="1" si="335"/>
        <v>0</v>
      </c>
    </row>
    <row r="1557" spans="1:25">
      <c r="A1557" s="5">
        <v>40658</v>
      </c>
      <c r="B1557" s="4">
        <v>9015.91</v>
      </c>
      <c r="C1557" s="4">
        <v>9037.09</v>
      </c>
      <c r="D1557" s="4">
        <v>8950.75</v>
      </c>
      <c r="E1557" s="4">
        <v>8950.75</v>
      </c>
      <c r="F1557" s="4">
        <v>2696800</v>
      </c>
      <c r="G1557" s="8">
        <f t="shared" si="337"/>
        <v>46.479999999999563</v>
      </c>
      <c r="H1557" s="8">
        <f t="shared" si="336"/>
        <v>-65.159999999999854</v>
      </c>
      <c r="I1557" s="20">
        <f t="shared" ca="1" si="329"/>
        <v>0</v>
      </c>
      <c r="J1557" s="8">
        <f t="shared" ca="1" si="330"/>
        <v>1</v>
      </c>
      <c r="K1557" s="8">
        <f t="shared" ca="1" si="331"/>
        <v>-18.680000000000291</v>
      </c>
      <c r="L1557" s="8">
        <f t="shared" ca="1" si="332"/>
        <v>18007.360000000015</v>
      </c>
      <c r="M1557" s="9">
        <f ca="1">AVERAGE(E1557:OFFSET(E1557,-M$5+1,0))</f>
        <v>8807.7780000000002</v>
      </c>
      <c r="N1557" s="9">
        <f ca="1">AVERAGE(E1557:OFFSET(E1557,-N$5+1,0))</f>
        <v>8770.052499999998</v>
      </c>
      <c r="O1557" s="9">
        <f t="shared" ca="1" si="333"/>
        <v>0</v>
      </c>
      <c r="P1557" s="14">
        <f t="shared" si="338"/>
        <v>-0.20848012426091406</v>
      </c>
      <c r="Q1557" s="15">
        <f ca="1">STDEV(P1557:OFFSET(P1557,-$Q$5+1,0))</f>
        <v>1.1314840994379429</v>
      </c>
      <c r="R1557" s="15">
        <f ca="1">STDEV(P1557:OFFSET(P1557,-$R$5+1,0))</f>
        <v>1.0309278930888925</v>
      </c>
      <c r="S1557" s="18">
        <f t="shared" si="325"/>
        <v>86.340000000000146</v>
      </c>
      <c r="T1557" s="18">
        <f t="shared" si="326"/>
        <v>86.340000000000146</v>
      </c>
      <c r="U1557" s="18">
        <f t="shared" si="334"/>
        <v>103.48877059573007</v>
      </c>
      <c r="V1557" s="33">
        <f ca="1">AVERAGE(E1557:OFFSET(E1557,-V$5+1,0))</f>
        <v>8829.0207142857125</v>
      </c>
      <c r="W1557" s="33">
        <f t="shared" ca="1" si="327"/>
        <v>8984.2538701793073</v>
      </c>
      <c r="X1557" s="33">
        <f t="shared" ca="1" si="328"/>
        <v>8673.7875583921177</v>
      </c>
      <c r="Y1557" s="32">
        <f t="shared" ca="1" si="335"/>
        <v>0</v>
      </c>
    </row>
    <row r="1558" spans="1:25">
      <c r="A1558" s="5">
        <v>40659</v>
      </c>
      <c r="B1558" s="4">
        <v>8894.01</v>
      </c>
      <c r="C1558" s="4">
        <v>8966.86</v>
      </c>
      <c r="D1558" s="4">
        <v>8866.74</v>
      </c>
      <c r="E1558" s="4">
        <v>8948.14</v>
      </c>
      <c r="F1558" s="4">
        <v>2392200</v>
      </c>
      <c r="G1558" s="8">
        <f t="shared" si="337"/>
        <v>-56.739999999999782</v>
      </c>
      <c r="H1558" s="8">
        <f t="shared" si="336"/>
        <v>54.1299999999992</v>
      </c>
      <c r="I1558" s="20">
        <f t="shared" ca="1" si="329"/>
        <v>0</v>
      </c>
      <c r="J1558" s="8">
        <f t="shared" ca="1" si="330"/>
        <v>1</v>
      </c>
      <c r="K1558" s="8">
        <f t="shared" ca="1" si="331"/>
        <v>-2.6100000000005821</v>
      </c>
      <c r="L1558" s="8">
        <f t="shared" ca="1" si="332"/>
        <v>18004.750000000015</v>
      </c>
      <c r="M1558" s="9">
        <f ca="1">AVERAGE(E1558:OFFSET(E1558,-M$5+1,0))</f>
        <v>8829.3330000000005</v>
      </c>
      <c r="N1558" s="9">
        <f ca="1">AVERAGE(E1558:OFFSET(E1558,-N$5+1,0))</f>
        <v>8786.9399999999969</v>
      </c>
      <c r="O1558" s="9">
        <f t="shared" ca="1" si="333"/>
        <v>0</v>
      </c>
      <c r="P1558" s="14">
        <f t="shared" si="338"/>
        <v>-2.9163819862571362E-2</v>
      </c>
      <c r="Q1558" s="15">
        <f ca="1">STDEV(P1558:OFFSET(P1558,-$Q$5+1,0))</f>
        <v>0.95328512222608797</v>
      </c>
      <c r="R1558" s="15">
        <f ca="1">STDEV(P1558:OFFSET(P1558,-$R$5+1,0))</f>
        <v>1.031187413271073</v>
      </c>
      <c r="S1558" s="18">
        <f t="shared" si="325"/>
        <v>100.1200000000008</v>
      </c>
      <c r="T1558" s="18">
        <f t="shared" si="326"/>
        <v>100.1200000000008</v>
      </c>
      <c r="U1558" s="18">
        <f t="shared" si="334"/>
        <v>103.03960118296618</v>
      </c>
      <c r="V1558" s="33">
        <f ca="1">AVERAGE(E1558:OFFSET(E1558,-V$5+1,0))</f>
        <v>8835.8892857142855</v>
      </c>
      <c r="W1558" s="33">
        <f t="shared" ca="1" si="327"/>
        <v>8990.4486874887352</v>
      </c>
      <c r="X1558" s="33">
        <f t="shared" ca="1" si="328"/>
        <v>8681.3298839398358</v>
      </c>
      <c r="Y1558" s="32">
        <f t="shared" ca="1" si="335"/>
        <v>0</v>
      </c>
    </row>
    <row r="1559" spans="1:25">
      <c r="A1559" s="5">
        <v>40660</v>
      </c>
      <c r="B1559" s="4">
        <v>9012.2800000000007</v>
      </c>
      <c r="C1559" s="4">
        <v>9060.5</v>
      </c>
      <c r="D1559" s="4">
        <v>9012.2800000000007</v>
      </c>
      <c r="E1559" s="4">
        <v>9049.25</v>
      </c>
      <c r="F1559" s="4">
        <v>3110000</v>
      </c>
      <c r="G1559" s="8">
        <f t="shared" si="337"/>
        <v>64.140000000001237</v>
      </c>
      <c r="H1559" s="8">
        <f t="shared" si="336"/>
        <v>36.969999999999345</v>
      </c>
      <c r="I1559" s="20">
        <f t="shared" ca="1" si="329"/>
        <v>1</v>
      </c>
      <c r="J1559" s="8">
        <f t="shared" ca="1" si="330"/>
        <v>1</v>
      </c>
      <c r="K1559" s="8">
        <f t="shared" ca="1" si="331"/>
        <v>101.11000000000058</v>
      </c>
      <c r="L1559" s="8">
        <f t="shared" ca="1" si="332"/>
        <v>18105.860000000015</v>
      </c>
      <c r="M1559" s="9">
        <f ca="1">AVERAGE(E1559:OFFSET(E1559,-M$5+1,0))</f>
        <v>8856.2379999999994</v>
      </c>
      <c r="N1559" s="9">
        <f ca="1">AVERAGE(E1559:OFFSET(E1559,-N$5+1,0))</f>
        <v>8811.7494999999999</v>
      </c>
      <c r="O1559" s="9">
        <f t="shared" ca="1" si="333"/>
        <v>0</v>
      </c>
      <c r="P1559" s="14">
        <f t="shared" si="338"/>
        <v>1.1236191889617384</v>
      </c>
      <c r="Q1559" s="15">
        <f ca="1">STDEV(P1559:OFFSET(P1559,-$Q$5+1,0))</f>
        <v>0.99046747182399697</v>
      </c>
      <c r="R1559" s="15">
        <f ca="1">STDEV(P1559:OFFSET(P1559,-$R$5+1,0))</f>
        <v>1.0397990540838704</v>
      </c>
      <c r="S1559" s="18">
        <f t="shared" si="325"/>
        <v>48.219999999999345</v>
      </c>
      <c r="T1559" s="18">
        <f t="shared" si="326"/>
        <v>112.36000000000058</v>
      </c>
      <c r="U1559" s="18">
        <f t="shared" si="334"/>
        <v>104.28232102523744</v>
      </c>
      <c r="V1559" s="33">
        <f ca="1">AVERAGE(E1559:OFFSET(E1559,-V$5+1,0))</f>
        <v>8846.4271428571428</v>
      </c>
      <c r="W1559" s="33">
        <f t="shared" ca="1" si="327"/>
        <v>9002.8506243949996</v>
      </c>
      <c r="X1559" s="33">
        <f t="shared" ca="1" si="328"/>
        <v>8690.003661319286</v>
      </c>
      <c r="Y1559" s="32">
        <f t="shared" ca="1" si="335"/>
        <v>1</v>
      </c>
    </row>
    <row r="1560" spans="1:25">
      <c r="A1560" s="5">
        <v>40661</v>
      </c>
      <c r="B1560" s="4">
        <v>9088.9699999999993</v>
      </c>
      <c r="C1560" s="4">
        <v>9099.75</v>
      </c>
      <c r="D1560" s="4">
        <v>9021.36</v>
      </c>
      <c r="E1560" s="4">
        <v>9040.77</v>
      </c>
      <c r="F1560" s="4">
        <v>3087000</v>
      </c>
      <c r="G1560" s="8">
        <f t="shared" si="337"/>
        <v>39.719999999999345</v>
      </c>
      <c r="H1560" s="8">
        <f t="shared" si="336"/>
        <v>-48.199999999998909</v>
      </c>
      <c r="I1560" s="20">
        <f t="shared" ca="1" si="329"/>
        <v>0</v>
      </c>
      <c r="J1560" s="8">
        <f t="shared" ca="1" si="330"/>
        <v>2</v>
      </c>
      <c r="K1560" s="8">
        <f t="shared" ca="1" si="331"/>
        <v>-56.679999999998472</v>
      </c>
      <c r="L1560" s="8">
        <f t="shared" ca="1" si="332"/>
        <v>18049.180000000015</v>
      </c>
      <c r="M1560" s="9">
        <f ca="1">AVERAGE(E1560:OFFSET(E1560,-M$5+1,0))</f>
        <v>8880.0419999999995</v>
      </c>
      <c r="N1560" s="9">
        <f ca="1">AVERAGE(E1560:OFFSET(E1560,-N$5+1,0))</f>
        <v>8833.959499999999</v>
      </c>
      <c r="O1560" s="9">
        <f t="shared" ca="1" si="333"/>
        <v>0</v>
      </c>
      <c r="P1560" s="14">
        <f t="shared" si="338"/>
        <v>-9.3753358162541336E-2</v>
      </c>
      <c r="Q1560" s="15">
        <f ca="1">STDEV(P1560:OFFSET(P1560,-$Q$5+1,0))</f>
        <v>0.99840923770964163</v>
      </c>
      <c r="R1560" s="15">
        <f ca="1">STDEV(P1560:OFFSET(P1560,-$R$5+1,0))</f>
        <v>1.0169522772129262</v>
      </c>
      <c r="S1560" s="18">
        <f t="shared" si="325"/>
        <v>78.389999999999418</v>
      </c>
      <c r="T1560" s="18">
        <f t="shared" si="326"/>
        <v>78.389999999999418</v>
      </c>
      <c r="U1560" s="18">
        <f t="shared" si="334"/>
        <v>100.83001155520572</v>
      </c>
      <c r="V1560" s="33">
        <f ca="1">AVERAGE(E1560:OFFSET(E1560,-V$5+1,0))</f>
        <v>8856.8721428571425</v>
      </c>
      <c r="W1560" s="33">
        <f t="shared" ca="1" si="327"/>
        <v>9008.1171601899514</v>
      </c>
      <c r="X1560" s="33">
        <f t="shared" ca="1" si="328"/>
        <v>8705.6271255243337</v>
      </c>
      <c r="Y1560" s="32">
        <f t="shared" ca="1" si="335"/>
        <v>0</v>
      </c>
    </row>
    <row r="1561" spans="1:25">
      <c r="A1561" s="5">
        <v>40662</v>
      </c>
      <c r="B1561" s="4">
        <v>9050.49</v>
      </c>
      <c r="C1561" s="4">
        <v>9058.7800000000007</v>
      </c>
      <c r="D1561" s="4">
        <v>8943.99</v>
      </c>
      <c r="E1561" s="4">
        <v>9007.8700000000008</v>
      </c>
      <c r="F1561" s="4">
        <v>3385400</v>
      </c>
      <c r="G1561" s="8">
        <f t="shared" si="337"/>
        <v>9.7199999999993452</v>
      </c>
      <c r="H1561" s="8">
        <f t="shared" si="336"/>
        <v>-42.619999999998981</v>
      </c>
      <c r="I1561" s="20">
        <f t="shared" ca="1" si="329"/>
        <v>0</v>
      </c>
      <c r="J1561" s="8">
        <f t="shared" ca="1" si="330"/>
        <v>2</v>
      </c>
      <c r="K1561" s="8">
        <f t="shared" ca="1" si="331"/>
        <v>-65.799999999999272</v>
      </c>
      <c r="L1561" s="8">
        <f t="shared" ca="1" si="332"/>
        <v>17983.380000000016</v>
      </c>
      <c r="M1561" s="9">
        <f ca="1">AVERAGE(E1561:OFFSET(E1561,-M$5+1,0))</f>
        <v>8909.0169999999998</v>
      </c>
      <c r="N1561" s="9">
        <f ca="1">AVERAGE(E1561:OFFSET(E1561,-N$5+1,0))</f>
        <v>8852.0374999999985</v>
      </c>
      <c r="O1561" s="9">
        <f t="shared" ca="1" si="333"/>
        <v>0</v>
      </c>
      <c r="P1561" s="14">
        <f t="shared" si="338"/>
        <v>-0.36457080910248896</v>
      </c>
      <c r="Q1561" s="15">
        <f ca="1">STDEV(P1561:OFFSET(P1561,-$Q$5+1,0))</f>
        <v>0.93181217248244363</v>
      </c>
      <c r="R1561" s="15">
        <f ca="1">STDEV(P1561:OFFSET(P1561,-$R$5+1,0))</f>
        <v>0.99681505367636236</v>
      </c>
      <c r="S1561" s="18">
        <f t="shared" si="325"/>
        <v>114.79000000000087</v>
      </c>
      <c r="T1561" s="18">
        <f t="shared" si="326"/>
        <v>114.79000000000087</v>
      </c>
      <c r="U1561" s="18">
        <f t="shared" si="334"/>
        <v>102.69134334784508</v>
      </c>
      <c r="V1561" s="33">
        <f ca="1">AVERAGE(E1561:OFFSET(E1561,-V$5+1,0))</f>
        <v>8865.9864285714284</v>
      </c>
      <c r="W1561" s="33">
        <f t="shared" ca="1" si="327"/>
        <v>9020.0234435931961</v>
      </c>
      <c r="X1561" s="33">
        <f t="shared" ca="1" si="328"/>
        <v>8711.9494135496607</v>
      </c>
      <c r="Y1561" s="32">
        <f t="shared" ca="1" si="335"/>
        <v>0</v>
      </c>
    </row>
    <row r="1562" spans="1:25">
      <c r="A1562" s="5">
        <v>40666</v>
      </c>
      <c r="B1562" s="4">
        <v>9014.33</v>
      </c>
      <c r="C1562" s="4">
        <v>9018.7000000000007</v>
      </c>
      <c r="D1562" s="4">
        <v>8895.25</v>
      </c>
      <c r="E1562" s="4">
        <v>8946.08</v>
      </c>
      <c r="F1562" s="4">
        <v>2675400</v>
      </c>
      <c r="G1562" s="8">
        <f t="shared" si="337"/>
        <v>6.4599999999991269</v>
      </c>
      <c r="H1562" s="8">
        <f t="shared" si="336"/>
        <v>-68.25</v>
      </c>
      <c r="I1562" s="20">
        <f t="shared" ca="1" si="329"/>
        <v>0</v>
      </c>
      <c r="J1562" s="8">
        <f t="shared" ca="1" si="330"/>
        <v>2</v>
      </c>
      <c r="K1562" s="8">
        <f t="shared" ca="1" si="331"/>
        <v>-123.58000000000175</v>
      </c>
      <c r="L1562" s="8">
        <f t="shared" ca="1" si="332"/>
        <v>17859.800000000014</v>
      </c>
      <c r="M1562" s="9">
        <f ca="1">AVERAGE(E1562:OFFSET(E1562,-M$5+1,0))</f>
        <v>8932.1769999999997</v>
      </c>
      <c r="N1562" s="9">
        <f ca="1">AVERAGE(E1562:OFFSET(E1562,-N$5+1,0))</f>
        <v>8865.1764999999978</v>
      </c>
      <c r="O1562" s="9">
        <f t="shared" ca="1" si="333"/>
        <v>0</v>
      </c>
      <c r="P1562" s="14">
        <f t="shared" si="338"/>
        <v>-0.68831921620309922</v>
      </c>
      <c r="Q1562" s="15">
        <f ca="1">STDEV(P1562:OFFSET(P1562,-$Q$5+1,0))</f>
        <v>0.98135313180126749</v>
      </c>
      <c r="R1562" s="15">
        <f ca="1">STDEV(P1562:OFFSET(P1562,-$R$5+1,0))</f>
        <v>0.98331026574759139</v>
      </c>
      <c r="S1562" s="18">
        <f t="shared" si="325"/>
        <v>123.45000000000073</v>
      </c>
      <c r="T1562" s="18">
        <f t="shared" si="326"/>
        <v>123.45000000000073</v>
      </c>
      <c r="U1562" s="18">
        <f t="shared" si="334"/>
        <v>105.45916423479916</v>
      </c>
      <c r="V1562" s="33">
        <f ca="1">AVERAGE(E1562:OFFSET(E1562,-V$5+1,0))</f>
        <v>8881.2357142857145</v>
      </c>
      <c r="W1562" s="33">
        <f t="shared" ca="1" si="327"/>
        <v>9039.4244606379125</v>
      </c>
      <c r="X1562" s="33">
        <f t="shared" ca="1" si="328"/>
        <v>8723.0469679335165</v>
      </c>
      <c r="Y1562" s="32">
        <f t="shared" ca="1" si="335"/>
        <v>0</v>
      </c>
    </row>
    <row r="1563" spans="1:25">
      <c r="A1563" s="5">
        <v>40667</v>
      </c>
      <c r="B1563" s="4">
        <v>8937.2999999999993</v>
      </c>
      <c r="C1563" s="4">
        <v>8947.35</v>
      </c>
      <c r="D1563" s="4">
        <v>8864.5499999999993</v>
      </c>
      <c r="E1563" s="4">
        <v>8947.35</v>
      </c>
      <c r="F1563" s="4">
        <v>2336800</v>
      </c>
      <c r="G1563" s="8">
        <f t="shared" si="337"/>
        <v>-8.7800000000006548</v>
      </c>
      <c r="H1563" s="8">
        <f t="shared" si="336"/>
        <v>10.050000000001091</v>
      </c>
      <c r="I1563" s="20">
        <f t="shared" ca="1" si="329"/>
        <v>0</v>
      </c>
      <c r="J1563" s="8">
        <f t="shared" ca="1" si="330"/>
        <v>2</v>
      </c>
      <c r="K1563" s="8">
        <f t="shared" ca="1" si="331"/>
        <v>2.5400000000008731</v>
      </c>
      <c r="L1563" s="8">
        <f t="shared" ca="1" si="332"/>
        <v>17862.340000000015</v>
      </c>
      <c r="M1563" s="9">
        <f ca="1">AVERAGE(E1563:OFFSET(E1563,-M$5+1,0))</f>
        <v>8963.0570000000007</v>
      </c>
      <c r="N1563" s="9">
        <f ca="1">AVERAGE(E1563:OFFSET(E1563,-N$5+1,0))</f>
        <v>8877.2874999999985</v>
      </c>
      <c r="O1563" s="9">
        <f t="shared" ca="1" si="333"/>
        <v>0</v>
      </c>
      <c r="P1563" s="14">
        <f t="shared" si="338"/>
        <v>1.419515433466809E-2</v>
      </c>
      <c r="Q1563" s="15">
        <f ca="1">STDEV(P1563:OFFSET(P1563,-$Q$5+1,0))</f>
        <v>0.90407861792199429</v>
      </c>
      <c r="R1563" s="15">
        <f ca="1">STDEV(P1563:OFFSET(P1563,-$R$5+1,0))</f>
        <v>0.98040751461139974</v>
      </c>
      <c r="S1563" s="18">
        <f t="shared" si="325"/>
        <v>82.800000000001091</v>
      </c>
      <c r="T1563" s="18">
        <f t="shared" si="326"/>
        <v>82.800000000001091</v>
      </c>
      <c r="U1563" s="18">
        <f t="shared" si="334"/>
        <v>102.4379423368261</v>
      </c>
      <c r="V1563" s="33">
        <f ca="1">AVERAGE(E1563:OFFSET(E1563,-V$5+1,0))</f>
        <v>8893.1749999999993</v>
      </c>
      <c r="W1563" s="33">
        <f t="shared" ca="1" si="327"/>
        <v>9046.8319135052388</v>
      </c>
      <c r="X1563" s="33">
        <f t="shared" ca="1" si="328"/>
        <v>8739.5180864947597</v>
      </c>
      <c r="Y1563" s="32">
        <f t="shared" ca="1" si="335"/>
        <v>0</v>
      </c>
    </row>
    <row r="1564" spans="1:25">
      <c r="A1564" s="5">
        <v>40668</v>
      </c>
      <c r="B1564" s="4">
        <v>8930.24</v>
      </c>
      <c r="C1564" s="4">
        <v>9029.58</v>
      </c>
      <c r="D1564" s="4">
        <v>8907.9699999999993</v>
      </c>
      <c r="E1564" s="4">
        <v>9018.61</v>
      </c>
      <c r="F1564" s="4">
        <v>2702600</v>
      </c>
      <c r="G1564" s="8">
        <f t="shared" si="337"/>
        <v>-17.110000000000582</v>
      </c>
      <c r="H1564" s="8">
        <f t="shared" si="336"/>
        <v>88.3700000000008</v>
      </c>
      <c r="I1564" s="20">
        <f t="shared" ca="1" si="329"/>
        <v>0</v>
      </c>
      <c r="J1564" s="8">
        <f t="shared" ca="1" si="330"/>
        <v>2</v>
      </c>
      <c r="K1564" s="8">
        <f t="shared" ca="1" si="331"/>
        <v>142.52000000000044</v>
      </c>
      <c r="L1564" s="8">
        <f t="shared" ca="1" si="332"/>
        <v>18004.860000000015</v>
      </c>
      <c r="M1564" s="9">
        <f ca="1">AVERAGE(E1564:OFFSET(E1564,-M$5+1,0))</f>
        <v>8983.59</v>
      </c>
      <c r="N1564" s="9">
        <f ca="1">AVERAGE(E1564:OFFSET(E1564,-N$5+1,0))</f>
        <v>8885.6190000000006</v>
      </c>
      <c r="O1564" s="9">
        <f t="shared" ca="1" si="333"/>
        <v>0</v>
      </c>
      <c r="P1564" s="14">
        <f t="shared" si="338"/>
        <v>0.79328211458618991</v>
      </c>
      <c r="Q1564" s="15">
        <f ca="1">STDEV(P1564:OFFSET(P1564,-$Q$5+1,0))</f>
        <v>0.72101289687200554</v>
      </c>
      <c r="R1564" s="15">
        <f ca="1">STDEV(P1564:OFFSET(P1564,-$R$5+1,0))</f>
        <v>0.97735396587582424</v>
      </c>
      <c r="S1564" s="18">
        <f t="shared" si="325"/>
        <v>121.61000000000058</v>
      </c>
      <c r="T1564" s="18">
        <f t="shared" si="326"/>
        <v>121.61000000000058</v>
      </c>
      <c r="U1564" s="18">
        <f t="shared" si="334"/>
        <v>104.99421669191604</v>
      </c>
      <c r="V1564" s="33">
        <f ca="1">AVERAGE(E1564:OFFSET(E1564,-V$5+1,0))</f>
        <v>8908.5949999999993</v>
      </c>
      <c r="W1564" s="33">
        <f t="shared" ca="1" si="327"/>
        <v>9066.0863250378734</v>
      </c>
      <c r="X1564" s="33">
        <f t="shared" ca="1" si="328"/>
        <v>8751.1036749621253</v>
      </c>
      <c r="Y1564" s="32">
        <f t="shared" ca="1" si="335"/>
        <v>0</v>
      </c>
    </row>
    <row r="1565" spans="1:25">
      <c r="A1565" s="5">
        <v>40669</v>
      </c>
      <c r="B1565" s="4">
        <v>8997.73</v>
      </c>
      <c r="C1565" s="4">
        <v>9018.4</v>
      </c>
      <c r="D1565" s="4">
        <v>8954.81</v>
      </c>
      <c r="E1565" s="4">
        <v>8977.23</v>
      </c>
      <c r="F1565" s="4">
        <v>2796600</v>
      </c>
      <c r="G1565" s="8">
        <f t="shared" si="337"/>
        <v>-20.880000000001019</v>
      </c>
      <c r="H1565" s="8">
        <f t="shared" si="336"/>
        <v>-20.5</v>
      </c>
      <c r="I1565" s="20">
        <f t="shared" ca="1" si="329"/>
        <v>0</v>
      </c>
      <c r="J1565" s="8">
        <f t="shared" ca="1" si="330"/>
        <v>2</v>
      </c>
      <c r="K1565" s="8">
        <f t="shared" ca="1" si="331"/>
        <v>-82.760000000002037</v>
      </c>
      <c r="L1565" s="8">
        <f t="shared" ca="1" si="332"/>
        <v>17922.100000000013</v>
      </c>
      <c r="M1565" s="9">
        <f ca="1">AVERAGE(E1565:OFFSET(E1565,-M$5+1,0))</f>
        <v>8985.5479999999989</v>
      </c>
      <c r="N1565" s="9">
        <f ca="1">AVERAGE(E1565:OFFSET(E1565,-N$5+1,0))</f>
        <v>8889.3944999999985</v>
      </c>
      <c r="O1565" s="9">
        <f t="shared" ca="1" si="333"/>
        <v>0</v>
      </c>
      <c r="P1565" s="14">
        <f t="shared" si="338"/>
        <v>-0.45988487261710553</v>
      </c>
      <c r="Q1565" s="15">
        <f ca="1">STDEV(P1565:OFFSET(P1565,-$Q$5+1,0))</f>
        <v>0.55535931078177014</v>
      </c>
      <c r="R1565" s="15">
        <f ca="1">STDEV(P1565:OFFSET(P1565,-$R$5+1,0))</f>
        <v>0.9798184758118802</v>
      </c>
      <c r="S1565" s="18">
        <f t="shared" si="325"/>
        <v>63.590000000000146</v>
      </c>
      <c r="T1565" s="18">
        <f t="shared" si="326"/>
        <v>63.800000000001091</v>
      </c>
      <c r="U1565" s="18">
        <f t="shared" si="334"/>
        <v>99.501654466327381</v>
      </c>
      <c r="V1565" s="33">
        <f ca="1">AVERAGE(E1565:OFFSET(E1565,-V$5+1,0))</f>
        <v>8927.1028571428578</v>
      </c>
      <c r="W1565" s="33">
        <f t="shared" ca="1" si="327"/>
        <v>9076.3553388423497</v>
      </c>
      <c r="X1565" s="33">
        <f t="shared" ca="1" si="328"/>
        <v>8777.8503754433659</v>
      </c>
      <c r="Y1565" s="32">
        <f t="shared" ca="1" si="335"/>
        <v>0</v>
      </c>
    </row>
    <row r="1566" spans="1:25">
      <c r="A1566" s="5">
        <v>40672</v>
      </c>
      <c r="B1566" s="4">
        <v>9001.7999999999993</v>
      </c>
      <c r="C1566" s="4">
        <v>9081.26</v>
      </c>
      <c r="D1566" s="4">
        <v>8984.43</v>
      </c>
      <c r="E1566" s="4">
        <v>9035.48</v>
      </c>
      <c r="F1566" s="4">
        <v>2852600</v>
      </c>
      <c r="G1566" s="8">
        <f t="shared" si="337"/>
        <v>24.569999999999709</v>
      </c>
      <c r="H1566" s="8">
        <f t="shared" si="336"/>
        <v>33.680000000000291</v>
      </c>
      <c r="I1566" s="20">
        <f t="shared" ca="1" si="329"/>
        <v>0</v>
      </c>
      <c r="J1566" s="8">
        <f t="shared" ca="1" si="330"/>
        <v>2</v>
      </c>
      <c r="K1566" s="8">
        <f t="shared" ca="1" si="331"/>
        <v>116.5</v>
      </c>
      <c r="L1566" s="8">
        <f t="shared" ca="1" si="332"/>
        <v>18038.600000000013</v>
      </c>
      <c r="M1566" s="9">
        <f ca="1">AVERAGE(E1566:OFFSET(E1566,-M$5+1,0))</f>
        <v>8992.1530000000002</v>
      </c>
      <c r="N1566" s="9">
        <f ca="1">AVERAGE(E1566:OFFSET(E1566,-N$5+1,0))</f>
        <v>8896.4415000000008</v>
      </c>
      <c r="O1566" s="9">
        <f t="shared" ca="1" si="333"/>
        <v>0</v>
      </c>
      <c r="P1566" s="14">
        <f t="shared" si="338"/>
        <v>0.64676778845393812</v>
      </c>
      <c r="Q1566" s="15">
        <f ca="1">STDEV(P1566:OFFSET(P1566,-$Q$5+1,0))</f>
        <v>0.58951861387370341</v>
      </c>
      <c r="R1566" s="15">
        <f ca="1">STDEV(P1566:OFFSET(P1566,-$R$5+1,0))</f>
        <v>0.98409590230786537</v>
      </c>
      <c r="S1566" s="18">
        <f t="shared" si="325"/>
        <v>96.829999999999927</v>
      </c>
      <c r="T1566" s="18">
        <f t="shared" si="326"/>
        <v>104.03000000000065</v>
      </c>
      <c r="U1566" s="18">
        <f t="shared" si="334"/>
        <v>100.10543387081715</v>
      </c>
      <c r="V1566" s="33">
        <f ca="1">AVERAGE(E1566:OFFSET(E1566,-V$5+1,0))</f>
        <v>8950.0314285714285</v>
      </c>
      <c r="W1566" s="33">
        <f t="shared" ca="1" si="327"/>
        <v>9100.1895793776548</v>
      </c>
      <c r="X1566" s="33">
        <f t="shared" ca="1" si="328"/>
        <v>8799.8732777652021</v>
      </c>
      <c r="Y1566" s="32">
        <f t="shared" ca="1" si="335"/>
        <v>0</v>
      </c>
    </row>
    <row r="1567" spans="1:25">
      <c r="A1567" s="5">
        <v>40673</v>
      </c>
      <c r="B1567" s="4">
        <v>9048.25</v>
      </c>
      <c r="C1567" s="4">
        <v>9055.91</v>
      </c>
      <c r="D1567" s="4">
        <v>9007.93</v>
      </c>
      <c r="E1567" s="4">
        <v>9023.2800000000007</v>
      </c>
      <c r="F1567" s="4">
        <v>2172800</v>
      </c>
      <c r="G1567" s="8">
        <f t="shared" si="337"/>
        <v>12.770000000000437</v>
      </c>
      <c r="H1567" s="8">
        <f t="shared" si="336"/>
        <v>-24.969999999999345</v>
      </c>
      <c r="I1567" s="20">
        <f t="shared" ca="1" si="329"/>
        <v>0</v>
      </c>
      <c r="J1567" s="8">
        <f t="shared" ca="1" si="330"/>
        <v>2</v>
      </c>
      <c r="K1567" s="8">
        <f t="shared" ca="1" si="331"/>
        <v>-24.399999999997817</v>
      </c>
      <c r="L1567" s="8">
        <f t="shared" ca="1" si="332"/>
        <v>18014.200000000015</v>
      </c>
      <c r="M1567" s="9">
        <f ca="1">AVERAGE(E1567:OFFSET(E1567,-M$5+1,0))</f>
        <v>8999.405999999999</v>
      </c>
      <c r="N1567" s="9">
        <f ca="1">AVERAGE(E1567:OFFSET(E1567,-N$5+1,0))</f>
        <v>8903.5920000000006</v>
      </c>
      <c r="O1567" s="9">
        <f t="shared" ca="1" si="333"/>
        <v>0</v>
      </c>
      <c r="P1567" s="14">
        <f t="shared" si="338"/>
        <v>-0.135114502391289</v>
      </c>
      <c r="Q1567" s="15">
        <f ca="1">STDEV(P1567:OFFSET(P1567,-$Q$5+1,0))</f>
        <v>0.5860676795752563</v>
      </c>
      <c r="R1567" s="15">
        <f ca="1">STDEV(P1567:OFFSET(P1567,-$R$5+1,0))</f>
        <v>0.96162545963551527</v>
      </c>
      <c r="S1567" s="18">
        <f t="shared" si="325"/>
        <v>47.979999999999563</v>
      </c>
      <c r="T1567" s="18">
        <f t="shared" si="326"/>
        <v>47.979999999999563</v>
      </c>
      <c r="U1567" s="18">
        <f t="shared" si="334"/>
        <v>93.155376021374806</v>
      </c>
      <c r="V1567" s="33">
        <f ca="1">AVERAGE(E1567:OFFSET(E1567,-V$5+1,0))</f>
        <v>8977.512142857142</v>
      </c>
      <c r="W1567" s="33">
        <f t="shared" ca="1" si="327"/>
        <v>9117.2452068892035</v>
      </c>
      <c r="X1567" s="33">
        <f t="shared" ca="1" si="328"/>
        <v>8837.7790788250804</v>
      </c>
      <c r="Y1567" s="32">
        <f t="shared" ca="1" si="335"/>
        <v>0</v>
      </c>
    </row>
    <row r="1568" spans="1:25">
      <c r="A1568" s="5">
        <v>40674</v>
      </c>
      <c r="B1568" s="4">
        <v>9073.8799999999992</v>
      </c>
      <c r="C1568" s="4">
        <v>9082.01</v>
      </c>
      <c r="D1568" s="4">
        <v>9014.36</v>
      </c>
      <c r="E1568" s="4">
        <v>9020.4</v>
      </c>
      <c r="F1568" s="4">
        <v>2358800</v>
      </c>
      <c r="G1568" s="8">
        <f t="shared" si="337"/>
        <v>50.599999999998545</v>
      </c>
      <c r="H1568" s="8">
        <f t="shared" si="336"/>
        <v>-53.479999999999563</v>
      </c>
      <c r="I1568" s="20">
        <f t="shared" ca="1" si="329"/>
        <v>0</v>
      </c>
      <c r="J1568" s="8">
        <f t="shared" ca="1" si="330"/>
        <v>2</v>
      </c>
      <c r="K1568" s="8">
        <f t="shared" ca="1" si="331"/>
        <v>-5.7600000000020373</v>
      </c>
      <c r="L1568" s="8">
        <f t="shared" ca="1" si="332"/>
        <v>18008.440000000013</v>
      </c>
      <c r="M1568" s="9">
        <f ca="1">AVERAGE(E1568:OFFSET(E1568,-M$5+1,0))</f>
        <v>9006.6319999999996</v>
      </c>
      <c r="N1568" s="9">
        <f ca="1">AVERAGE(E1568:OFFSET(E1568,-N$5+1,0))</f>
        <v>8917.9825000000019</v>
      </c>
      <c r="O1568" s="9">
        <f t="shared" ca="1" si="333"/>
        <v>0</v>
      </c>
      <c r="P1568" s="14">
        <f t="shared" si="338"/>
        <v>-3.1922534920352637E-2</v>
      </c>
      <c r="Q1568" s="15">
        <f ca="1">STDEV(P1568:OFFSET(P1568,-$Q$5+1,0))</f>
        <v>0.58612578974223761</v>
      </c>
      <c r="R1568" s="15">
        <f ca="1">STDEV(P1568:OFFSET(P1568,-$R$5+1,0))</f>
        <v>0.94875530856655055</v>
      </c>
      <c r="S1568" s="18">
        <f t="shared" si="325"/>
        <v>67.649999999999636</v>
      </c>
      <c r="T1568" s="18">
        <f t="shared" si="326"/>
        <v>67.649999999999636</v>
      </c>
      <c r="U1568" s="18">
        <f t="shared" si="334"/>
        <v>89.754659218524793</v>
      </c>
      <c r="V1568" s="33">
        <f ca="1">AVERAGE(E1568:OFFSET(E1568,-V$5+1,0))</f>
        <v>8992.3064285714281</v>
      </c>
      <c r="W1568" s="33">
        <f t="shared" ca="1" si="327"/>
        <v>9126.9384173992148</v>
      </c>
      <c r="X1568" s="33">
        <f t="shared" ca="1" si="328"/>
        <v>8857.6744397436414</v>
      </c>
      <c r="Y1568" s="32">
        <f t="shared" ca="1" si="335"/>
        <v>0</v>
      </c>
    </row>
    <row r="1569" spans="1:25">
      <c r="A1569" s="5">
        <v>40675</v>
      </c>
      <c r="B1569" s="4">
        <v>8977.77</v>
      </c>
      <c r="C1569" s="4">
        <v>9052.98</v>
      </c>
      <c r="D1569" s="4">
        <v>8963.24</v>
      </c>
      <c r="E1569" s="4">
        <v>9033.68</v>
      </c>
      <c r="F1569" s="4">
        <v>2339800</v>
      </c>
      <c r="G1569" s="8">
        <f t="shared" si="337"/>
        <v>-42.6299999999992</v>
      </c>
      <c r="H1569" s="8">
        <f t="shared" si="336"/>
        <v>55.909999999999854</v>
      </c>
      <c r="I1569" s="20">
        <f t="shared" ca="1" si="329"/>
        <v>0</v>
      </c>
      <c r="J1569" s="8">
        <f t="shared" ca="1" si="330"/>
        <v>2</v>
      </c>
      <c r="K1569" s="8">
        <f t="shared" ca="1" si="331"/>
        <v>26.56000000000131</v>
      </c>
      <c r="L1569" s="8">
        <f t="shared" ca="1" si="332"/>
        <v>18035.000000000015</v>
      </c>
      <c r="M1569" s="9">
        <f ca="1">AVERAGE(E1569:OFFSET(E1569,-M$5+1,0))</f>
        <v>9005.0750000000007</v>
      </c>
      <c r="N1569" s="9">
        <f ca="1">AVERAGE(E1569:OFFSET(E1569,-N$5+1,0))</f>
        <v>8930.656500000001</v>
      </c>
      <c r="O1569" s="9">
        <f t="shared" ca="1" si="333"/>
        <v>0</v>
      </c>
      <c r="P1569" s="14">
        <f t="shared" si="338"/>
        <v>0.14711358756684534</v>
      </c>
      <c r="Q1569" s="15">
        <f ca="1">STDEV(P1569:OFFSET(P1569,-$Q$5+1,0))</f>
        <v>0.46100584065294703</v>
      </c>
      <c r="R1569" s="15">
        <f ca="1">STDEV(P1569:OFFSET(P1569,-$R$5+1,0))</f>
        <v>0.9421692617993358</v>
      </c>
      <c r="S1569" s="18">
        <f t="shared" si="325"/>
        <v>89.739999999999782</v>
      </c>
      <c r="T1569" s="18">
        <f t="shared" si="326"/>
        <v>89.739999999999782</v>
      </c>
      <c r="U1569" s="18">
        <f t="shared" si="334"/>
        <v>89.752704656054789</v>
      </c>
      <c r="V1569" s="33">
        <f ca="1">AVERAGE(E1569:OFFSET(E1569,-V$5+1,0))</f>
        <v>8997.7371428571405</v>
      </c>
      <c r="W1569" s="33">
        <f t="shared" ca="1" si="327"/>
        <v>9132.3661998412226</v>
      </c>
      <c r="X1569" s="33">
        <f t="shared" ca="1" si="328"/>
        <v>8863.1080858730584</v>
      </c>
      <c r="Y1569" s="32">
        <f t="shared" ca="1" si="335"/>
        <v>0</v>
      </c>
    </row>
    <row r="1570" spans="1:25">
      <c r="A1570" s="5">
        <v>40676</v>
      </c>
      <c r="B1570" s="4">
        <v>9039.5499999999993</v>
      </c>
      <c r="C1570" s="4">
        <v>9059.4599999999991</v>
      </c>
      <c r="D1570" s="4">
        <v>8986.18</v>
      </c>
      <c r="E1570" s="4">
        <v>9006.61</v>
      </c>
      <c r="F1570" s="4">
        <v>2471800</v>
      </c>
      <c r="G1570" s="8">
        <f t="shared" si="337"/>
        <v>5.8699999999989814</v>
      </c>
      <c r="H1570" s="8">
        <f t="shared" si="336"/>
        <v>-32.93999999999869</v>
      </c>
      <c r="I1570" s="20">
        <f t="shared" ca="1" si="329"/>
        <v>0</v>
      </c>
      <c r="J1570" s="8">
        <f t="shared" ca="1" si="330"/>
        <v>2</v>
      </c>
      <c r="K1570" s="8">
        <f t="shared" ca="1" si="331"/>
        <v>-54.139999999999418</v>
      </c>
      <c r="L1570" s="8">
        <f t="shared" ca="1" si="332"/>
        <v>17980.860000000015</v>
      </c>
      <c r="M1570" s="9">
        <f ca="1">AVERAGE(E1570:OFFSET(E1570,-M$5+1,0))</f>
        <v>9001.6589999999978</v>
      </c>
      <c r="N1570" s="9">
        <f ca="1">AVERAGE(E1570:OFFSET(E1570,-N$5+1,0))</f>
        <v>8940.8505000000005</v>
      </c>
      <c r="O1570" s="9">
        <f t="shared" ca="1" si="333"/>
        <v>0</v>
      </c>
      <c r="P1570" s="14">
        <f t="shared" si="338"/>
        <v>-0.30010626566293808</v>
      </c>
      <c r="Q1570" s="15">
        <f ca="1">STDEV(P1570:OFFSET(P1570,-$Q$5+1,0))</f>
        <v>0.46935491472697094</v>
      </c>
      <c r="R1570" s="15">
        <f ca="1">STDEV(P1570:OFFSET(P1570,-$R$5+1,0))</f>
        <v>0.75045905144173342</v>
      </c>
      <c r="S1570" s="18">
        <f t="shared" si="325"/>
        <v>73.279999999998836</v>
      </c>
      <c r="T1570" s="18">
        <f t="shared" si="326"/>
        <v>73.279999999998836</v>
      </c>
      <c r="U1570" s="18">
        <f t="shared" si="334"/>
        <v>87.556344035247335</v>
      </c>
      <c r="V1570" s="33">
        <f ca="1">AVERAGE(E1570:OFFSET(E1570,-V$5+1,0))</f>
        <v>9000.3928571428569</v>
      </c>
      <c r="W1570" s="33">
        <f t="shared" ca="1" si="327"/>
        <v>9131.7273731957284</v>
      </c>
      <c r="X1570" s="33">
        <f t="shared" ca="1" si="328"/>
        <v>8869.0583410899853</v>
      </c>
      <c r="Y1570" s="32">
        <f t="shared" ca="1" si="335"/>
        <v>0</v>
      </c>
    </row>
    <row r="1571" spans="1:25">
      <c r="A1571" s="5">
        <v>40679</v>
      </c>
      <c r="B1571" s="4">
        <v>8996.7000000000007</v>
      </c>
      <c r="C1571" s="4">
        <v>8996.7000000000007</v>
      </c>
      <c r="D1571" s="4">
        <v>8911.7099999999991</v>
      </c>
      <c r="E1571" s="4">
        <v>8911.7099999999991</v>
      </c>
      <c r="F1571" s="4">
        <v>1993800</v>
      </c>
      <c r="G1571" s="8">
        <f t="shared" si="337"/>
        <v>-9.9099999999998545</v>
      </c>
      <c r="H1571" s="8">
        <f t="shared" si="336"/>
        <v>-84.990000000001601</v>
      </c>
      <c r="I1571" s="20">
        <f t="shared" ca="1" si="329"/>
        <v>0</v>
      </c>
      <c r="J1571" s="8">
        <f t="shared" ca="1" si="330"/>
        <v>2</v>
      </c>
      <c r="K1571" s="8">
        <f t="shared" ca="1" si="331"/>
        <v>-189.80000000000291</v>
      </c>
      <c r="L1571" s="8">
        <f t="shared" ca="1" si="332"/>
        <v>17791.060000000012</v>
      </c>
      <c r="M1571" s="9">
        <f ca="1">AVERAGE(E1571:OFFSET(E1571,-M$5+1,0))</f>
        <v>8992.0429999999997</v>
      </c>
      <c r="N1571" s="9">
        <f ca="1">AVERAGE(E1571:OFFSET(E1571,-N$5+1,0))</f>
        <v>8950.5300000000007</v>
      </c>
      <c r="O1571" s="9">
        <f t="shared" ca="1" si="333"/>
        <v>0</v>
      </c>
      <c r="P1571" s="14">
        <f t="shared" si="338"/>
        <v>-1.0592609947820537</v>
      </c>
      <c r="Q1571" s="15">
        <f ca="1">STDEV(P1571:OFFSET(P1571,-$Q$5+1,0))</f>
        <v>0.56479224665857963</v>
      </c>
      <c r="R1571" s="15">
        <f ca="1">STDEV(P1571:OFFSET(P1571,-$R$5+1,0))</f>
        <v>0.7638551462444737</v>
      </c>
      <c r="S1571" s="18">
        <f t="shared" si="325"/>
        <v>84.990000000001601</v>
      </c>
      <c r="T1571" s="18">
        <f t="shared" si="326"/>
        <v>94.900000000001455</v>
      </c>
      <c r="U1571" s="18">
        <f t="shared" si="334"/>
        <v>88.535498163881215</v>
      </c>
      <c r="V1571" s="33">
        <f ca="1">AVERAGE(E1571:OFFSET(E1571,-V$5+1,0))</f>
        <v>8997.6042857142857</v>
      </c>
      <c r="W1571" s="33">
        <f t="shared" ca="1" si="327"/>
        <v>9130.4075329601073</v>
      </c>
      <c r="X1571" s="33">
        <f t="shared" ca="1" si="328"/>
        <v>8864.801038468464</v>
      </c>
      <c r="Y1571" s="32">
        <f t="shared" ca="1" si="335"/>
        <v>0</v>
      </c>
    </row>
    <row r="1572" spans="1:25">
      <c r="A1572" s="5">
        <v>40680</v>
      </c>
      <c r="B1572" s="4">
        <v>8917.25</v>
      </c>
      <c r="C1572" s="4">
        <v>8928.99</v>
      </c>
      <c r="D1572" s="4">
        <v>8854.14</v>
      </c>
      <c r="E1572" s="4">
        <v>8884.09</v>
      </c>
      <c r="F1572" s="4">
        <v>2180000</v>
      </c>
      <c r="G1572" s="8">
        <f t="shared" si="337"/>
        <v>5.5400000000008731</v>
      </c>
      <c r="H1572" s="8">
        <f t="shared" si="336"/>
        <v>-33.159999999999854</v>
      </c>
      <c r="I1572" s="20">
        <f t="shared" ca="1" si="329"/>
        <v>0</v>
      </c>
      <c r="J1572" s="8">
        <f t="shared" ca="1" si="330"/>
        <v>2</v>
      </c>
      <c r="K1572" s="8">
        <f t="shared" ca="1" si="331"/>
        <v>-55.239999999997963</v>
      </c>
      <c r="L1572" s="8">
        <f t="shared" ca="1" si="332"/>
        <v>17735.820000000014</v>
      </c>
      <c r="M1572" s="9">
        <f ca="1">AVERAGE(E1572:OFFSET(E1572,-M$5+1,0))</f>
        <v>8985.844000000001</v>
      </c>
      <c r="N1572" s="9">
        <f ca="1">AVERAGE(E1572:OFFSET(E1572,-N$5+1,0))</f>
        <v>8959.0104999999985</v>
      </c>
      <c r="O1572" s="9">
        <f t="shared" ca="1" si="333"/>
        <v>0</v>
      </c>
      <c r="P1572" s="14">
        <f t="shared" si="338"/>
        <v>-0.31041057078233186</v>
      </c>
      <c r="Q1572" s="15">
        <f ca="1">STDEV(P1572:OFFSET(P1572,-$Q$5+1,0))</f>
        <v>0.53336671695657434</v>
      </c>
      <c r="R1572" s="15">
        <f ca="1">STDEV(P1572:OFFSET(P1572,-$R$5+1,0))</f>
        <v>0.76006569585069039</v>
      </c>
      <c r="S1572" s="18">
        <f t="shared" si="325"/>
        <v>74.850000000000364</v>
      </c>
      <c r="T1572" s="18">
        <f t="shared" si="326"/>
        <v>74.850000000000364</v>
      </c>
      <c r="U1572" s="18">
        <f t="shared" si="334"/>
        <v>86.710765075363767</v>
      </c>
      <c r="V1572" s="33">
        <f ca="1">AVERAGE(E1572:OFFSET(E1572,-V$5+1,0))</f>
        <v>8993.0292857142867</v>
      </c>
      <c r="W1572" s="33">
        <f t="shared" ca="1" si="327"/>
        <v>9123.095433327333</v>
      </c>
      <c r="X1572" s="33">
        <f t="shared" ca="1" si="328"/>
        <v>8862.9631381012405</v>
      </c>
      <c r="Y1572" s="32">
        <f t="shared" ca="1" si="335"/>
        <v>0</v>
      </c>
    </row>
    <row r="1573" spans="1:25">
      <c r="A1573" s="5">
        <v>40681</v>
      </c>
      <c r="B1573" s="4">
        <v>8885.4</v>
      </c>
      <c r="C1573" s="4">
        <v>8946.99</v>
      </c>
      <c r="D1573" s="4">
        <v>8885.4</v>
      </c>
      <c r="E1573" s="4">
        <v>8944.84</v>
      </c>
      <c r="F1573" s="4">
        <v>2060600</v>
      </c>
      <c r="G1573" s="8">
        <f t="shared" si="337"/>
        <v>1.3099999999994907</v>
      </c>
      <c r="H1573" s="8">
        <f t="shared" si="336"/>
        <v>59.440000000000509</v>
      </c>
      <c r="I1573" s="20">
        <f t="shared" ca="1" si="329"/>
        <v>0</v>
      </c>
      <c r="J1573" s="8">
        <f t="shared" ca="1" si="330"/>
        <v>2</v>
      </c>
      <c r="K1573" s="8">
        <f t="shared" ca="1" si="331"/>
        <v>121.5</v>
      </c>
      <c r="L1573" s="8">
        <f t="shared" ca="1" si="332"/>
        <v>17857.320000000014</v>
      </c>
      <c r="M1573" s="9">
        <f ca="1">AVERAGE(E1573:OFFSET(E1573,-M$5+1,0))</f>
        <v>8985.5929999999989</v>
      </c>
      <c r="N1573" s="9">
        <f ca="1">AVERAGE(E1573:OFFSET(E1573,-N$5+1,0))</f>
        <v>8974.3249999999989</v>
      </c>
      <c r="O1573" s="9">
        <f t="shared" ca="1" si="333"/>
        <v>0</v>
      </c>
      <c r="P1573" s="14">
        <f t="shared" si="338"/>
        <v>0.68147931602665557</v>
      </c>
      <c r="Q1573" s="15">
        <f ca="1">STDEV(P1573:OFFSET(P1573,-$Q$5+1,0))</f>
        <v>0.58431386670653418</v>
      </c>
      <c r="R1573" s="15">
        <f ca="1">STDEV(P1573:OFFSET(P1573,-$R$5+1,0))</f>
        <v>0.74092627806404765</v>
      </c>
      <c r="S1573" s="18">
        <f t="shared" si="325"/>
        <v>61.590000000000146</v>
      </c>
      <c r="T1573" s="18">
        <f t="shared" si="326"/>
        <v>62.899999999999636</v>
      </c>
      <c r="U1573" s="18">
        <f t="shared" si="334"/>
        <v>83.53599639864855</v>
      </c>
      <c r="V1573" s="33">
        <f ca="1">AVERAGE(E1573:OFFSET(E1573,-V$5+1,0))</f>
        <v>8985.5714285714294</v>
      </c>
      <c r="W1573" s="33">
        <f t="shared" ca="1" si="327"/>
        <v>9110.875423169402</v>
      </c>
      <c r="X1573" s="33">
        <f t="shared" ca="1" si="328"/>
        <v>8860.2674339734567</v>
      </c>
      <c r="Y1573" s="32">
        <f t="shared" ca="1" si="335"/>
        <v>0</v>
      </c>
    </row>
    <row r="1574" spans="1:25">
      <c r="A1574" s="5">
        <v>40682</v>
      </c>
      <c r="B1574" s="4">
        <v>8952.25</v>
      </c>
      <c r="C1574" s="4">
        <v>9026.18</v>
      </c>
      <c r="D1574" s="4">
        <v>8888.2099999999991</v>
      </c>
      <c r="E1574" s="4">
        <v>8892.8799999999992</v>
      </c>
      <c r="F1574" s="4">
        <v>2573200</v>
      </c>
      <c r="G1574" s="8">
        <f t="shared" si="337"/>
        <v>7.4099999999998545</v>
      </c>
      <c r="H1574" s="8">
        <f t="shared" si="336"/>
        <v>-59.3700000000008</v>
      </c>
      <c r="I1574" s="20">
        <f t="shared" ca="1" si="329"/>
        <v>0</v>
      </c>
      <c r="J1574" s="8">
        <f t="shared" ca="1" si="330"/>
        <v>2</v>
      </c>
      <c r="K1574" s="8">
        <f t="shared" ca="1" si="331"/>
        <v>-103.92000000000189</v>
      </c>
      <c r="L1574" s="8">
        <f t="shared" ca="1" si="332"/>
        <v>17753.400000000012</v>
      </c>
      <c r="M1574" s="9">
        <f ca="1">AVERAGE(E1574:OFFSET(E1574,-M$5+1,0))</f>
        <v>8973.02</v>
      </c>
      <c r="N1574" s="9">
        <f ca="1">AVERAGE(E1574:OFFSET(E1574,-N$5+1,0))</f>
        <v>8978.3050000000003</v>
      </c>
      <c r="O1574" s="9">
        <f t="shared" ca="1" si="333"/>
        <v>-1</v>
      </c>
      <c r="P1574" s="14">
        <f t="shared" si="338"/>
        <v>-0.58258731456231405</v>
      </c>
      <c r="Q1574" s="15">
        <f ca="1">STDEV(P1574:OFFSET(P1574,-$Q$5+1,0))</f>
        <v>0.53602378832918218</v>
      </c>
      <c r="R1574" s="15">
        <f ca="1">STDEV(P1574:OFFSET(P1574,-$R$5+1,0))</f>
        <v>0.74088570578562707</v>
      </c>
      <c r="S1574" s="18">
        <f t="shared" si="325"/>
        <v>137.97000000000116</v>
      </c>
      <c r="T1574" s="18">
        <f t="shared" si="326"/>
        <v>137.97000000000116</v>
      </c>
      <c r="U1574" s="18">
        <f t="shared" si="334"/>
        <v>90.793863545495569</v>
      </c>
      <c r="V1574" s="33">
        <f ca="1">AVERAGE(E1574:OFFSET(E1574,-V$5+1,0))</f>
        <v>8975.0078571428567</v>
      </c>
      <c r="W1574" s="33">
        <f t="shared" ca="1" si="327"/>
        <v>9111.1986524611002</v>
      </c>
      <c r="X1574" s="33">
        <f t="shared" ca="1" si="328"/>
        <v>8838.8170618246131</v>
      </c>
      <c r="Y1574" s="32">
        <f t="shared" ca="1" si="335"/>
        <v>0</v>
      </c>
    </row>
    <row r="1575" spans="1:25">
      <c r="A1575" s="5">
        <v>40683</v>
      </c>
      <c r="B1575" s="4">
        <v>8944.3799999999992</v>
      </c>
      <c r="C1575" s="4">
        <v>8944.3799999999992</v>
      </c>
      <c r="D1575" s="4">
        <v>8822.75</v>
      </c>
      <c r="E1575" s="4">
        <v>8837.0300000000007</v>
      </c>
      <c r="F1575" s="4">
        <v>2277600</v>
      </c>
      <c r="G1575" s="8">
        <f t="shared" si="337"/>
        <v>51.5</v>
      </c>
      <c r="H1575" s="8">
        <f t="shared" si="336"/>
        <v>-107.34999999999854</v>
      </c>
      <c r="I1575" s="20">
        <f t="shared" ca="1" si="329"/>
        <v>0</v>
      </c>
      <c r="J1575" s="8">
        <f t="shared" ca="1" si="330"/>
        <v>2</v>
      </c>
      <c r="K1575" s="8">
        <f t="shared" ca="1" si="331"/>
        <v>-111.69999999999709</v>
      </c>
      <c r="L1575" s="8">
        <f t="shared" ca="1" si="332"/>
        <v>17641.700000000015</v>
      </c>
      <c r="M1575" s="9">
        <f ca="1">AVERAGE(E1575:OFFSET(E1575,-M$5+1,0))</f>
        <v>8959</v>
      </c>
      <c r="N1575" s="9">
        <f ca="1">AVERAGE(E1575:OFFSET(E1575,-N$5+1,0))</f>
        <v>8972.2739999999994</v>
      </c>
      <c r="O1575" s="9">
        <f t="shared" ca="1" si="333"/>
        <v>0</v>
      </c>
      <c r="P1575" s="14">
        <f t="shared" si="338"/>
        <v>-0.63001092199741648</v>
      </c>
      <c r="Q1575" s="15">
        <f ca="1">STDEV(P1575:OFFSET(P1575,-$Q$5+1,0))</f>
        <v>0.54981309998385208</v>
      </c>
      <c r="R1575" s="15">
        <f ca="1">STDEV(P1575:OFFSET(P1575,-$R$5+1,0))</f>
        <v>0.7479695537434814</v>
      </c>
      <c r="S1575" s="18">
        <f t="shared" si="325"/>
        <v>121.6299999999992</v>
      </c>
      <c r="T1575" s="18">
        <f t="shared" si="326"/>
        <v>121.6299999999992</v>
      </c>
      <c r="U1575" s="18">
        <f t="shared" si="334"/>
        <v>94.905348406096053</v>
      </c>
      <c r="V1575" s="33">
        <f ca="1">AVERAGE(E1575:OFFSET(E1575,-V$5+1,0))</f>
        <v>8962.8049999999985</v>
      </c>
      <c r="W1575" s="33">
        <f t="shared" ca="1" si="327"/>
        <v>9105.163022609142</v>
      </c>
      <c r="X1575" s="33">
        <f t="shared" ca="1" si="328"/>
        <v>8820.446977390855</v>
      </c>
      <c r="Y1575" s="32">
        <f t="shared" ca="1" si="335"/>
        <v>0</v>
      </c>
    </row>
    <row r="1576" spans="1:25">
      <c r="A1576" s="5">
        <v>40686</v>
      </c>
      <c r="B1576" s="4">
        <v>8767.2999999999993</v>
      </c>
      <c r="C1576" s="4">
        <v>8776.4599999999991</v>
      </c>
      <c r="D1576" s="4">
        <v>8695.34</v>
      </c>
      <c r="E1576" s="4">
        <v>8747.51</v>
      </c>
      <c r="F1576" s="4">
        <v>2123800</v>
      </c>
      <c r="G1576" s="8">
        <f t="shared" si="337"/>
        <v>-69.730000000001382</v>
      </c>
      <c r="H1576" s="8">
        <f t="shared" si="336"/>
        <v>-19.789999999999054</v>
      </c>
      <c r="I1576" s="20">
        <f t="shared" ca="1" si="329"/>
        <v>-1</v>
      </c>
      <c r="J1576" s="8">
        <f t="shared" ca="1" si="330"/>
        <v>2</v>
      </c>
      <c r="K1576" s="8">
        <f t="shared" ca="1" si="331"/>
        <v>-179.04000000000087</v>
      </c>
      <c r="L1576" s="8">
        <f t="shared" ca="1" si="332"/>
        <v>17462.660000000014</v>
      </c>
      <c r="M1576" s="9">
        <f ca="1">AVERAGE(E1576:OFFSET(E1576,-M$5+1,0))</f>
        <v>8930.2029999999995</v>
      </c>
      <c r="N1576" s="9">
        <f ca="1">AVERAGE(E1576:OFFSET(E1576,-N$5+1,0))</f>
        <v>8961.1779999999999</v>
      </c>
      <c r="O1576" s="9">
        <f t="shared" ca="1" si="333"/>
        <v>0</v>
      </c>
      <c r="P1576" s="14">
        <f t="shared" si="338"/>
        <v>-1.0181758904531348</v>
      </c>
      <c r="Q1576" s="15">
        <f ca="1">STDEV(P1576:OFFSET(P1576,-$Q$5+1,0))</f>
        <v>0.53100304534324783</v>
      </c>
      <c r="R1576" s="15">
        <f ca="1">STDEV(P1576:OFFSET(P1576,-$R$5+1,0))</f>
        <v>0.76610321365906819</v>
      </c>
      <c r="S1576" s="18">
        <f t="shared" si="325"/>
        <v>81.119999999998981</v>
      </c>
      <c r="T1576" s="18">
        <f t="shared" si="326"/>
        <v>141.69000000000051</v>
      </c>
      <c r="U1576" s="18">
        <f t="shared" si="334"/>
        <v>101.14330195194998</v>
      </c>
      <c r="V1576" s="33">
        <f ca="1">AVERAGE(E1576:OFFSET(E1576,-V$5+1,0))</f>
        <v>8948.6214285714286</v>
      </c>
      <c r="W1576" s="33">
        <f t="shared" ca="1" si="327"/>
        <v>9100.3363814993536</v>
      </c>
      <c r="X1576" s="33">
        <f t="shared" ca="1" si="328"/>
        <v>8796.9064756435037</v>
      </c>
      <c r="Y1576" s="32">
        <f t="shared" ca="1" si="335"/>
        <v>-1</v>
      </c>
    </row>
    <row r="1577" spans="1:25">
      <c r="A1577" s="5">
        <v>40687</v>
      </c>
      <c r="B1577" s="4">
        <v>8730.23</v>
      </c>
      <c r="C1577" s="4">
        <v>8756.9</v>
      </c>
      <c r="D1577" s="4">
        <v>8673.3799999999992</v>
      </c>
      <c r="E1577" s="4">
        <v>8756.61</v>
      </c>
      <c r="F1577" s="4">
        <v>2153400</v>
      </c>
      <c r="G1577" s="8">
        <f t="shared" si="337"/>
        <v>-17.280000000000655</v>
      </c>
      <c r="H1577" s="8">
        <f t="shared" si="336"/>
        <v>26.380000000001019</v>
      </c>
      <c r="I1577" s="20">
        <f t="shared" ca="1" si="329"/>
        <v>0</v>
      </c>
      <c r="J1577" s="8">
        <f t="shared" ca="1" si="330"/>
        <v>1</v>
      </c>
      <c r="K1577" s="8">
        <f t="shared" ca="1" si="331"/>
        <v>-8.180000000000291</v>
      </c>
      <c r="L1577" s="8">
        <f t="shared" ca="1" si="332"/>
        <v>17454.480000000014</v>
      </c>
      <c r="M1577" s="9">
        <f ca="1">AVERAGE(E1577:OFFSET(E1577,-M$5+1,0))</f>
        <v>8903.5360000000001</v>
      </c>
      <c r="N1577" s="9">
        <f ca="1">AVERAGE(E1577:OFFSET(E1577,-N$5+1,0))</f>
        <v>8951.4709999999995</v>
      </c>
      <c r="O1577" s="9">
        <f t="shared" ca="1" si="333"/>
        <v>0</v>
      </c>
      <c r="P1577" s="14">
        <f t="shared" si="338"/>
        <v>0.10397553055883504</v>
      </c>
      <c r="Q1577" s="15">
        <f ca="1">STDEV(P1577:OFFSET(P1577,-$Q$5+1,0))</f>
        <v>0.54562899704606915</v>
      </c>
      <c r="R1577" s="15">
        <f ca="1">STDEV(P1577:OFFSET(P1577,-$R$5+1,0))</f>
        <v>0.76452690527273859</v>
      </c>
      <c r="S1577" s="18">
        <f t="shared" si="325"/>
        <v>83.520000000000437</v>
      </c>
      <c r="T1577" s="18">
        <f t="shared" si="326"/>
        <v>83.520000000000437</v>
      </c>
      <c r="U1577" s="18">
        <f t="shared" si="334"/>
        <v>98.79352835835671</v>
      </c>
      <c r="V1577" s="33">
        <f ca="1">AVERAGE(E1577:OFFSET(E1577,-V$5+1,0))</f>
        <v>8934.9971428571425</v>
      </c>
      <c r="W1577" s="33">
        <f t="shared" ca="1" si="327"/>
        <v>9083.1874353946769</v>
      </c>
      <c r="X1577" s="33">
        <f t="shared" ca="1" si="328"/>
        <v>8786.8068503196082</v>
      </c>
      <c r="Y1577" s="32">
        <f t="shared" ca="1" si="335"/>
        <v>0</v>
      </c>
    </row>
    <row r="1578" spans="1:25">
      <c r="A1578" s="5">
        <v>40688</v>
      </c>
      <c r="B1578" s="4">
        <v>8732.2999999999993</v>
      </c>
      <c r="C1578" s="4">
        <v>8763.64</v>
      </c>
      <c r="D1578" s="4">
        <v>8682.49</v>
      </c>
      <c r="E1578" s="4">
        <v>8727.09</v>
      </c>
      <c r="F1578" s="4">
        <v>2107400</v>
      </c>
      <c r="G1578" s="8">
        <f t="shared" si="337"/>
        <v>-24.31000000000131</v>
      </c>
      <c r="H1578" s="8">
        <f t="shared" si="336"/>
        <v>-5.2099999999991269</v>
      </c>
      <c r="I1578" s="20">
        <f t="shared" ca="1" si="329"/>
        <v>0</v>
      </c>
      <c r="J1578" s="8">
        <f t="shared" ca="1" si="330"/>
        <v>1</v>
      </c>
      <c r="K1578" s="8">
        <f t="shared" ca="1" si="331"/>
        <v>-29.520000000000437</v>
      </c>
      <c r="L1578" s="8">
        <f t="shared" ca="1" si="332"/>
        <v>17424.960000000014</v>
      </c>
      <c r="M1578" s="9">
        <f ca="1">AVERAGE(E1578:OFFSET(E1578,-M$5+1,0))</f>
        <v>8874.2049999999981</v>
      </c>
      <c r="N1578" s="9">
        <f ca="1">AVERAGE(E1578:OFFSET(E1578,-N$5+1,0))</f>
        <v>8940.4185000000016</v>
      </c>
      <c r="O1578" s="9">
        <f t="shared" ca="1" si="333"/>
        <v>0</v>
      </c>
      <c r="P1578" s="14">
        <f t="shared" si="338"/>
        <v>-0.3376862798134625</v>
      </c>
      <c r="Q1578" s="15">
        <f ca="1">STDEV(P1578:OFFSET(P1578,-$Q$5+1,0))</f>
        <v>0.53744357307337931</v>
      </c>
      <c r="R1578" s="15">
        <f ca="1">STDEV(P1578:OFFSET(P1578,-$R$5+1,0))</f>
        <v>0.76486854554617711</v>
      </c>
      <c r="S1578" s="18">
        <f t="shared" si="325"/>
        <v>81.149999999999636</v>
      </c>
      <c r="T1578" s="18">
        <f t="shared" si="326"/>
        <v>81.149999999999636</v>
      </c>
      <c r="U1578" s="18">
        <f t="shared" si="334"/>
        <v>96.441057910575765</v>
      </c>
      <c r="V1578" s="33">
        <f ca="1">AVERAGE(E1578:OFFSET(E1578,-V$5+1,0))</f>
        <v>8914.1742857142854</v>
      </c>
      <c r="W1578" s="33">
        <f t="shared" ca="1" si="327"/>
        <v>9058.8358725801481</v>
      </c>
      <c r="X1578" s="33">
        <f t="shared" ca="1" si="328"/>
        <v>8769.5126988484226</v>
      </c>
      <c r="Y1578" s="32">
        <f t="shared" ca="1" si="335"/>
        <v>0</v>
      </c>
    </row>
    <row r="1579" spans="1:25">
      <c r="A1579" s="5">
        <v>40689</v>
      </c>
      <c r="B1579" s="4">
        <v>8797.2900000000009</v>
      </c>
      <c r="C1579" s="4">
        <v>8807.08</v>
      </c>
      <c r="D1579" s="4">
        <v>8751.52</v>
      </c>
      <c r="E1579" s="4">
        <v>8788.4</v>
      </c>
      <c r="F1579" s="4">
        <v>1908000</v>
      </c>
      <c r="G1579" s="8">
        <f t="shared" si="337"/>
        <v>70.200000000000728</v>
      </c>
      <c r="H1579" s="8">
        <f t="shared" si="336"/>
        <v>-8.8900000000012369</v>
      </c>
      <c r="I1579" s="20">
        <f t="shared" ca="1" si="329"/>
        <v>0</v>
      </c>
      <c r="J1579" s="8">
        <f t="shared" ca="1" si="330"/>
        <v>1</v>
      </c>
      <c r="K1579" s="8">
        <f t="shared" ca="1" si="331"/>
        <v>61.309999999999491</v>
      </c>
      <c r="L1579" s="8">
        <f t="shared" ca="1" si="332"/>
        <v>17486.270000000011</v>
      </c>
      <c r="M1579" s="9">
        <f ca="1">AVERAGE(E1579:OFFSET(E1579,-M$5+1,0))</f>
        <v>8849.6769999999997</v>
      </c>
      <c r="N1579" s="9">
        <f ca="1">AVERAGE(E1579:OFFSET(E1579,-N$5+1,0))</f>
        <v>8927.3760000000002</v>
      </c>
      <c r="O1579" s="9">
        <f t="shared" ca="1" si="333"/>
        <v>0</v>
      </c>
      <c r="P1579" s="14">
        <f t="shared" si="338"/>
        <v>0.70006891498048385</v>
      </c>
      <c r="Q1579" s="15">
        <f ca="1">STDEV(P1579:OFFSET(P1579,-$Q$5+1,0))</f>
        <v>0.61491336449870959</v>
      </c>
      <c r="R1579" s="15">
        <f ca="1">STDEV(P1579:OFFSET(P1579,-$R$5+1,0))</f>
        <v>0.76327320023469447</v>
      </c>
      <c r="S1579" s="18">
        <f t="shared" si="325"/>
        <v>55.559999999999491</v>
      </c>
      <c r="T1579" s="18">
        <f t="shared" si="326"/>
        <v>79.989999999999782</v>
      </c>
      <c r="U1579" s="18">
        <f t="shared" si="334"/>
        <v>94.247583522498971</v>
      </c>
      <c r="V1579" s="33">
        <f ca="1">AVERAGE(E1579:OFFSET(E1579,-V$5+1,0))</f>
        <v>8900.6864285714273</v>
      </c>
      <c r="W1579" s="33">
        <f t="shared" ca="1" si="327"/>
        <v>9042.0578038551757</v>
      </c>
      <c r="X1579" s="33">
        <f t="shared" ca="1" si="328"/>
        <v>8759.3150532876789</v>
      </c>
      <c r="Y1579" s="32">
        <f t="shared" ca="1" si="335"/>
        <v>0</v>
      </c>
    </row>
    <row r="1580" spans="1:25">
      <c r="A1580" s="5">
        <v>40690</v>
      </c>
      <c r="B1580" s="4">
        <v>8806.2900000000009</v>
      </c>
      <c r="C1580" s="4">
        <v>8860.0300000000007</v>
      </c>
      <c r="D1580" s="4">
        <v>8803.59</v>
      </c>
      <c r="E1580" s="4">
        <v>8810</v>
      </c>
      <c r="F1580" s="4">
        <v>2083800</v>
      </c>
      <c r="G1580" s="8">
        <f t="shared" si="337"/>
        <v>17.890000000001237</v>
      </c>
      <c r="H1580" s="8">
        <f t="shared" si="336"/>
        <v>3.7099999999991269</v>
      </c>
      <c r="I1580" s="20">
        <f t="shared" ca="1" si="329"/>
        <v>0</v>
      </c>
      <c r="J1580" s="8">
        <f t="shared" ca="1" si="330"/>
        <v>1</v>
      </c>
      <c r="K1580" s="8">
        <f t="shared" ca="1" si="331"/>
        <v>21.600000000000364</v>
      </c>
      <c r="L1580" s="8">
        <f t="shared" ca="1" si="332"/>
        <v>17507.87000000001</v>
      </c>
      <c r="M1580" s="9">
        <f ca="1">AVERAGE(E1580:OFFSET(E1580,-M$5+1,0))</f>
        <v>8830.0159999999996</v>
      </c>
      <c r="N1580" s="9">
        <f ca="1">AVERAGE(E1580:OFFSET(E1580,-N$5+1,0))</f>
        <v>8915.8374999999996</v>
      </c>
      <c r="O1580" s="9">
        <f t="shared" ca="1" si="333"/>
        <v>0</v>
      </c>
      <c r="P1580" s="14">
        <f t="shared" si="338"/>
        <v>0.24547698480099694</v>
      </c>
      <c r="Q1580" s="15">
        <f ca="1">STDEV(P1580:OFFSET(P1580,-$Q$5+1,0))</f>
        <v>0.63629675693260157</v>
      </c>
      <c r="R1580" s="15">
        <f ca="1">STDEV(P1580:OFFSET(P1580,-$R$5+1,0))</f>
        <v>0.76052401702447525</v>
      </c>
      <c r="S1580" s="18">
        <f t="shared" si="325"/>
        <v>56.440000000000509</v>
      </c>
      <c r="T1580" s="18">
        <f t="shared" si="326"/>
        <v>71.630000000001019</v>
      </c>
      <c r="U1580" s="18">
        <f t="shared" si="334"/>
        <v>91.231905719499238</v>
      </c>
      <c r="V1580" s="33">
        <f ca="1">AVERAGE(E1580:OFFSET(E1580,-V$5+1,0))</f>
        <v>8884.5807142857138</v>
      </c>
      <c r="W1580" s="33">
        <f t="shared" ca="1" si="327"/>
        <v>9021.4285728649629</v>
      </c>
      <c r="X1580" s="33">
        <f t="shared" ca="1" si="328"/>
        <v>8747.7328557064648</v>
      </c>
      <c r="Y1580" s="32">
        <f t="shared" ca="1" si="335"/>
        <v>0</v>
      </c>
    </row>
    <row r="1581" spans="1:25">
      <c r="A1581" s="5">
        <v>40693</v>
      </c>
      <c r="B1581" s="4">
        <v>8757.66</v>
      </c>
      <c r="C1581" s="4">
        <v>8844.0300000000007</v>
      </c>
      <c r="D1581" s="4">
        <v>8748.1299999999992</v>
      </c>
      <c r="E1581" s="4">
        <v>8823.68</v>
      </c>
      <c r="F1581" s="4">
        <v>1871400</v>
      </c>
      <c r="G1581" s="8">
        <f t="shared" si="337"/>
        <v>-52.340000000000146</v>
      </c>
      <c r="H1581" s="8">
        <f t="shared" si="336"/>
        <v>66.020000000000437</v>
      </c>
      <c r="I1581" s="20">
        <f t="shared" ca="1" si="329"/>
        <v>0</v>
      </c>
      <c r="J1581" s="8">
        <f t="shared" ca="1" si="330"/>
        <v>1</v>
      </c>
      <c r="K1581" s="8">
        <f t="shared" ca="1" si="331"/>
        <v>13.680000000000291</v>
      </c>
      <c r="L1581" s="8">
        <f t="shared" ca="1" si="332"/>
        <v>17521.55000000001</v>
      </c>
      <c r="M1581" s="9">
        <f ca="1">AVERAGE(E1581:OFFSET(E1581,-M$5+1,0))</f>
        <v>8821.2129999999997</v>
      </c>
      <c r="N1581" s="9">
        <f ca="1">AVERAGE(E1581:OFFSET(E1581,-N$5+1,0))</f>
        <v>8906.6280000000006</v>
      </c>
      <c r="O1581" s="9">
        <f t="shared" ca="1" si="333"/>
        <v>0</v>
      </c>
      <c r="P1581" s="14">
        <f t="shared" si="338"/>
        <v>0.15515766129842981</v>
      </c>
      <c r="Q1581" s="15">
        <f ca="1">STDEV(P1581:OFFSET(P1581,-$Q$5+1,0))</f>
        <v>0.57101246444617226</v>
      </c>
      <c r="R1581" s="15">
        <f ca="1">STDEV(P1581:OFFSET(P1581,-$R$5+1,0))</f>
        <v>0.75610278092772121</v>
      </c>
      <c r="S1581" s="18">
        <f t="shared" si="325"/>
        <v>95.900000000001455</v>
      </c>
      <c r="T1581" s="18">
        <f t="shared" si="326"/>
        <v>95.900000000001455</v>
      </c>
      <c r="U1581" s="18">
        <f t="shared" si="334"/>
        <v>91.854318290232868</v>
      </c>
      <c r="V1581" s="33">
        <f ca="1">AVERAGE(E1581:OFFSET(E1581,-V$5+1,0))</f>
        <v>8870.3235714285711</v>
      </c>
      <c r="W1581" s="33">
        <f t="shared" ca="1" si="327"/>
        <v>9008.1050488639212</v>
      </c>
      <c r="X1581" s="33">
        <f t="shared" ca="1" si="328"/>
        <v>8732.542093993221</v>
      </c>
      <c r="Y1581" s="32">
        <f t="shared" ca="1" si="335"/>
        <v>0</v>
      </c>
    </row>
    <row r="1582" spans="1:25">
      <c r="A1582" s="5">
        <v>40694</v>
      </c>
      <c r="B1582" s="4">
        <v>8860.58</v>
      </c>
      <c r="C1582" s="4">
        <v>9003.6</v>
      </c>
      <c r="D1582" s="4">
        <v>8860.58</v>
      </c>
      <c r="E1582" s="4">
        <v>8988.84</v>
      </c>
      <c r="F1582" s="4">
        <v>2901000</v>
      </c>
      <c r="G1582" s="8">
        <f t="shared" si="337"/>
        <v>36.899999999999636</v>
      </c>
      <c r="H1582" s="8">
        <f t="shared" si="336"/>
        <v>128.26000000000022</v>
      </c>
      <c r="I1582" s="20">
        <f t="shared" ca="1" si="329"/>
        <v>0</v>
      </c>
      <c r="J1582" s="8">
        <f t="shared" ca="1" si="330"/>
        <v>1</v>
      </c>
      <c r="K1582" s="8">
        <f t="shared" ca="1" si="331"/>
        <v>165.15999999999985</v>
      </c>
      <c r="L1582" s="8">
        <f t="shared" ca="1" si="332"/>
        <v>17686.71000000001</v>
      </c>
      <c r="M1582" s="9">
        <f ca="1">AVERAGE(E1582:OFFSET(E1582,-M$5+1,0))</f>
        <v>8831.6880000000001</v>
      </c>
      <c r="N1582" s="9">
        <f ca="1">AVERAGE(E1582:OFFSET(E1582,-N$5+1,0))</f>
        <v>8908.7659999999996</v>
      </c>
      <c r="O1582" s="9">
        <f t="shared" ca="1" si="333"/>
        <v>0</v>
      </c>
      <c r="P1582" s="14">
        <f t="shared" si="338"/>
        <v>1.8544791339014055</v>
      </c>
      <c r="Q1582" s="15">
        <f ca="1">STDEV(P1582:OFFSET(P1582,-$Q$5+1,0))</f>
        <v>0.83255851631046929</v>
      </c>
      <c r="R1582" s="15">
        <f ca="1">STDEV(P1582:OFFSET(P1582,-$R$5+1,0))</f>
        <v>0.80633580947057082</v>
      </c>
      <c r="S1582" s="18">
        <f t="shared" si="325"/>
        <v>143.02000000000044</v>
      </c>
      <c r="T1582" s="18">
        <f t="shared" si="326"/>
        <v>179.92000000000007</v>
      </c>
      <c r="U1582" s="18">
        <f t="shared" si="334"/>
        <v>103.59640918486849</v>
      </c>
      <c r="V1582" s="33">
        <f ca="1">AVERAGE(E1582:OFFSET(E1582,-V$5+1,0))</f>
        <v>8868.069285714284</v>
      </c>
      <c r="W1582" s="33">
        <f t="shared" ca="1" si="327"/>
        <v>9023.4638994915858</v>
      </c>
      <c r="X1582" s="33">
        <f t="shared" ca="1" si="328"/>
        <v>8712.6746719369821</v>
      </c>
      <c r="Y1582" s="32">
        <f t="shared" ca="1" si="335"/>
        <v>0</v>
      </c>
    </row>
    <row r="1583" spans="1:25">
      <c r="A1583" s="5">
        <v>40695</v>
      </c>
      <c r="B1583" s="4">
        <v>8999.84</v>
      </c>
      <c r="C1583" s="4">
        <v>9089.4699999999993</v>
      </c>
      <c r="D1583" s="4">
        <v>8999.84</v>
      </c>
      <c r="E1583" s="4">
        <v>9062.35</v>
      </c>
      <c r="F1583" s="4">
        <v>2648800</v>
      </c>
      <c r="G1583" s="8">
        <f t="shared" si="337"/>
        <v>11</v>
      </c>
      <c r="H1583" s="8">
        <f t="shared" si="336"/>
        <v>62.510000000000218</v>
      </c>
      <c r="I1583" s="20">
        <f t="shared" ca="1" si="329"/>
        <v>1</v>
      </c>
      <c r="J1583" s="8">
        <f t="shared" ca="1" si="330"/>
        <v>1</v>
      </c>
      <c r="K1583" s="8">
        <f t="shared" ca="1" si="331"/>
        <v>73.510000000000218</v>
      </c>
      <c r="L1583" s="8">
        <f t="shared" ca="1" si="332"/>
        <v>17760.220000000008</v>
      </c>
      <c r="M1583" s="9">
        <f ca="1">AVERAGE(E1583:OFFSET(E1583,-M$5+1,0))</f>
        <v>8843.4390000000003</v>
      </c>
      <c r="N1583" s="9">
        <f ca="1">AVERAGE(E1583:OFFSET(E1583,-N$5+1,0))</f>
        <v>8914.5159999999996</v>
      </c>
      <c r="O1583" s="9">
        <f t="shared" ca="1" si="333"/>
        <v>0</v>
      </c>
      <c r="P1583" s="14">
        <f t="shared" si="338"/>
        <v>0.81446604195875227</v>
      </c>
      <c r="Q1583" s="15">
        <f ca="1">STDEV(P1583:OFFSET(P1583,-$Q$5+1,0))</f>
        <v>0.84356246401541812</v>
      </c>
      <c r="R1583" s="15">
        <f ca="1">STDEV(P1583:OFFSET(P1583,-$R$5+1,0))</f>
        <v>0.81416751869484483</v>
      </c>
      <c r="S1583" s="18">
        <f t="shared" si="325"/>
        <v>89.6299999999992</v>
      </c>
      <c r="T1583" s="18">
        <f t="shared" si="326"/>
        <v>100.6299999999992</v>
      </c>
      <c r="U1583" s="18">
        <f t="shared" si="334"/>
        <v>103.20088796021926</v>
      </c>
      <c r="V1583" s="33">
        <f ca="1">AVERAGE(E1583:OFFSET(E1583,-V$5+1,0))</f>
        <v>8870.1171428571415</v>
      </c>
      <c r="W1583" s="33">
        <f t="shared" ca="1" si="327"/>
        <v>9024.9184747974705</v>
      </c>
      <c r="X1583" s="33">
        <f t="shared" ca="1" si="328"/>
        <v>8715.3158109168126</v>
      </c>
      <c r="Y1583" s="32">
        <f t="shared" ca="1" si="335"/>
        <v>1</v>
      </c>
    </row>
    <row r="1584" spans="1:25">
      <c r="A1584" s="5">
        <v>40696</v>
      </c>
      <c r="B1584" s="4">
        <v>8981.7099999999991</v>
      </c>
      <c r="C1584" s="4">
        <v>9036.27</v>
      </c>
      <c r="D1584" s="4">
        <v>8977.67</v>
      </c>
      <c r="E1584" s="4">
        <v>8991.36</v>
      </c>
      <c r="F1584" s="4">
        <v>2220600</v>
      </c>
      <c r="G1584" s="8">
        <f t="shared" si="337"/>
        <v>-80.640000000001237</v>
      </c>
      <c r="H1584" s="8">
        <f t="shared" si="336"/>
        <v>9.6500000000014552</v>
      </c>
      <c r="I1584" s="20">
        <f t="shared" ca="1" si="329"/>
        <v>0</v>
      </c>
      <c r="J1584" s="8">
        <f t="shared" ca="1" si="330"/>
        <v>2</v>
      </c>
      <c r="K1584" s="8">
        <f t="shared" ca="1" si="331"/>
        <v>-61.339999999998327</v>
      </c>
      <c r="L1584" s="8">
        <f t="shared" ca="1" si="332"/>
        <v>17698.880000000012</v>
      </c>
      <c r="M1584" s="9">
        <f ca="1">AVERAGE(E1584:OFFSET(E1584,-M$5+1,0))</f>
        <v>8853.2870000000003</v>
      </c>
      <c r="N1584" s="9">
        <f ca="1">AVERAGE(E1584:OFFSET(E1584,-N$5+1,0))</f>
        <v>8913.1535000000003</v>
      </c>
      <c r="O1584" s="9">
        <f t="shared" ca="1" si="333"/>
        <v>0</v>
      </c>
      <c r="P1584" s="14">
        <f t="shared" si="338"/>
        <v>-0.78643520785790211</v>
      </c>
      <c r="Q1584" s="15">
        <f ca="1">STDEV(P1584:OFFSET(P1584,-$Q$5+1,0))</f>
        <v>0.86490247476246118</v>
      </c>
      <c r="R1584" s="15">
        <f ca="1">STDEV(P1584:OFFSET(P1584,-$R$5+1,0))</f>
        <v>0.78471281714791152</v>
      </c>
      <c r="S1584" s="18">
        <f t="shared" si="325"/>
        <v>58.600000000000364</v>
      </c>
      <c r="T1584" s="18">
        <f t="shared" si="326"/>
        <v>84.680000000000291</v>
      </c>
      <c r="U1584" s="18">
        <f t="shared" si="334"/>
        <v>100.73143623219008</v>
      </c>
      <c r="V1584" s="33">
        <f ca="1">AVERAGE(E1584:OFFSET(E1584,-V$5+1,0))</f>
        <v>8869.0278571428571</v>
      </c>
      <c r="W1584" s="33">
        <f t="shared" ca="1" si="327"/>
        <v>9020.1250114911418</v>
      </c>
      <c r="X1584" s="33">
        <f t="shared" ca="1" si="328"/>
        <v>8717.9307027945724</v>
      </c>
      <c r="Y1584" s="32">
        <f t="shared" ca="1" si="335"/>
        <v>0</v>
      </c>
    </row>
    <row r="1585" spans="1:25">
      <c r="A1585" s="5">
        <v>40697</v>
      </c>
      <c r="B1585" s="4">
        <v>9024.5400000000009</v>
      </c>
      <c r="C1585" s="4">
        <v>9052.18</v>
      </c>
      <c r="D1585" s="4">
        <v>8997.35</v>
      </c>
      <c r="E1585" s="4">
        <v>9046.2800000000007</v>
      </c>
      <c r="F1585" s="4">
        <v>1890800</v>
      </c>
      <c r="G1585" s="8">
        <f t="shared" si="337"/>
        <v>33.180000000000291</v>
      </c>
      <c r="H1585" s="8">
        <f t="shared" si="336"/>
        <v>21.739999999999782</v>
      </c>
      <c r="I1585" s="20">
        <f t="shared" ca="1" si="329"/>
        <v>1</v>
      </c>
      <c r="J1585" s="8">
        <f t="shared" ca="1" si="330"/>
        <v>2</v>
      </c>
      <c r="K1585" s="8">
        <f t="shared" ca="1" si="331"/>
        <v>109.84000000000015</v>
      </c>
      <c r="L1585" s="8">
        <f t="shared" ca="1" si="332"/>
        <v>17808.720000000012</v>
      </c>
      <c r="M1585" s="9">
        <f ca="1">AVERAGE(E1585:OFFSET(E1585,-M$5+1,0))</f>
        <v>8874.2120000000014</v>
      </c>
      <c r="N1585" s="9">
        <f ca="1">AVERAGE(E1585:OFFSET(E1585,-N$5+1,0))</f>
        <v>8916.6059999999979</v>
      </c>
      <c r="O1585" s="9">
        <f t="shared" ca="1" si="333"/>
        <v>0</v>
      </c>
      <c r="P1585" s="14">
        <f t="shared" si="338"/>
        <v>0.60895072428874797</v>
      </c>
      <c r="Q1585" s="15">
        <f ca="1">STDEV(P1585:OFFSET(P1585,-$Q$5+1,0))</f>
        <v>0.83533184327656984</v>
      </c>
      <c r="R1585" s="15">
        <f ca="1">STDEV(P1585:OFFSET(P1585,-$R$5+1,0))</f>
        <v>0.78557805935957836</v>
      </c>
      <c r="S1585" s="18">
        <f t="shared" si="325"/>
        <v>54.829999999999927</v>
      </c>
      <c r="T1585" s="18">
        <f t="shared" si="326"/>
        <v>60.819999999999709</v>
      </c>
      <c r="U1585" s="18">
        <f t="shared" si="334"/>
        <v>95.409911401231369</v>
      </c>
      <c r="V1585" s="33">
        <f ca="1">AVERAGE(E1585:OFFSET(E1585,-V$5+1,0))</f>
        <v>8878.6400000000012</v>
      </c>
      <c r="W1585" s="33">
        <f t="shared" ca="1" si="327"/>
        <v>9021.7548671018485</v>
      </c>
      <c r="X1585" s="33">
        <f t="shared" ca="1" si="328"/>
        <v>8735.525132898154</v>
      </c>
      <c r="Y1585" s="32">
        <f t="shared" ca="1" si="335"/>
        <v>1</v>
      </c>
    </row>
    <row r="1586" spans="1:25">
      <c r="A1586" s="5">
        <v>40701</v>
      </c>
      <c r="B1586" s="4">
        <v>9025.2099999999991</v>
      </c>
      <c r="C1586" s="4">
        <v>9059.19</v>
      </c>
      <c r="D1586" s="4">
        <v>8981.44</v>
      </c>
      <c r="E1586" s="4">
        <v>9057.1</v>
      </c>
      <c r="F1586" s="4">
        <v>1770400</v>
      </c>
      <c r="G1586" s="8">
        <f t="shared" si="337"/>
        <v>-21.070000000001528</v>
      </c>
      <c r="H1586" s="8">
        <f t="shared" si="336"/>
        <v>31.890000000001237</v>
      </c>
      <c r="I1586" s="20">
        <f t="shared" ca="1" si="329"/>
        <v>0</v>
      </c>
      <c r="J1586" s="8">
        <f t="shared" ca="1" si="330"/>
        <v>3</v>
      </c>
      <c r="K1586" s="8">
        <f t="shared" ca="1" si="331"/>
        <v>53.530000000000655</v>
      </c>
      <c r="L1586" s="8">
        <f t="shared" ca="1" si="332"/>
        <v>17862.250000000015</v>
      </c>
      <c r="M1586" s="9">
        <f ca="1">AVERAGE(E1586:OFFSET(E1586,-M$5+1,0))</f>
        <v>8905.1709999999985</v>
      </c>
      <c r="N1586" s="9">
        <f ca="1">AVERAGE(E1586:OFFSET(E1586,-N$5+1,0))</f>
        <v>8917.6869999999999</v>
      </c>
      <c r="O1586" s="9">
        <f t="shared" ca="1" si="333"/>
        <v>0</v>
      </c>
      <c r="P1586" s="14">
        <f t="shared" si="338"/>
        <v>0.11953570314905534</v>
      </c>
      <c r="Q1586" s="15">
        <f ca="1">STDEV(P1586:OFFSET(P1586,-$Q$5+1,0))</f>
        <v>0.71458373852425139</v>
      </c>
      <c r="R1586" s="15">
        <f ca="1">STDEV(P1586:OFFSET(P1586,-$R$5+1,0))</f>
        <v>0.78542542267782389</v>
      </c>
      <c r="S1586" s="18">
        <f t="shared" si="325"/>
        <v>77.75</v>
      </c>
      <c r="T1586" s="18">
        <f t="shared" si="326"/>
        <v>77.75</v>
      </c>
      <c r="U1586" s="18">
        <f t="shared" si="334"/>
        <v>93.055256547733848</v>
      </c>
      <c r="V1586" s="33">
        <f ca="1">AVERAGE(E1586:OFFSET(E1586,-V$5+1,0))</f>
        <v>8890.9978571428583</v>
      </c>
      <c r="W1586" s="33">
        <f t="shared" ca="1" si="327"/>
        <v>9030.5807419644589</v>
      </c>
      <c r="X1586" s="33">
        <f t="shared" ca="1" si="328"/>
        <v>8751.4149723212577</v>
      </c>
      <c r="Y1586" s="32">
        <f t="shared" ca="1" si="335"/>
        <v>0</v>
      </c>
    </row>
    <row r="1587" spans="1:25">
      <c r="A1587" s="5">
        <v>40702</v>
      </c>
      <c r="B1587" s="4">
        <v>9044.85</v>
      </c>
      <c r="C1587" s="4">
        <v>9070.25</v>
      </c>
      <c r="D1587" s="4">
        <v>9007.5300000000007</v>
      </c>
      <c r="E1587" s="4">
        <v>9007.5300000000007</v>
      </c>
      <c r="F1587" s="4">
        <v>1884200</v>
      </c>
      <c r="G1587" s="8">
        <f t="shared" si="337"/>
        <v>-12.25</v>
      </c>
      <c r="H1587" s="8">
        <f t="shared" si="336"/>
        <v>-37.319999999999709</v>
      </c>
      <c r="I1587" s="20">
        <f t="shared" ca="1" si="329"/>
        <v>0</v>
      </c>
      <c r="J1587" s="8">
        <f t="shared" ca="1" si="330"/>
        <v>3</v>
      </c>
      <c r="K1587" s="8">
        <f t="shared" ca="1" si="331"/>
        <v>-148.70999999999913</v>
      </c>
      <c r="L1587" s="8">
        <f t="shared" ca="1" si="332"/>
        <v>17713.540000000015</v>
      </c>
      <c r="M1587" s="9">
        <f ca="1">AVERAGE(E1587:OFFSET(E1587,-M$5+1,0))</f>
        <v>8930.2630000000008</v>
      </c>
      <c r="N1587" s="9">
        <f ca="1">AVERAGE(E1587:OFFSET(E1587,-N$5+1,0))</f>
        <v>8916.8995000000014</v>
      </c>
      <c r="O1587" s="9">
        <f t="shared" ca="1" si="333"/>
        <v>1</v>
      </c>
      <c r="P1587" s="14">
        <f t="shared" si="338"/>
        <v>-0.54880863230395294</v>
      </c>
      <c r="Q1587" s="15">
        <f ca="1">STDEV(P1587:OFFSET(P1587,-$Q$5+1,0))</f>
        <v>0.76721080809352371</v>
      </c>
      <c r="R1587" s="15">
        <f ca="1">STDEV(P1587:OFFSET(P1587,-$R$5+1,0))</f>
        <v>0.79041745780502848</v>
      </c>
      <c r="S1587" s="18">
        <f t="shared" si="325"/>
        <v>62.719999999999345</v>
      </c>
      <c r="T1587" s="18">
        <f t="shared" si="326"/>
        <v>62.719999999999345</v>
      </c>
      <c r="U1587" s="18">
        <f t="shared" si="334"/>
        <v>89.010555674702587</v>
      </c>
      <c r="V1587" s="33">
        <f ca="1">AVERAGE(E1587:OFFSET(E1587,-V$5+1,0))</f>
        <v>8895.4757142857143</v>
      </c>
      <c r="W1587" s="33">
        <f t="shared" ca="1" si="327"/>
        <v>9028.9915477977684</v>
      </c>
      <c r="X1587" s="33">
        <f t="shared" ca="1" si="328"/>
        <v>8761.9598807736602</v>
      </c>
      <c r="Y1587" s="32">
        <f t="shared" ca="1" si="335"/>
        <v>0</v>
      </c>
    </row>
    <row r="1588" spans="1:25">
      <c r="A1588" s="5">
        <v>40703</v>
      </c>
      <c r="B1588" s="4">
        <v>9020.6</v>
      </c>
      <c r="C1588" s="4">
        <v>9045.44</v>
      </c>
      <c r="D1588" s="4">
        <v>8996.08</v>
      </c>
      <c r="E1588" s="4">
        <v>9000.94</v>
      </c>
      <c r="F1588" s="4">
        <v>1718400</v>
      </c>
      <c r="G1588" s="8">
        <f t="shared" si="337"/>
        <v>13.069999999999709</v>
      </c>
      <c r="H1588" s="8">
        <f t="shared" si="336"/>
        <v>-19.659999999999854</v>
      </c>
      <c r="I1588" s="20">
        <f t="shared" ca="1" si="329"/>
        <v>0</v>
      </c>
      <c r="J1588" s="8">
        <f t="shared" ca="1" si="330"/>
        <v>3</v>
      </c>
      <c r="K1588" s="8">
        <f t="shared" ca="1" si="331"/>
        <v>-19.770000000000437</v>
      </c>
      <c r="L1588" s="8">
        <f t="shared" ca="1" si="332"/>
        <v>17693.770000000015</v>
      </c>
      <c r="M1588" s="9">
        <f ca="1">AVERAGE(E1588:OFFSET(E1588,-M$5+1,0))</f>
        <v>8957.6479999999992</v>
      </c>
      <c r="N1588" s="9">
        <f ca="1">AVERAGE(E1588:OFFSET(E1588,-N$5+1,0))</f>
        <v>8915.9264999999996</v>
      </c>
      <c r="O1588" s="9">
        <f t="shared" ca="1" si="333"/>
        <v>0</v>
      </c>
      <c r="P1588" s="14">
        <f t="shared" si="338"/>
        <v>-7.3187786571077926E-2</v>
      </c>
      <c r="Q1588" s="15">
        <f ca="1">STDEV(P1588:OFFSET(P1588,-$Q$5+1,0))</f>
        <v>0.74776614022974208</v>
      </c>
      <c r="R1588" s="15">
        <f ca="1">STDEV(P1588:OFFSET(P1588,-$R$5+1,0))</f>
        <v>0.74041334112518287</v>
      </c>
      <c r="S1588" s="18">
        <f t="shared" si="325"/>
        <v>49.360000000000582</v>
      </c>
      <c r="T1588" s="18">
        <f t="shared" si="326"/>
        <v>49.360000000000582</v>
      </c>
      <c r="U1588" s="18">
        <f t="shared" si="334"/>
        <v>83.723814918075647</v>
      </c>
      <c r="V1588" s="33">
        <f ca="1">AVERAGE(E1588:OFFSET(E1588,-V$5+1,0))</f>
        <v>8903.1942857142876</v>
      </c>
      <c r="W1588" s="33">
        <f t="shared" ca="1" si="327"/>
        <v>9028.7800080914003</v>
      </c>
      <c r="X1588" s="33">
        <f t="shared" ca="1" si="328"/>
        <v>8777.6085633371749</v>
      </c>
      <c r="Y1588" s="32">
        <f t="shared" ca="1" si="335"/>
        <v>0</v>
      </c>
    </row>
    <row r="1589" spans="1:25">
      <c r="A1589" s="5">
        <v>40704</v>
      </c>
      <c r="B1589" s="4">
        <v>9042.35</v>
      </c>
      <c r="C1589" s="4">
        <v>9053.39</v>
      </c>
      <c r="D1589" s="4">
        <v>8837.82</v>
      </c>
      <c r="E1589" s="4">
        <v>8837.82</v>
      </c>
      <c r="F1589" s="4">
        <v>2192800</v>
      </c>
      <c r="G1589" s="8">
        <f t="shared" si="337"/>
        <v>41.409999999999854</v>
      </c>
      <c r="H1589" s="8">
        <f t="shared" si="336"/>
        <v>-204.53000000000065</v>
      </c>
      <c r="I1589" s="20">
        <f t="shared" ca="1" si="329"/>
        <v>0</v>
      </c>
      <c r="J1589" s="8">
        <f t="shared" ca="1" si="330"/>
        <v>3</v>
      </c>
      <c r="K1589" s="8">
        <f t="shared" ca="1" si="331"/>
        <v>-489.3600000000024</v>
      </c>
      <c r="L1589" s="8">
        <f t="shared" ca="1" si="332"/>
        <v>17204.410000000011</v>
      </c>
      <c r="M1589" s="9">
        <f ca="1">AVERAGE(E1589:OFFSET(E1589,-M$5+1,0))</f>
        <v>8962.59</v>
      </c>
      <c r="N1589" s="9">
        <f ca="1">AVERAGE(E1589:OFFSET(E1589,-N$5+1,0))</f>
        <v>8906.1334999999999</v>
      </c>
      <c r="O1589" s="9">
        <f t="shared" ca="1" si="333"/>
        <v>0</v>
      </c>
      <c r="P1589" s="14">
        <f t="shared" si="338"/>
        <v>-1.8288776424354436</v>
      </c>
      <c r="Q1589" s="15">
        <f ca="1">STDEV(P1589:OFFSET(P1589,-$Q$5+1,0))</f>
        <v>0.98940311442534001</v>
      </c>
      <c r="R1589" s="15">
        <f ca="1">STDEV(P1589:OFFSET(P1589,-$R$5+1,0))</f>
        <v>0.7949803299804119</v>
      </c>
      <c r="S1589" s="18">
        <f t="shared" ref="S1589:S1652" si="339">C1589-D1589</f>
        <v>215.56999999999971</v>
      </c>
      <c r="T1589" s="18">
        <f t="shared" ref="T1589:T1652" si="340">MAX(C1589,E1588)-MIN(D1589,E1588)</f>
        <v>215.56999999999971</v>
      </c>
      <c r="U1589" s="18">
        <f t="shared" si="334"/>
        <v>101.30330626233219</v>
      </c>
      <c r="V1589" s="33">
        <f ca="1">AVERAGE(E1589:OFFSET(E1589,-V$5+1,0))</f>
        <v>8903.2507142857157</v>
      </c>
      <c r="W1589" s="33">
        <f t="shared" ref="W1589:W1652" ca="1" si="341">V1589+W$5*U1589</f>
        <v>9055.2056736792147</v>
      </c>
      <c r="X1589" s="33">
        <f t="shared" ref="X1589:X1652" ca="1" si="342">V1589-W$5*U1589</f>
        <v>8751.2957548922168</v>
      </c>
      <c r="Y1589" s="32">
        <f t="shared" ca="1" si="335"/>
        <v>0</v>
      </c>
    </row>
    <row r="1590" spans="1:25">
      <c r="A1590" s="5">
        <v>40707</v>
      </c>
      <c r="B1590" s="4">
        <v>8791.67</v>
      </c>
      <c r="C1590" s="4">
        <v>8811.9699999999993</v>
      </c>
      <c r="D1590" s="4">
        <v>8703.52</v>
      </c>
      <c r="E1590" s="4">
        <v>8712.9500000000007</v>
      </c>
      <c r="F1590" s="4">
        <v>1959600</v>
      </c>
      <c r="G1590" s="8">
        <f t="shared" si="337"/>
        <v>-46.149999999999636</v>
      </c>
      <c r="H1590" s="8">
        <f t="shared" si="336"/>
        <v>-78.719999999999345</v>
      </c>
      <c r="I1590" s="20">
        <f t="shared" ref="I1590:I1653" ca="1" si="343">Y1590</f>
        <v>-1</v>
      </c>
      <c r="J1590" s="8">
        <f t="shared" ref="J1590:J1653" ca="1" si="344">IF((J1589+I1589)&gt;=J$5,J$5,IF((J1589+I1589)&lt;=J$7,J$7,J1589+I1589))</f>
        <v>3</v>
      </c>
      <c r="K1590" s="8">
        <f t="shared" ref="K1590:K1653" ca="1" si="345">J1589*G1590+J1590*H1590</f>
        <v>-374.60999999999694</v>
      </c>
      <c r="L1590" s="8">
        <f t="shared" ref="L1590:L1653" ca="1" si="346">L1589+K1590</f>
        <v>16829.800000000014</v>
      </c>
      <c r="M1590" s="9">
        <f ca="1">AVERAGE(E1590:OFFSET(E1590,-M$5+1,0))</f>
        <v>8952.8849999999984</v>
      </c>
      <c r="N1590" s="9">
        <f ca="1">AVERAGE(E1590:OFFSET(E1590,-N$5+1,0))</f>
        <v>8891.4505000000026</v>
      </c>
      <c r="O1590" s="9">
        <f t="shared" ref="O1590:O1653" ca="1" si="347">IF(AND(M1589&lt;=N1589,M1590&gt;N1590),1,IF(AND(M1589&gt;=N1589,M1590&lt;N1590),-1,0))</f>
        <v>0</v>
      </c>
      <c r="P1590" s="14">
        <f t="shared" si="338"/>
        <v>-1.4229815221273434</v>
      </c>
      <c r="Q1590" s="15">
        <f ca="1">STDEV(P1590:OFFSET(P1590,-$Q$5+1,0))</f>
        <v>1.0895273562228855</v>
      </c>
      <c r="R1590" s="15">
        <f ca="1">STDEV(P1590:OFFSET(P1590,-$R$5+1,0))</f>
        <v>0.8257301322862084</v>
      </c>
      <c r="S1590" s="18">
        <f t="shared" si="339"/>
        <v>108.44999999999891</v>
      </c>
      <c r="T1590" s="18">
        <f t="shared" si="340"/>
        <v>134.29999999999927</v>
      </c>
      <c r="U1590" s="18">
        <f t="shared" ref="U1590:U1653" si="348">$U$5*T1590+(1-$U$5)*U1589</f>
        <v>105.70286542735447</v>
      </c>
      <c r="V1590" s="33">
        <f ca="1">AVERAGE(E1590:OFFSET(E1590,-V$5+1,0))</f>
        <v>8900.7821428571424</v>
      </c>
      <c r="W1590" s="33">
        <f t="shared" ca="1" si="341"/>
        <v>9059.3364409981732</v>
      </c>
      <c r="X1590" s="33">
        <f t="shared" ca="1" si="342"/>
        <v>8742.2278447161116</v>
      </c>
      <c r="Y1590" s="32">
        <f t="shared" ref="Y1590:Y1653" ca="1" si="349">IF(AND(E1589&gt;X1589,E1590&lt;X1590),-1,IF(AND(E1589&lt;W1589,E1590&gt;W1590),1,0))</f>
        <v>-1</v>
      </c>
    </row>
    <row r="1591" spans="1:25">
      <c r="A1591" s="5">
        <v>40708</v>
      </c>
      <c r="B1591" s="4">
        <v>8737.24</v>
      </c>
      <c r="C1591" s="4">
        <v>8836.51</v>
      </c>
      <c r="D1591" s="4">
        <v>8737.24</v>
      </c>
      <c r="E1591" s="4">
        <v>8829.2099999999991</v>
      </c>
      <c r="F1591" s="4">
        <v>1685800</v>
      </c>
      <c r="G1591" s="8">
        <f t="shared" si="337"/>
        <v>24.289999999999054</v>
      </c>
      <c r="H1591" s="8">
        <f t="shared" si="336"/>
        <v>91.969999999999345</v>
      </c>
      <c r="I1591" s="20">
        <f t="shared" ca="1" si="343"/>
        <v>0</v>
      </c>
      <c r="J1591" s="8">
        <f t="shared" ca="1" si="344"/>
        <v>2</v>
      </c>
      <c r="K1591" s="8">
        <f t="shared" ca="1" si="345"/>
        <v>256.80999999999585</v>
      </c>
      <c r="L1591" s="8">
        <f t="shared" ca="1" si="346"/>
        <v>17086.610000000008</v>
      </c>
      <c r="M1591" s="9">
        <f ca="1">AVERAGE(E1591:OFFSET(E1591,-M$5+1,0))</f>
        <v>8953.4380000000001</v>
      </c>
      <c r="N1591" s="9">
        <f ca="1">AVERAGE(E1591:OFFSET(E1591,-N$5+1,0))</f>
        <v>8887.3255000000008</v>
      </c>
      <c r="O1591" s="9">
        <f t="shared" ca="1" si="347"/>
        <v>0</v>
      </c>
      <c r="P1591" s="14">
        <f t="shared" si="338"/>
        <v>1.3255118208628933</v>
      </c>
      <c r="Q1591" s="15">
        <f ca="1">STDEV(P1591:OFFSET(P1591,-$Q$5+1,0))</f>
        <v>1.1803410128242435</v>
      </c>
      <c r="R1591" s="15">
        <f ca="1">STDEV(P1591:OFFSET(P1591,-$R$5+1,0))</f>
        <v>0.83821742065389648</v>
      </c>
      <c r="S1591" s="18">
        <f t="shared" si="339"/>
        <v>99.270000000000437</v>
      </c>
      <c r="T1591" s="18">
        <f t="shared" si="340"/>
        <v>123.55999999999949</v>
      </c>
      <c r="U1591" s="18">
        <f t="shared" si="348"/>
        <v>108.08381670370713</v>
      </c>
      <c r="V1591" s="33">
        <f ca="1">AVERAGE(E1591:OFFSET(E1591,-V$5+1,0))</f>
        <v>8905.9678571428576</v>
      </c>
      <c r="W1591" s="33">
        <f t="shared" ca="1" si="341"/>
        <v>9068.0935821984185</v>
      </c>
      <c r="X1591" s="33">
        <f t="shared" ca="1" si="342"/>
        <v>8743.8421320872967</v>
      </c>
      <c r="Y1591" s="32">
        <f t="shared" ca="1" si="349"/>
        <v>0</v>
      </c>
    </row>
    <row r="1592" spans="1:25">
      <c r="A1592" s="5">
        <v>40709</v>
      </c>
      <c r="B1592" s="4">
        <v>8833.86</v>
      </c>
      <c r="C1592" s="4">
        <v>8876.14</v>
      </c>
      <c r="D1592" s="4">
        <v>8733.6</v>
      </c>
      <c r="E1592" s="4">
        <v>8831.4500000000007</v>
      </c>
      <c r="F1592" s="4">
        <v>2652000</v>
      </c>
      <c r="G1592" s="8">
        <f t="shared" si="337"/>
        <v>4.6500000000014552</v>
      </c>
      <c r="H1592" s="8">
        <f t="shared" si="336"/>
        <v>-2.4099999999998545</v>
      </c>
      <c r="I1592" s="20">
        <f t="shared" ca="1" si="343"/>
        <v>0</v>
      </c>
      <c r="J1592" s="8">
        <f t="shared" ca="1" si="344"/>
        <v>2</v>
      </c>
      <c r="K1592" s="8">
        <f t="shared" ca="1" si="345"/>
        <v>4.4800000000032014</v>
      </c>
      <c r="L1592" s="8">
        <f t="shared" ca="1" si="346"/>
        <v>17091.090000000011</v>
      </c>
      <c r="M1592" s="9">
        <f ca="1">AVERAGE(E1592:OFFSET(E1592,-M$5+1,0))</f>
        <v>8937.6990000000005</v>
      </c>
      <c r="N1592" s="9">
        <f ca="1">AVERAGE(E1592:OFFSET(E1592,-N$5+1,0))</f>
        <v>8884.693500000003</v>
      </c>
      <c r="O1592" s="9">
        <f t="shared" ca="1" si="347"/>
        <v>0</v>
      </c>
      <c r="P1592" s="14">
        <f t="shared" si="338"/>
        <v>2.5367115521319192E-2</v>
      </c>
      <c r="Q1592" s="15">
        <f ca="1">STDEV(P1592:OFFSET(P1592,-$Q$5+1,0))</f>
        <v>0.98819416955272066</v>
      </c>
      <c r="R1592" s="15">
        <f ca="1">STDEV(P1592:OFFSET(P1592,-$R$5+1,0))</f>
        <v>0.83813386040731208</v>
      </c>
      <c r="S1592" s="18">
        <f t="shared" si="339"/>
        <v>142.53999999999905</v>
      </c>
      <c r="T1592" s="18">
        <f t="shared" si="340"/>
        <v>142.53999999999905</v>
      </c>
      <c r="U1592" s="18">
        <f t="shared" si="348"/>
        <v>112.67797447654605</v>
      </c>
      <c r="V1592" s="33">
        <f ca="1">AVERAGE(E1592:OFFSET(E1592,-V$5+1,0))</f>
        <v>8913.4221428571418</v>
      </c>
      <c r="W1592" s="33">
        <f t="shared" ca="1" si="341"/>
        <v>9082.4391045719603</v>
      </c>
      <c r="X1592" s="33">
        <f t="shared" ca="1" si="342"/>
        <v>8744.4051811423233</v>
      </c>
      <c r="Y1592" s="32">
        <f t="shared" ca="1" si="349"/>
        <v>0</v>
      </c>
    </row>
    <row r="1593" spans="1:25">
      <c r="A1593" s="5">
        <v>40710</v>
      </c>
      <c r="B1593" s="4">
        <v>8739.84</v>
      </c>
      <c r="C1593" s="4">
        <v>8739.84</v>
      </c>
      <c r="D1593" s="4">
        <v>8654.43</v>
      </c>
      <c r="E1593" s="4">
        <v>8654.43</v>
      </c>
      <c r="F1593" s="4">
        <v>2089000</v>
      </c>
      <c r="G1593" s="8">
        <f t="shared" si="337"/>
        <v>-91.610000000000582</v>
      </c>
      <c r="H1593" s="8">
        <f t="shared" si="336"/>
        <v>-85.409999999999854</v>
      </c>
      <c r="I1593" s="20">
        <f t="shared" ca="1" si="343"/>
        <v>-1</v>
      </c>
      <c r="J1593" s="8">
        <f t="shared" ca="1" si="344"/>
        <v>2</v>
      </c>
      <c r="K1593" s="8">
        <f t="shared" ca="1" si="345"/>
        <v>-354.04000000000087</v>
      </c>
      <c r="L1593" s="8">
        <f t="shared" ca="1" si="346"/>
        <v>16737.05000000001</v>
      </c>
      <c r="M1593" s="9">
        <f ca="1">AVERAGE(E1593:OFFSET(E1593,-M$5+1,0))</f>
        <v>8896.9070000000011</v>
      </c>
      <c r="N1593" s="9">
        <f ca="1">AVERAGE(E1593:OFFSET(E1593,-N$5+1,0))</f>
        <v>8870.1730000000007</v>
      </c>
      <c r="O1593" s="9">
        <f t="shared" ca="1" si="347"/>
        <v>0</v>
      </c>
      <c r="P1593" s="14">
        <f t="shared" si="338"/>
        <v>-2.0247885471105285</v>
      </c>
      <c r="Q1593" s="15">
        <f ca="1">STDEV(P1593:OFFSET(P1593,-$Q$5+1,0))</f>
        <v>1.0757912298576269</v>
      </c>
      <c r="R1593" s="15">
        <f ca="1">STDEV(P1593:OFFSET(P1593,-$R$5+1,0))</f>
        <v>0.88829697175799993</v>
      </c>
      <c r="S1593" s="18">
        <f t="shared" si="339"/>
        <v>85.409999999999854</v>
      </c>
      <c r="T1593" s="18">
        <f t="shared" si="340"/>
        <v>177.02000000000044</v>
      </c>
      <c r="U1593" s="18">
        <f t="shared" si="348"/>
        <v>121.25691121300665</v>
      </c>
      <c r="V1593" s="33">
        <f ca="1">AVERAGE(E1593:OFFSET(E1593,-V$5+1,0))</f>
        <v>8903.8528571428578</v>
      </c>
      <c r="W1593" s="33">
        <f t="shared" ca="1" si="341"/>
        <v>9085.7382239623676</v>
      </c>
      <c r="X1593" s="33">
        <f t="shared" ca="1" si="342"/>
        <v>8721.9674903233481</v>
      </c>
      <c r="Y1593" s="32">
        <f t="shared" ca="1" si="349"/>
        <v>-1</v>
      </c>
    </row>
    <row r="1594" spans="1:25">
      <c r="A1594" s="5">
        <v>40711</v>
      </c>
      <c r="B1594" s="4">
        <v>8671.4500000000007</v>
      </c>
      <c r="C1594" s="4">
        <v>8702</v>
      </c>
      <c r="D1594" s="4">
        <v>8618.85</v>
      </c>
      <c r="E1594" s="4">
        <v>8636.1</v>
      </c>
      <c r="F1594" s="4">
        <v>2252000</v>
      </c>
      <c r="G1594" s="8">
        <f t="shared" si="337"/>
        <v>17.020000000000437</v>
      </c>
      <c r="H1594" s="8">
        <f t="shared" si="336"/>
        <v>-35.350000000000364</v>
      </c>
      <c r="I1594" s="20">
        <f t="shared" ca="1" si="343"/>
        <v>0</v>
      </c>
      <c r="J1594" s="8">
        <f t="shared" ca="1" si="344"/>
        <v>1</v>
      </c>
      <c r="K1594" s="8">
        <f t="shared" ca="1" si="345"/>
        <v>-1.3099999999994907</v>
      </c>
      <c r="L1594" s="8">
        <f t="shared" ca="1" si="346"/>
        <v>16735.740000000013</v>
      </c>
      <c r="M1594" s="9">
        <f ca="1">AVERAGE(E1594:OFFSET(E1594,-M$5+1,0))</f>
        <v>8861.381000000003</v>
      </c>
      <c r="N1594" s="9">
        <f ca="1">AVERAGE(E1594:OFFSET(E1594,-N$5+1,0))</f>
        <v>8857.3340000000007</v>
      </c>
      <c r="O1594" s="9">
        <f t="shared" ca="1" si="347"/>
        <v>0</v>
      </c>
      <c r="P1594" s="14">
        <f t="shared" si="338"/>
        <v>-0.21202365533882442</v>
      </c>
      <c r="Q1594" s="15">
        <f ca="1">STDEV(P1594:OFFSET(P1594,-$Q$5+1,0))</f>
        <v>1.0717864021325028</v>
      </c>
      <c r="R1594" s="15">
        <f ca="1">STDEV(P1594:OFFSET(P1594,-$R$5+1,0))</f>
        <v>0.82751556266568282</v>
      </c>
      <c r="S1594" s="18">
        <f t="shared" si="339"/>
        <v>83.149999999999636</v>
      </c>
      <c r="T1594" s="18">
        <f t="shared" si="340"/>
        <v>83.149999999999636</v>
      </c>
      <c r="U1594" s="18">
        <f t="shared" si="348"/>
        <v>116.17598971793905</v>
      </c>
      <c r="V1594" s="33">
        <f ca="1">AVERAGE(E1594:OFFSET(E1594,-V$5+1,0))</f>
        <v>8891.4314285714299</v>
      </c>
      <c r="W1594" s="33">
        <f t="shared" ca="1" si="341"/>
        <v>9065.695413148338</v>
      </c>
      <c r="X1594" s="33">
        <f t="shared" ca="1" si="342"/>
        <v>8717.1674439945218</v>
      </c>
      <c r="Y1594" s="32">
        <f t="shared" ca="1" si="349"/>
        <v>0</v>
      </c>
    </row>
    <row r="1595" spans="1:25">
      <c r="A1595" s="5">
        <v>40714</v>
      </c>
      <c r="B1595" s="4">
        <v>8679.15</v>
      </c>
      <c r="C1595" s="4">
        <v>8685.33</v>
      </c>
      <c r="D1595" s="4">
        <v>8518.66</v>
      </c>
      <c r="E1595" s="4">
        <v>8530.68</v>
      </c>
      <c r="F1595" s="4">
        <v>2202800</v>
      </c>
      <c r="G1595" s="8">
        <f t="shared" si="337"/>
        <v>43.049999999999272</v>
      </c>
      <c r="H1595" s="8">
        <f t="shared" si="336"/>
        <v>-148.46999999999935</v>
      </c>
      <c r="I1595" s="20">
        <f t="shared" ca="1" si="343"/>
        <v>0</v>
      </c>
      <c r="J1595" s="8">
        <f t="shared" ca="1" si="344"/>
        <v>1</v>
      </c>
      <c r="K1595" s="8">
        <f t="shared" ca="1" si="345"/>
        <v>-105.42000000000007</v>
      </c>
      <c r="L1595" s="8">
        <f t="shared" ca="1" si="346"/>
        <v>16630.320000000014</v>
      </c>
      <c r="M1595" s="9">
        <f ca="1">AVERAGE(E1595:OFFSET(E1595,-M$5+1,0))</f>
        <v>8809.8209999999999</v>
      </c>
      <c r="N1595" s="9">
        <f ca="1">AVERAGE(E1595:OFFSET(E1595,-N$5+1,0))</f>
        <v>8842.0165000000015</v>
      </c>
      <c r="O1595" s="9">
        <f t="shared" ca="1" si="347"/>
        <v>-1</v>
      </c>
      <c r="P1595" s="14">
        <f t="shared" si="338"/>
        <v>-1.2282015054123729</v>
      </c>
      <c r="Q1595" s="15">
        <f ca="1">STDEV(P1595:OFFSET(P1595,-$Q$5+1,0))</f>
        <v>1.0358816267252076</v>
      </c>
      <c r="R1595" s="15">
        <f ca="1">STDEV(P1595:OFFSET(P1595,-$R$5+1,0))</f>
        <v>0.8019483556889293</v>
      </c>
      <c r="S1595" s="18">
        <f t="shared" si="339"/>
        <v>166.67000000000007</v>
      </c>
      <c r="T1595" s="18">
        <f t="shared" si="340"/>
        <v>166.67000000000007</v>
      </c>
      <c r="U1595" s="18">
        <f t="shared" si="348"/>
        <v>122.90852442221384</v>
      </c>
      <c r="V1595" s="33">
        <f ca="1">AVERAGE(E1595:OFFSET(E1595,-V$5+1,0))</f>
        <v>8870.5028571428575</v>
      </c>
      <c r="W1595" s="33">
        <f t="shared" ca="1" si="341"/>
        <v>9054.8656437761783</v>
      </c>
      <c r="X1595" s="33">
        <f t="shared" ca="1" si="342"/>
        <v>8686.1400705095366</v>
      </c>
      <c r="Y1595" s="32">
        <f t="shared" ca="1" si="349"/>
        <v>0</v>
      </c>
    </row>
    <row r="1596" spans="1:25">
      <c r="A1596" s="5">
        <v>40715</v>
      </c>
      <c r="B1596" s="4">
        <v>8571.93</v>
      </c>
      <c r="C1596" s="4">
        <v>8617.9599999999991</v>
      </c>
      <c r="D1596" s="4">
        <v>8523.0400000000009</v>
      </c>
      <c r="E1596" s="4">
        <v>8597.6200000000008</v>
      </c>
      <c r="F1596" s="4">
        <v>2089200</v>
      </c>
      <c r="G1596" s="8">
        <f t="shared" si="337"/>
        <v>41.25</v>
      </c>
      <c r="H1596" s="8">
        <f t="shared" si="336"/>
        <v>25.690000000000509</v>
      </c>
      <c r="I1596" s="20">
        <f t="shared" ca="1" si="343"/>
        <v>0</v>
      </c>
      <c r="J1596" s="8">
        <f t="shared" ca="1" si="344"/>
        <v>1</v>
      </c>
      <c r="K1596" s="8">
        <f t="shared" ca="1" si="345"/>
        <v>66.940000000000509</v>
      </c>
      <c r="L1596" s="8">
        <f t="shared" ca="1" si="346"/>
        <v>16697.260000000017</v>
      </c>
      <c r="M1596" s="9">
        <f ca="1">AVERAGE(E1596:OFFSET(E1596,-M$5+1,0))</f>
        <v>8763.8730000000014</v>
      </c>
      <c r="N1596" s="9">
        <f ca="1">AVERAGE(E1596:OFFSET(E1596,-N$5+1,0))</f>
        <v>8834.5220000000008</v>
      </c>
      <c r="O1596" s="9">
        <f t="shared" ca="1" si="347"/>
        <v>0</v>
      </c>
      <c r="P1596" s="14">
        <f t="shared" si="338"/>
        <v>0.78163438063572188</v>
      </c>
      <c r="Q1596" s="15">
        <f ca="1">STDEV(P1596:OFFSET(P1596,-$Q$5+1,0))</f>
        <v>1.1049073349199034</v>
      </c>
      <c r="R1596" s="15">
        <f ca="1">STDEV(P1596:OFFSET(P1596,-$R$5+1,0))</f>
        <v>0.81372229587927203</v>
      </c>
      <c r="S1596" s="18">
        <f t="shared" si="339"/>
        <v>94.919999999998254</v>
      </c>
      <c r="T1596" s="18">
        <f t="shared" si="340"/>
        <v>94.919999999998254</v>
      </c>
      <c r="U1596" s="18">
        <f t="shared" si="348"/>
        <v>119.17672116591844</v>
      </c>
      <c r="V1596" s="33">
        <f ca="1">AVERAGE(E1596:OFFSET(E1596,-V$5+1,0))</f>
        <v>8842.5585714285717</v>
      </c>
      <c r="W1596" s="33">
        <f t="shared" ca="1" si="341"/>
        <v>9021.3236531774492</v>
      </c>
      <c r="X1596" s="33">
        <f t="shared" ca="1" si="342"/>
        <v>8663.7934896796942</v>
      </c>
      <c r="Y1596" s="32">
        <f t="shared" ca="1" si="349"/>
        <v>0</v>
      </c>
    </row>
    <row r="1597" spans="1:25">
      <c r="A1597" s="5">
        <v>40716</v>
      </c>
      <c r="B1597" s="4">
        <v>8663.86</v>
      </c>
      <c r="C1597" s="4">
        <v>8679.3700000000008</v>
      </c>
      <c r="D1597" s="4">
        <v>8598.08</v>
      </c>
      <c r="E1597" s="4">
        <v>8621.0400000000009</v>
      </c>
      <c r="F1597" s="4">
        <v>2079600</v>
      </c>
      <c r="G1597" s="8">
        <f t="shared" si="337"/>
        <v>66.239999999999782</v>
      </c>
      <c r="H1597" s="8">
        <f t="shared" si="336"/>
        <v>-42.819999999999709</v>
      </c>
      <c r="I1597" s="20">
        <f t="shared" ca="1" si="343"/>
        <v>0</v>
      </c>
      <c r="J1597" s="8">
        <f t="shared" ca="1" si="344"/>
        <v>1</v>
      </c>
      <c r="K1597" s="8">
        <f t="shared" ca="1" si="345"/>
        <v>23.420000000000073</v>
      </c>
      <c r="L1597" s="8">
        <f t="shared" ca="1" si="346"/>
        <v>16720.680000000015</v>
      </c>
      <c r="M1597" s="9">
        <f ca="1">AVERAGE(E1597:OFFSET(E1597,-M$5+1,0))</f>
        <v>8725.2239999999983</v>
      </c>
      <c r="N1597" s="9">
        <f ca="1">AVERAGE(E1597:OFFSET(E1597,-N$5+1,0))</f>
        <v>8827.7435000000005</v>
      </c>
      <c r="O1597" s="9">
        <f t="shared" ca="1" si="347"/>
        <v>0</v>
      </c>
      <c r="P1597" s="14">
        <f t="shared" si="338"/>
        <v>0.27203062773132625</v>
      </c>
      <c r="Q1597" s="15">
        <f ca="1">STDEV(P1597:OFFSET(P1597,-$Q$5+1,0))</f>
        <v>1.1327219078333617</v>
      </c>
      <c r="R1597" s="15">
        <f ca="1">STDEV(P1597:OFFSET(P1597,-$R$5+1,0))</f>
        <v>0.81571261390037719</v>
      </c>
      <c r="S1597" s="18">
        <f t="shared" si="339"/>
        <v>81.290000000000873</v>
      </c>
      <c r="T1597" s="18">
        <f t="shared" si="340"/>
        <v>81.75</v>
      </c>
      <c r="U1597" s="18">
        <f t="shared" si="348"/>
        <v>114.18649167712933</v>
      </c>
      <c r="V1597" s="33">
        <f ca="1">AVERAGE(E1597:OFFSET(E1597,-V$5+1,0))</f>
        <v>8811.0364285714295</v>
      </c>
      <c r="W1597" s="33">
        <f t="shared" ca="1" si="341"/>
        <v>8982.3161660871228</v>
      </c>
      <c r="X1597" s="33">
        <f t="shared" ca="1" si="342"/>
        <v>8639.7566910557362</v>
      </c>
      <c r="Y1597" s="32">
        <f t="shared" ca="1" si="349"/>
        <v>0</v>
      </c>
    </row>
    <row r="1598" spans="1:25">
      <c r="A1598" s="5">
        <v>40717</v>
      </c>
      <c r="B1598" s="4">
        <v>8601.15</v>
      </c>
      <c r="C1598" s="4">
        <v>8619.39</v>
      </c>
      <c r="D1598" s="4">
        <v>8559.33</v>
      </c>
      <c r="E1598" s="4">
        <v>8567.2800000000007</v>
      </c>
      <c r="F1598" s="4">
        <v>1841400</v>
      </c>
      <c r="G1598" s="8">
        <f t="shared" si="337"/>
        <v>-19.890000000001237</v>
      </c>
      <c r="H1598" s="8">
        <f t="shared" si="336"/>
        <v>-33.869999999998981</v>
      </c>
      <c r="I1598" s="20">
        <f t="shared" ca="1" si="343"/>
        <v>0</v>
      </c>
      <c r="J1598" s="8">
        <f t="shared" ca="1" si="344"/>
        <v>1</v>
      </c>
      <c r="K1598" s="8">
        <f t="shared" ca="1" si="345"/>
        <v>-53.760000000000218</v>
      </c>
      <c r="L1598" s="8">
        <f t="shared" ca="1" si="346"/>
        <v>16666.920000000013</v>
      </c>
      <c r="M1598" s="9">
        <f ca="1">AVERAGE(E1598:OFFSET(E1598,-M$5+1,0))</f>
        <v>8681.8579999999984</v>
      </c>
      <c r="N1598" s="9">
        <f ca="1">AVERAGE(E1598:OFFSET(E1598,-N$5+1,0))</f>
        <v>8819.7530000000006</v>
      </c>
      <c r="O1598" s="9">
        <f t="shared" ca="1" si="347"/>
        <v>0</v>
      </c>
      <c r="P1598" s="14">
        <f t="shared" si="338"/>
        <v>-0.62554310490095977</v>
      </c>
      <c r="Q1598" s="15">
        <f ca="1">STDEV(P1598:OFFSET(P1598,-$Q$5+1,0))</f>
        <v>1.1263754886281432</v>
      </c>
      <c r="R1598" s="15">
        <f ca="1">STDEV(P1598:OFFSET(P1598,-$R$5+1,0))</f>
        <v>0.81993968299573217</v>
      </c>
      <c r="S1598" s="18">
        <f t="shared" si="339"/>
        <v>60.059999999999491</v>
      </c>
      <c r="T1598" s="18">
        <f t="shared" si="340"/>
        <v>61.710000000000946</v>
      </c>
      <c r="U1598" s="18">
        <f t="shared" si="348"/>
        <v>107.18962612017887</v>
      </c>
      <c r="V1598" s="33">
        <f ca="1">AVERAGE(E1598:OFFSET(E1598,-V$5+1,0))</f>
        <v>8780.7450000000008</v>
      </c>
      <c r="W1598" s="33">
        <f t="shared" ca="1" si="341"/>
        <v>8941.529439180269</v>
      </c>
      <c r="X1598" s="33">
        <f t="shared" ca="1" si="342"/>
        <v>8619.9605608197326</v>
      </c>
      <c r="Y1598" s="32">
        <f t="shared" ca="1" si="349"/>
        <v>0</v>
      </c>
    </row>
    <row r="1599" spans="1:25">
      <c r="A1599" s="5">
        <v>40718</v>
      </c>
      <c r="B1599" s="4">
        <v>8567.4599999999991</v>
      </c>
      <c r="C1599" s="4">
        <v>8569.59</v>
      </c>
      <c r="D1599" s="4">
        <v>8508.16</v>
      </c>
      <c r="E1599" s="4">
        <v>8532.83</v>
      </c>
      <c r="F1599" s="4">
        <v>2049400</v>
      </c>
      <c r="G1599" s="8">
        <f t="shared" si="337"/>
        <v>0.17999999999847205</v>
      </c>
      <c r="H1599" s="8">
        <f t="shared" si="336"/>
        <v>-34.6299999999992</v>
      </c>
      <c r="I1599" s="20">
        <f t="shared" ca="1" si="343"/>
        <v>0</v>
      </c>
      <c r="J1599" s="8">
        <f t="shared" ca="1" si="344"/>
        <v>1</v>
      </c>
      <c r="K1599" s="8">
        <f t="shared" ca="1" si="345"/>
        <v>-34.450000000000728</v>
      </c>
      <c r="L1599" s="8">
        <f t="shared" ca="1" si="346"/>
        <v>16632.470000000012</v>
      </c>
      <c r="M1599" s="9">
        <f ca="1">AVERAGE(E1599:OFFSET(E1599,-M$5+1,0))</f>
        <v>8651.3590000000004</v>
      </c>
      <c r="N1599" s="9">
        <f ca="1">AVERAGE(E1599:OFFSET(E1599,-N$5+1,0))</f>
        <v>8806.9745000000003</v>
      </c>
      <c r="O1599" s="9">
        <f t="shared" ca="1" si="347"/>
        <v>0</v>
      </c>
      <c r="P1599" s="14">
        <f t="shared" si="338"/>
        <v>-0.40292192982200248</v>
      </c>
      <c r="Q1599" s="15">
        <f ca="1">STDEV(P1599:OFFSET(P1599,-$Q$5+1,0))</f>
        <v>1.0242043372588756</v>
      </c>
      <c r="R1599" s="15">
        <f ca="1">STDEV(P1599:OFFSET(P1599,-$R$5+1,0))</f>
        <v>0.79629466486451683</v>
      </c>
      <c r="S1599" s="18">
        <f t="shared" si="339"/>
        <v>61.430000000000291</v>
      </c>
      <c r="T1599" s="18">
        <f t="shared" si="340"/>
        <v>61.430000000000291</v>
      </c>
      <c r="U1599" s="18">
        <f t="shared" si="348"/>
        <v>101.0883426374884</v>
      </c>
      <c r="V1599" s="33">
        <f ca="1">AVERAGE(E1599:OFFSET(E1599,-V$5+1,0))</f>
        <v>8744.07</v>
      </c>
      <c r="W1599" s="33">
        <f t="shared" ca="1" si="341"/>
        <v>8895.702513956232</v>
      </c>
      <c r="X1599" s="33">
        <f t="shared" ca="1" si="342"/>
        <v>8592.4374860437674</v>
      </c>
      <c r="Y1599" s="32">
        <f t="shared" ca="1" si="349"/>
        <v>0</v>
      </c>
    </row>
    <row r="1600" spans="1:25">
      <c r="A1600" s="5">
        <v>40721</v>
      </c>
      <c r="B1600" s="4">
        <v>8456.36</v>
      </c>
      <c r="C1600" s="4">
        <v>8519.2099999999991</v>
      </c>
      <c r="D1600" s="4">
        <v>8433.4599999999991</v>
      </c>
      <c r="E1600" s="4">
        <v>8500.16</v>
      </c>
      <c r="F1600" s="4">
        <v>2003800</v>
      </c>
      <c r="G1600" s="8">
        <f t="shared" si="337"/>
        <v>-76.469999999999345</v>
      </c>
      <c r="H1600" s="8">
        <f t="shared" si="336"/>
        <v>43.799999999999272</v>
      </c>
      <c r="I1600" s="20">
        <f t="shared" ca="1" si="343"/>
        <v>0</v>
      </c>
      <c r="J1600" s="8">
        <f t="shared" ca="1" si="344"/>
        <v>1</v>
      </c>
      <c r="K1600" s="8">
        <f t="shared" ca="1" si="345"/>
        <v>-32.670000000000073</v>
      </c>
      <c r="L1600" s="8">
        <f t="shared" ca="1" si="346"/>
        <v>16599.80000000001</v>
      </c>
      <c r="M1600" s="9">
        <f ca="1">AVERAGE(E1600:OFFSET(E1600,-M$5+1,0))</f>
        <v>8630.0800000000017</v>
      </c>
      <c r="N1600" s="9">
        <f ca="1">AVERAGE(E1600:OFFSET(E1600,-N$5+1,0))</f>
        <v>8791.4825000000001</v>
      </c>
      <c r="O1600" s="9">
        <f t="shared" ca="1" si="347"/>
        <v>0</v>
      </c>
      <c r="P1600" s="14">
        <f t="shared" si="338"/>
        <v>-0.38360898542383648</v>
      </c>
      <c r="Q1600" s="15">
        <f ca="1">STDEV(P1600:OFFSET(P1600,-$Q$5+1,0))</f>
        <v>0.9536618611873191</v>
      </c>
      <c r="R1600" s="15">
        <f ca="1">STDEV(P1600:OFFSET(P1600,-$R$5+1,0))</f>
        <v>0.7971170416158937</v>
      </c>
      <c r="S1600" s="18">
        <f t="shared" si="339"/>
        <v>85.75</v>
      </c>
      <c r="T1600" s="18">
        <f t="shared" si="340"/>
        <v>99.3700000000008</v>
      </c>
      <c r="U1600" s="18">
        <f t="shared" si="348"/>
        <v>100.85923028582339</v>
      </c>
      <c r="V1600" s="33">
        <f ca="1">AVERAGE(E1600:OFFSET(E1600,-V$5+1,0))</f>
        <v>8704.2885714285731</v>
      </c>
      <c r="W1600" s="33">
        <f t="shared" ca="1" si="341"/>
        <v>8855.577416857308</v>
      </c>
      <c r="X1600" s="33">
        <f t="shared" ca="1" si="342"/>
        <v>8552.9997259998381</v>
      </c>
      <c r="Y1600" s="32">
        <f t="shared" ca="1" si="349"/>
        <v>0</v>
      </c>
    </row>
    <row r="1601" spans="1:25">
      <c r="A1601" s="5">
        <v>40722</v>
      </c>
      <c r="B1601" s="4">
        <v>8536.1299999999992</v>
      </c>
      <c r="C1601" s="4">
        <v>8572.6200000000008</v>
      </c>
      <c r="D1601" s="4">
        <v>8478.69</v>
      </c>
      <c r="E1601" s="4">
        <v>8478.86</v>
      </c>
      <c r="F1601" s="4">
        <v>1840800</v>
      </c>
      <c r="G1601" s="8">
        <f t="shared" si="337"/>
        <v>35.969999999999345</v>
      </c>
      <c r="H1601" s="8">
        <f t="shared" si="336"/>
        <v>-57.269999999998618</v>
      </c>
      <c r="I1601" s="20">
        <f t="shared" ca="1" si="343"/>
        <v>0</v>
      </c>
      <c r="J1601" s="8">
        <f t="shared" ca="1" si="344"/>
        <v>1</v>
      </c>
      <c r="K1601" s="8">
        <f t="shared" ca="1" si="345"/>
        <v>-21.299999999999272</v>
      </c>
      <c r="L1601" s="8">
        <f t="shared" ca="1" si="346"/>
        <v>16578.500000000011</v>
      </c>
      <c r="M1601" s="9">
        <f ca="1">AVERAGE(E1601:OFFSET(E1601,-M$5+1,0))</f>
        <v>8595.0450000000019</v>
      </c>
      <c r="N1601" s="9">
        <f ca="1">AVERAGE(E1601:OFFSET(E1601,-N$5+1,0))</f>
        <v>8774.2415000000001</v>
      </c>
      <c r="O1601" s="9">
        <f t="shared" ca="1" si="347"/>
        <v>0</v>
      </c>
      <c r="P1601" s="14">
        <f t="shared" si="338"/>
        <v>-0.25089800440295568</v>
      </c>
      <c r="Q1601" s="15">
        <f ca="1">STDEV(P1601:OFFSET(P1601,-$Q$5+1,0))</f>
        <v>0.77911284836099592</v>
      </c>
      <c r="R1601" s="15">
        <f ca="1">STDEV(P1601:OFFSET(P1601,-$R$5+1,0))</f>
        <v>0.79655005157503522</v>
      </c>
      <c r="S1601" s="18">
        <f t="shared" si="339"/>
        <v>93.930000000000291</v>
      </c>
      <c r="T1601" s="18">
        <f t="shared" si="340"/>
        <v>93.930000000000291</v>
      </c>
      <c r="U1601" s="18">
        <f t="shared" si="348"/>
        <v>99.935332914380311</v>
      </c>
      <c r="V1601" s="33">
        <f ca="1">AVERAGE(E1601:OFFSET(E1601,-V$5+1,0))</f>
        <v>8666.5264285714275</v>
      </c>
      <c r="W1601" s="33">
        <f t="shared" ca="1" si="341"/>
        <v>8816.4294279429978</v>
      </c>
      <c r="X1601" s="33">
        <f t="shared" ca="1" si="342"/>
        <v>8516.6234291998571</v>
      </c>
      <c r="Y1601" s="32">
        <f t="shared" ca="1" si="349"/>
        <v>0</v>
      </c>
    </row>
    <row r="1602" spans="1:25">
      <c r="A1602" s="5">
        <v>40723</v>
      </c>
      <c r="B1602" s="4">
        <v>8540.35</v>
      </c>
      <c r="C1602" s="4">
        <v>8598.2199999999993</v>
      </c>
      <c r="D1602" s="4">
        <v>8499.24</v>
      </c>
      <c r="E1602" s="4">
        <v>8573.3799999999992</v>
      </c>
      <c r="F1602" s="4">
        <v>2338600</v>
      </c>
      <c r="G1602" s="8">
        <f t="shared" si="337"/>
        <v>61.489999999999782</v>
      </c>
      <c r="H1602" s="8">
        <f t="shared" si="336"/>
        <v>33.029999999998836</v>
      </c>
      <c r="I1602" s="20">
        <f t="shared" ca="1" si="343"/>
        <v>0</v>
      </c>
      <c r="J1602" s="8">
        <f t="shared" ca="1" si="344"/>
        <v>1</v>
      </c>
      <c r="K1602" s="8">
        <f t="shared" ca="1" si="345"/>
        <v>94.519999999998618</v>
      </c>
      <c r="L1602" s="8">
        <f t="shared" ca="1" si="346"/>
        <v>16673.020000000011</v>
      </c>
      <c r="M1602" s="9">
        <f ca="1">AVERAGE(E1602:OFFSET(E1602,-M$5+1,0))</f>
        <v>8569.2380000000012</v>
      </c>
      <c r="N1602" s="9">
        <f ca="1">AVERAGE(E1602:OFFSET(E1602,-N$5+1,0))</f>
        <v>8753.468499999999</v>
      </c>
      <c r="O1602" s="9">
        <f t="shared" ca="1" si="347"/>
        <v>0</v>
      </c>
      <c r="P1602" s="14">
        <f t="shared" si="338"/>
        <v>1.1086047116838615</v>
      </c>
      <c r="Q1602" s="15">
        <f ca="1">STDEV(P1602:OFFSET(P1602,-$Q$5+1,0))</f>
        <v>0.90990645284425264</v>
      </c>
      <c r="R1602" s="15">
        <f ca="1">STDEV(P1602:OFFSET(P1602,-$R$5+1,0))</f>
        <v>0.81592260051392285</v>
      </c>
      <c r="S1602" s="18">
        <f t="shared" si="339"/>
        <v>98.979999999999563</v>
      </c>
      <c r="T1602" s="18">
        <f t="shared" si="340"/>
        <v>119.35999999999876</v>
      </c>
      <c r="U1602" s="18">
        <f t="shared" si="348"/>
        <v>102.52528852579611</v>
      </c>
      <c r="V1602" s="33">
        <f ca="1">AVERAGE(E1602:OFFSET(E1602,-V$5+1,0))</f>
        <v>8635.9864285714284</v>
      </c>
      <c r="W1602" s="33">
        <f t="shared" ca="1" si="341"/>
        <v>8789.7743613601233</v>
      </c>
      <c r="X1602" s="33">
        <f t="shared" ca="1" si="342"/>
        <v>8482.1984957827335</v>
      </c>
      <c r="Y1602" s="32">
        <f t="shared" ca="1" si="349"/>
        <v>0</v>
      </c>
    </row>
    <row r="1603" spans="1:25">
      <c r="A1603" s="5">
        <v>40724</v>
      </c>
      <c r="B1603" s="4">
        <v>8582.08</v>
      </c>
      <c r="C1603" s="4">
        <v>8652.59</v>
      </c>
      <c r="D1603" s="4">
        <v>8576.65</v>
      </c>
      <c r="E1603" s="4">
        <v>8652.59</v>
      </c>
      <c r="F1603" s="4">
        <v>2275800</v>
      </c>
      <c r="G1603" s="8">
        <f t="shared" si="337"/>
        <v>8.7000000000007276</v>
      </c>
      <c r="H1603" s="8">
        <f t="shared" si="336"/>
        <v>70.510000000000218</v>
      </c>
      <c r="I1603" s="20">
        <f t="shared" ca="1" si="343"/>
        <v>0</v>
      </c>
      <c r="J1603" s="8">
        <f t="shared" ca="1" si="344"/>
        <v>1</v>
      </c>
      <c r="K1603" s="8">
        <f t="shared" ca="1" si="345"/>
        <v>79.210000000000946</v>
      </c>
      <c r="L1603" s="8">
        <f t="shared" ca="1" si="346"/>
        <v>16752.23000000001</v>
      </c>
      <c r="M1603" s="9">
        <f ca="1">AVERAGE(E1603:OFFSET(E1603,-M$5+1,0))</f>
        <v>8569.0540000000001</v>
      </c>
      <c r="N1603" s="9">
        <f ca="1">AVERAGE(E1603:OFFSET(E1603,-N$5+1,0))</f>
        <v>8732.9805000000015</v>
      </c>
      <c r="O1603" s="9">
        <f t="shared" ca="1" si="347"/>
        <v>0</v>
      </c>
      <c r="P1603" s="14">
        <f t="shared" si="338"/>
        <v>0.91966441699640056</v>
      </c>
      <c r="Q1603" s="15">
        <f ca="1">STDEV(P1603:OFFSET(P1603,-$Q$5+1,0))</f>
        <v>0.75106470283509585</v>
      </c>
      <c r="R1603" s="15">
        <f ca="1">STDEV(P1603:OFFSET(P1603,-$R$5+1,0))</f>
        <v>0.83176050753026398</v>
      </c>
      <c r="S1603" s="18">
        <f t="shared" si="339"/>
        <v>75.940000000000509</v>
      </c>
      <c r="T1603" s="18">
        <f t="shared" si="340"/>
        <v>79.210000000000946</v>
      </c>
      <c r="U1603" s="18">
        <f t="shared" si="348"/>
        <v>99.41658338902343</v>
      </c>
      <c r="V1603" s="33">
        <f ca="1">AVERAGE(E1603:OFFSET(E1603,-V$5+1,0))</f>
        <v>8622.7557142857149</v>
      </c>
      <c r="W1603" s="33">
        <f t="shared" ca="1" si="341"/>
        <v>8771.8805893692497</v>
      </c>
      <c r="X1603" s="33">
        <f t="shared" ca="1" si="342"/>
        <v>8473.6308392021801</v>
      </c>
      <c r="Y1603" s="32">
        <f t="shared" ca="1" si="349"/>
        <v>0</v>
      </c>
    </row>
    <row r="1604" spans="1:25">
      <c r="A1604" s="5">
        <v>40725</v>
      </c>
      <c r="B1604" s="4">
        <v>8684.39</v>
      </c>
      <c r="C1604" s="4">
        <v>8744.2000000000007</v>
      </c>
      <c r="D1604" s="4">
        <v>8659.57</v>
      </c>
      <c r="E1604" s="4">
        <v>8739.82</v>
      </c>
      <c r="F1604" s="4">
        <v>2416000</v>
      </c>
      <c r="G1604" s="8">
        <f t="shared" si="337"/>
        <v>31.799999999999272</v>
      </c>
      <c r="H1604" s="8">
        <f t="shared" ref="H1604:H1667" si="350">E1604-B1604</f>
        <v>55.430000000000291</v>
      </c>
      <c r="I1604" s="20">
        <f t="shared" ca="1" si="343"/>
        <v>0</v>
      </c>
      <c r="J1604" s="8">
        <f t="shared" ca="1" si="344"/>
        <v>1</v>
      </c>
      <c r="K1604" s="8">
        <f t="shared" ca="1" si="345"/>
        <v>87.229999999999563</v>
      </c>
      <c r="L1604" s="8">
        <f t="shared" ca="1" si="346"/>
        <v>16839.46000000001</v>
      </c>
      <c r="M1604" s="9">
        <f ca="1">AVERAGE(E1604:OFFSET(E1604,-M$5+1,0))</f>
        <v>8579.4260000000013</v>
      </c>
      <c r="N1604" s="9">
        <f ca="1">AVERAGE(E1604:OFFSET(E1604,-N$5+1,0))</f>
        <v>8720.4035000000022</v>
      </c>
      <c r="O1604" s="9">
        <f t="shared" ca="1" si="347"/>
        <v>0</v>
      </c>
      <c r="P1604" s="14">
        <f t="shared" si="338"/>
        <v>1.0030896398394553</v>
      </c>
      <c r="Q1604" s="15">
        <f ca="1">STDEV(P1604:OFFSET(P1604,-$Q$5+1,0))</f>
        <v>0.80936434977956284</v>
      </c>
      <c r="R1604" s="15">
        <f ca="1">STDEV(P1604:OFFSET(P1604,-$R$5+1,0))</f>
        <v>0.83807057660740991</v>
      </c>
      <c r="S1604" s="18">
        <f t="shared" si="339"/>
        <v>84.630000000001019</v>
      </c>
      <c r="T1604" s="18">
        <f t="shared" si="340"/>
        <v>91.610000000000582</v>
      </c>
      <c r="U1604" s="18">
        <f t="shared" si="348"/>
        <v>98.375705603820393</v>
      </c>
      <c r="V1604" s="33">
        <f ca="1">AVERAGE(E1604:OFFSET(E1604,-V$5+1,0))</f>
        <v>8624.6750000000011</v>
      </c>
      <c r="W1604" s="33">
        <f t="shared" ca="1" si="341"/>
        <v>8772.238558405732</v>
      </c>
      <c r="X1604" s="33">
        <f t="shared" ca="1" si="342"/>
        <v>8477.1114415942702</v>
      </c>
      <c r="Y1604" s="32">
        <f t="shared" ca="1" si="349"/>
        <v>0</v>
      </c>
    </row>
    <row r="1605" spans="1:25">
      <c r="A1605" s="5">
        <v>40728</v>
      </c>
      <c r="B1605" s="4">
        <v>8801.51</v>
      </c>
      <c r="C1605" s="4">
        <v>8808.4699999999993</v>
      </c>
      <c r="D1605" s="4">
        <v>8772.33</v>
      </c>
      <c r="E1605" s="4">
        <v>8774.7199999999993</v>
      </c>
      <c r="F1605" s="4">
        <v>2317600</v>
      </c>
      <c r="G1605" s="8">
        <f t="shared" ref="G1605:G1668" si="351">B1605-E1604</f>
        <v>61.690000000000509</v>
      </c>
      <c r="H1605" s="8">
        <f t="shared" si="350"/>
        <v>-26.790000000000873</v>
      </c>
      <c r="I1605" s="20">
        <f t="shared" ca="1" si="343"/>
        <v>1</v>
      </c>
      <c r="J1605" s="8">
        <f t="shared" ca="1" si="344"/>
        <v>1</v>
      </c>
      <c r="K1605" s="8">
        <f t="shared" ca="1" si="345"/>
        <v>34.899999999999636</v>
      </c>
      <c r="L1605" s="8">
        <f t="shared" ca="1" si="346"/>
        <v>16874.360000000008</v>
      </c>
      <c r="M1605" s="9">
        <f ca="1">AVERAGE(E1605:OFFSET(E1605,-M$5+1,0))</f>
        <v>8603.8300000000017</v>
      </c>
      <c r="N1605" s="9">
        <f ca="1">AVERAGE(E1605:OFFSET(E1605,-N$5+1,0))</f>
        <v>8706.8255000000008</v>
      </c>
      <c r="O1605" s="9">
        <f t="shared" ca="1" si="347"/>
        <v>0</v>
      </c>
      <c r="P1605" s="14">
        <f t="shared" ref="P1605:P1668" si="352">100*LN(E1605/E1604)</f>
        <v>0.39852655212333188</v>
      </c>
      <c r="Q1605" s="15">
        <f ca="1">STDEV(P1605:OFFSET(P1605,-$Q$5+1,0))</f>
        <v>0.65768465722528846</v>
      </c>
      <c r="R1605" s="15">
        <f ca="1">STDEV(P1605:OFFSET(P1605,-$R$5+1,0))</f>
        <v>0.83904417849589308</v>
      </c>
      <c r="S1605" s="18">
        <f t="shared" si="339"/>
        <v>36.139999999999418</v>
      </c>
      <c r="T1605" s="18">
        <f t="shared" si="340"/>
        <v>68.649999999999636</v>
      </c>
      <c r="U1605" s="18">
        <f t="shared" si="348"/>
        <v>94.412278189977627</v>
      </c>
      <c r="V1605" s="33">
        <f ca="1">AVERAGE(E1605:OFFSET(E1605,-V$5+1,0))</f>
        <v>8620.7828571428581</v>
      </c>
      <c r="W1605" s="33">
        <f t="shared" ca="1" si="341"/>
        <v>8762.4012744278243</v>
      </c>
      <c r="X1605" s="33">
        <f t="shared" ca="1" si="342"/>
        <v>8479.1644398578919</v>
      </c>
      <c r="Y1605" s="32">
        <f t="shared" ca="1" si="349"/>
        <v>1</v>
      </c>
    </row>
    <row r="1606" spans="1:25">
      <c r="A1606" s="5">
        <v>40729</v>
      </c>
      <c r="B1606" s="4">
        <v>8777.2199999999993</v>
      </c>
      <c r="C1606" s="4">
        <v>8794.14</v>
      </c>
      <c r="D1606" s="4">
        <v>8743.4500000000007</v>
      </c>
      <c r="E1606" s="4">
        <v>8784.44</v>
      </c>
      <c r="F1606" s="4">
        <v>2195200</v>
      </c>
      <c r="G1606" s="8">
        <f t="shared" si="351"/>
        <v>2.5</v>
      </c>
      <c r="H1606" s="8">
        <f t="shared" si="350"/>
        <v>7.2200000000011642</v>
      </c>
      <c r="I1606" s="20">
        <f t="shared" ca="1" si="343"/>
        <v>0</v>
      </c>
      <c r="J1606" s="8">
        <f t="shared" ca="1" si="344"/>
        <v>2</v>
      </c>
      <c r="K1606" s="8">
        <f t="shared" ca="1" si="345"/>
        <v>16.940000000002328</v>
      </c>
      <c r="L1606" s="8">
        <f t="shared" ca="1" si="346"/>
        <v>16891.30000000001</v>
      </c>
      <c r="M1606" s="9">
        <f ca="1">AVERAGE(E1606:OFFSET(E1606,-M$5+1,0))</f>
        <v>8622.5119999999988</v>
      </c>
      <c r="N1606" s="9">
        <f ca="1">AVERAGE(E1606:OFFSET(E1606,-N$5+1,0))</f>
        <v>8693.192500000001</v>
      </c>
      <c r="O1606" s="9">
        <f t="shared" ca="1" si="347"/>
        <v>0</v>
      </c>
      <c r="P1606" s="14">
        <f t="shared" si="352"/>
        <v>0.11071145764171013</v>
      </c>
      <c r="Q1606" s="15">
        <f ca="1">STDEV(P1606:OFFSET(P1606,-$Q$5+1,0))</f>
        <v>0.63488503493500414</v>
      </c>
      <c r="R1606" s="15">
        <f ca="1">STDEV(P1606:OFFSET(P1606,-$R$5+1,0))</f>
        <v>0.83176395926072522</v>
      </c>
      <c r="S1606" s="18">
        <f t="shared" si="339"/>
        <v>50.68999999999869</v>
      </c>
      <c r="T1606" s="18">
        <f t="shared" si="340"/>
        <v>50.68999999999869</v>
      </c>
      <c r="U1606" s="18">
        <f t="shared" si="348"/>
        <v>88.582641097980428</v>
      </c>
      <c r="V1606" s="33">
        <f ca="1">AVERAGE(E1606:OFFSET(E1606,-V$5+1,0))</f>
        <v>8617.4250000000011</v>
      </c>
      <c r="W1606" s="33">
        <f t="shared" ca="1" si="341"/>
        <v>8750.2989616469713</v>
      </c>
      <c r="X1606" s="33">
        <f t="shared" ca="1" si="342"/>
        <v>8484.5510383530309</v>
      </c>
      <c r="Y1606" s="32">
        <f t="shared" ca="1" si="349"/>
        <v>0</v>
      </c>
    </row>
    <row r="1607" spans="1:25">
      <c r="A1607" s="5">
        <v>40730</v>
      </c>
      <c r="B1607" s="4">
        <v>8790.94</v>
      </c>
      <c r="C1607" s="4">
        <v>8842.17</v>
      </c>
      <c r="D1607" s="4">
        <v>8768.35</v>
      </c>
      <c r="E1607" s="4">
        <v>8824.44</v>
      </c>
      <c r="F1607" s="4">
        <v>2197000</v>
      </c>
      <c r="G1607" s="8">
        <f t="shared" si="351"/>
        <v>6.5</v>
      </c>
      <c r="H1607" s="8">
        <f t="shared" si="350"/>
        <v>33.5</v>
      </c>
      <c r="I1607" s="20">
        <f t="shared" ca="1" si="343"/>
        <v>0</v>
      </c>
      <c r="J1607" s="8">
        <f t="shared" ca="1" si="344"/>
        <v>2</v>
      </c>
      <c r="K1607" s="8">
        <f t="shared" ca="1" si="345"/>
        <v>80</v>
      </c>
      <c r="L1607" s="8">
        <f t="shared" ca="1" si="346"/>
        <v>16971.30000000001</v>
      </c>
      <c r="M1607" s="9">
        <f ca="1">AVERAGE(E1607:OFFSET(E1607,-M$5+1,0))</f>
        <v>8642.8520000000008</v>
      </c>
      <c r="N1607" s="9">
        <f ca="1">AVERAGE(E1607:OFFSET(E1607,-N$5+1,0))</f>
        <v>8684.0380000000005</v>
      </c>
      <c r="O1607" s="9">
        <f t="shared" ca="1" si="347"/>
        <v>0</v>
      </c>
      <c r="P1607" s="14">
        <f t="shared" si="352"/>
        <v>0.45431701279459152</v>
      </c>
      <c r="Q1607" s="15">
        <f ca="1">STDEV(P1607:OFFSET(P1607,-$Q$5+1,0))</f>
        <v>0.63930699803326041</v>
      </c>
      <c r="R1607" s="15">
        <f ca="1">STDEV(P1607:OFFSET(P1607,-$R$5+1,0))</f>
        <v>0.83580031712355662</v>
      </c>
      <c r="S1607" s="18">
        <f t="shared" si="339"/>
        <v>73.819999999999709</v>
      </c>
      <c r="T1607" s="18">
        <f t="shared" si="340"/>
        <v>73.819999999999709</v>
      </c>
      <c r="U1607" s="18">
        <f t="shared" si="348"/>
        <v>86.614288951583006</v>
      </c>
      <c r="V1607" s="33">
        <f ca="1">AVERAGE(E1607:OFFSET(E1607,-V$5+1,0))</f>
        <v>8629.5685714285737</v>
      </c>
      <c r="W1607" s="33">
        <f t="shared" ca="1" si="341"/>
        <v>8759.4900048559484</v>
      </c>
      <c r="X1607" s="33">
        <f t="shared" ca="1" si="342"/>
        <v>8499.647138001199</v>
      </c>
      <c r="Y1607" s="32">
        <f t="shared" ca="1" si="349"/>
        <v>0</v>
      </c>
    </row>
    <row r="1608" spans="1:25">
      <c r="A1608" s="5">
        <v>40731</v>
      </c>
      <c r="B1608" s="4">
        <v>8795</v>
      </c>
      <c r="C1608" s="4">
        <v>8795.8799999999992</v>
      </c>
      <c r="D1608" s="4">
        <v>8757.4699999999993</v>
      </c>
      <c r="E1608" s="4">
        <v>8773.42</v>
      </c>
      <c r="F1608" s="4">
        <v>2347600</v>
      </c>
      <c r="G1608" s="8">
        <f t="shared" si="351"/>
        <v>-29.440000000000509</v>
      </c>
      <c r="H1608" s="8">
        <f t="shared" si="350"/>
        <v>-21.579999999999927</v>
      </c>
      <c r="I1608" s="20">
        <f t="shared" ca="1" si="343"/>
        <v>0</v>
      </c>
      <c r="J1608" s="8">
        <f t="shared" ca="1" si="344"/>
        <v>2</v>
      </c>
      <c r="K1608" s="8">
        <f t="shared" ca="1" si="345"/>
        <v>-102.04000000000087</v>
      </c>
      <c r="L1608" s="8">
        <f t="shared" ca="1" si="346"/>
        <v>16869.260000000009</v>
      </c>
      <c r="M1608" s="9">
        <f ca="1">AVERAGE(E1608:OFFSET(E1608,-M$5+1,0))</f>
        <v>8663.4659999999985</v>
      </c>
      <c r="N1608" s="9">
        <f ca="1">AVERAGE(E1608:OFFSET(E1608,-N$5+1,0))</f>
        <v>8672.6620000000003</v>
      </c>
      <c r="O1608" s="9">
        <f t="shared" ca="1" si="347"/>
        <v>0</v>
      </c>
      <c r="P1608" s="14">
        <f t="shared" si="352"/>
        <v>-0.57984485556176446</v>
      </c>
      <c r="Q1608" s="15">
        <f ca="1">STDEV(P1608:OFFSET(P1608,-$Q$5+1,0))</f>
        <v>0.63261493077748909</v>
      </c>
      <c r="R1608" s="15">
        <f ca="1">STDEV(P1608:OFFSET(P1608,-$R$5+1,0))</f>
        <v>0.83988054803573942</v>
      </c>
      <c r="S1608" s="18">
        <f t="shared" si="339"/>
        <v>38.409999999999854</v>
      </c>
      <c r="T1608" s="18">
        <f t="shared" si="340"/>
        <v>66.970000000001164</v>
      </c>
      <c r="U1608" s="18">
        <f t="shared" si="348"/>
        <v>83.995050424705425</v>
      </c>
      <c r="V1608" s="33">
        <f ca="1">AVERAGE(E1608:OFFSET(E1608,-V$5+1,0))</f>
        <v>8639.3771428571436</v>
      </c>
      <c r="W1608" s="33">
        <f t="shared" ca="1" si="341"/>
        <v>8765.3697184942012</v>
      </c>
      <c r="X1608" s="33">
        <f t="shared" ca="1" si="342"/>
        <v>8513.384567220086</v>
      </c>
      <c r="Y1608" s="32">
        <f t="shared" ca="1" si="349"/>
        <v>0</v>
      </c>
    </row>
    <row r="1609" spans="1:25">
      <c r="A1609" s="5">
        <v>40732</v>
      </c>
      <c r="B1609" s="4">
        <v>8782.7199999999993</v>
      </c>
      <c r="C1609" s="4">
        <v>8839.14</v>
      </c>
      <c r="D1609" s="4">
        <v>8740</v>
      </c>
      <c r="E1609" s="4">
        <v>8749.5499999999993</v>
      </c>
      <c r="F1609" s="4">
        <v>2652000</v>
      </c>
      <c r="G1609" s="8">
        <f t="shared" si="351"/>
        <v>9.2999999999992724</v>
      </c>
      <c r="H1609" s="8">
        <f t="shared" si="350"/>
        <v>-33.170000000000073</v>
      </c>
      <c r="I1609" s="20">
        <f t="shared" ca="1" si="343"/>
        <v>0</v>
      </c>
      <c r="J1609" s="8">
        <f t="shared" ca="1" si="344"/>
        <v>2</v>
      </c>
      <c r="K1609" s="8">
        <f t="shared" ca="1" si="345"/>
        <v>-47.740000000001601</v>
      </c>
      <c r="L1609" s="8">
        <f t="shared" ca="1" si="346"/>
        <v>16821.520000000008</v>
      </c>
      <c r="M1609" s="9">
        <f ca="1">AVERAGE(E1609:OFFSET(E1609,-M$5+1,0))</f>
        <v>8685.1380000000008</v>
      </c>
      <c r="N1609" s="9">
        <f ca="1">AVERAGE(E1609:OFFSET(E1609,-N$5+1,0))</f>
        <v>8668.2485000000015</v>
      </c>
      <c r="O1609" s="9">
        <f t="shared" ca="1" si="347"/>
        <v>1</v>
      </c>
      <c r="P1609" s="14">
        <f t="shared" si="352"/>
        <v>-0.27244256840683212</v>
      </c>
      <c r="Q1609" s="15">
        <f ca="1">STDEV(P1609:OFFSET(P1609,-$Q$5+1,0))</f>
        <v>0.61913422084278447</v>
      </c>
      <c r="R1609" s="15">
        <f ca="1">STDEV(P1609:OFFSET(P1609,-$R$5+1,0))</f>
        <v>0.83972702174691294</v>
      </c>
      <c r="S1609" s="18">
        <f t="shared" si="339"/>
        <v>99.139999999999418</v>
      </c>
      <c r="T1609" s="18">
        <f t="shared" si="340"/>
        <v>99.139999999999418</v>
      </c>
      <c r="U1609" s="18">
        <f t="shared" si="348"/>
        <v>86.014377034744626</v>
      </c>
      <c r="V1609" s="33">
        <f ca="1">AVERAGE(E1609:OFFSET(E1609,-V$5+1,0))</f>
        <v>8655.0107142857159</v>
      </c>
      <c r="W1609" s="33">
        <f t="shared" ca="1" si="341"/>
        <v>8784.0322798378329</v>
      </c>
      <c r="X1609" s="33">
        <f t="shared" ca="1" si="342"/>
        <v>8525.989148733599</v>
      </c>
      <c r="Y1609" s="32">
        <f t="shared" ca="1" si="349"/>
        <v>0</v>
      </c>
    </row>
    <row r="1610" spans="1:25">
      <c r="A1610" s="5">
        <v>40735</v>
      </c>
      <c r="B1610" s="4">
        <v>8749.5499999999993</v>
      </c>
      <c r="C1610" s="4">
        <v>8749.5499999999993</v>
      </c>
      <c r="D1610" s="4">
        <v>8633.5499999999993</v>
      </c>
      <c r="E1610" s="4">
        <v>8665.85</v>
      </c>
      <c r="F1610" s="4">
        <v>2013200</v>
      </c>
      <c r="G1610" s="8">
        <f t="shared" si="351"/>
        <v>0</v>
      </c>
      <c r="H1610" s="8">
        <f t="shared" si="350"/>
        <v>-83.699999999998909</v>
      </c>
      <c r="I1610" s="20">
        <f t="shared" ca="1" si="343"/>
        <v>0</v>
      </c>
      <c r="J1610" s="8">
        <f t="shared" ca="1" si="344"/>
        <v>2</v>
      </c>
      <c r="K1610" s="8">
        <f t="shared" ca="1" si="345"/>
        <v>-167.39999999999782</v>
      </c>
      <c r="L1610" s="8">
        <f t="shared" ca="1" si="346"/>
        <v>16654.12000000001</v>
      </c>
      <c r="M1610" s="9">
        <f ca="1">AVERAGE(E1610:OFFSET(E1610,-M$5+1,0))</f>
        <v>8701.7070000000003</v>
      </c>
      <c r="N1610" s="9">
        <f ca="1">AVERAGE(E1610:OFFSET(E1610,-N$5+1,0))</f>
        <v>8665.8935000000019</v>
      </c>
      <c r="O1610" s="9">
        <f t="shared" ca="1" si="347"/>
        <v>0</v>
      </c>
      <c r="P1610" s="14">
        <f t="shared" si="352"/>
        <v>-0.96122563314562992</v>
      </c>
      <c r="Q1610" s="15">
        <f ca="1">STDEV(P1610:OFFSET(P1610,-$Q$5+1,0))</f>
        <v>0.70577976711906376</v>
      </c>
      <c r="R1610" s="15">
        <f ca="1">STDEV(P1610:OFFSET(P1610,-$R$5+1,0))</f>
        <v>0.85060826787982713</v>
      </c>
      <c r="S1610" s="18">
        <f t="shared" si="339"/>
        <v>116</v>
      </c>
      <c r="T1610" s="18">
        <f t="shared" si="340"/>
        <v>116</v>
      </c>
      <c r="U1610" s="18">
        <f t="shared" si="348"/>
        <v>90.012460096778682</v>
      </c>
      <c r="V1610" s="33">
        <f ca="1">AVERAGE(E1610:OFFSET(E1610,-V$5+1,0))</f>
        <v>8659.8842857142863</v>
      </c>
      <c r="W1610" s="33">
        <f t="shared" ca="1" si="341"/>
        <v>8794.9029758594552</v>
      </c>
      <c r="X1610" s="33">
        <f t="shared" ca="1" si="342"/>
        <v>8524.8655955691174</v>
      </c>
      <c r="Y1610" s="32">
        <f t="shared" ca="1" si="349"/>
        <v>0</v>
      </c>
    </row>
    <row r="1611" spans="1:25">
      <c r="A1611" s="5">
        <v>40736</v>
      </c>
      <c r="B1611" s="4">
        <v>8581.43</v>
      </c>
      <c r="C1611" s="4">
        <v>8595.07</v>
      </c>
      <c r="D1611" s="4">
        <v>8479.9</v>
      </c>
      <c r="E1611" s="4">
        <v>8491.01</v>
      </c>
      <c r="F1611" s="4">
        <v>2547400</v>
      </c>
      <c r="G1611" s="8">
        <f t="shared" si="351"/>
        <v>-84.420000000000073</v>
      </c>
      <c r="H1611" s="8">
        <f t="shared" si="350"/>
        <v>-90.420000000000073</v>
      </c>
      <c r="I1611" s="20">
        <f t="shared" ca="1" si="343"/>
        <v>-1</v>
      </c>
      <c r="J1611" s="8">
        <f t="shared" ca="1" si="344"/>
        <v>2</v>
      </c>
      <c r="K1611" s="8">
        <f t="shared" ca="1" si="345"/>
        <v>-349.68000000000029</v>
      </c>
      <c r="L1611" s="8">
        <f t="shared" ca="1" si="346"/>
        <v>16304.44000000001</v>
      </c>
      <c r="M1611" s="9">
        <f ca="1">AVERAGE(E1611:OFFSET(E1611,-M$5+1,0))</f>
        <v>8702.9220000000005</v>
      </c>
      <c r="N1611" s="9">
        <f ca="1">AVERAGE(E1611:OFFSET(E1611,-N$5+1,0))</f>
        <v>8648.9835000000021</v>
      </c>
      <c r="O1611" s="9">
        <f t="shared" ca="1" si="347"/>
        <v>0</v>
      </c>
      <c r="P1611" s="14">
        <f t="shared" si="352"/>
        <v>-2.0382057410027565</v>
      </c>
      <c r="Q1611" s="15">
        <f ca="1">STDEV(P1611:OFFSET(P1611,-$Q$5+1,0))</f>
        <v>0.99694489702840083</v>
      </c>
      <c r="R1611" s="15">
        <f ca="1">STDEV(P1611:OFFSET(P1611,-$R$5+1,0))</f>
        <v>0.89209275330884241</v>
      </c>
      <c r="S1611" s="18">
        <f t="shared" si="339"/>
        <v>115.17000000000007</v>
      </c>
      <c r="T1611" s="18">
        <f t="shared" si="340"/>
        <v>185.95000000000073</v>
      </c>
      <c r="U1611" s="18">
        <f t="shared" si="348"/>
        <v>102.80413208387495</v>
      </c>
      <c r="V1611" s="33">
        <f ca="1">AVERAGE(E1611:OFFSET(E1611,-V$5+1,0))</f>
        <v>8650.596428571429</v>
      </c>
      <c r="W1611" s="33">
        <f t="shared" ca="1" si="341"/>
        <v>8804.8026266972411</v>
      </c>
      <c r="X1611" s="33">
        <f t="shared" ca="1" si="342"/>
        <v>8496.3902304456169</v>
      </c>
      <c r="Y1611" s="32">
        <f t="shared" ca="1" si="349"/>
        <v>-1</v>
      </c>
    </row>
    <row r="1612" spans="1:25">
      <c r="A1612" s="5">
        <v>40737</v>
      </c>
      <c r="B1612" s="4">
        <v>8480.26</v>
      </c>
      <c r="C1612" s="4">
        <v>8539.18</v>
      </c>
      <c r="D1612" s="4">
        <v>8452.86</v>
      </c>
      <c r="E1612" s="4">
        <v>8488.06</v>
      </c>
      <c r="F1612" s="4">
        <v>2393600</v>
      </c>
      <c r="G1612" s="8">
        <f t="shared" si="351"/>
        <v>-10.75</v>
      </c>
      <c r="H1612" s="8">
        <f t="shared" si="350"/>
        <v>7.7999999999992724</v>
      </c>
      <c r="I1612" s="20">
        <f t="shared" ca="1" si="343"/>
        <v>0</v>
      </c>
      <c r="J1612" s="8">
        <f t="shared" ca="1" si="344"/>
        <v>1</v>
      </c>
      <c r="K1612" s="8">
        <f t="shared" ca="1" si="345"/>
        <v>-13.700000000000728</v>
      </c>
      <c r="L1612" s="8">
        <f t="shared" ca="1" si="346"/>
        <v>16290.740000000009</v>
      </c>
      <c r="M1612" s="9">
        <f ca="1">AVERAGE(E1612:OFFSET(E1612,-M$5+1,0))</f>
        <v>8694.39</v>
      </c>
      <c r="N1612" s="9">
        <f ca="1">AVERAGE(E1612:OFFSET(E1612,-N$5+1,0))</f>
        <v>8631.8140000000021</v>
      </c>
      <c r="O1612" s="9">
        <f t="shared" ca="1" si="347"/>
        <v>0</v>
      </c>
      <c r="P1612" s="14">
        <f t="shared" si="352"/>
        <v>-3.4748664440214516E-2</v>
      </c>
      <c r="Q1612" s="15">
        <f ca="1">STDEV(P1612:OFFSET(P1612,-$Q$5+1,0))</f>
        <v>0.92010349742548736</v>
      </c>
      <c r="R1612" s="15">
        <f ca="1">STDEV(P1612:OFFSET(P1612,-$R$5+1,0))</f>
        <v>0.89165583934737946</v>
      </c>
      <c r="S1612" s="18">
        <f t="shared" si="339"/>
        <v>86.319999999999709</v>
      </c>
      <c r="T1612" s="18">
        <f t="shared" si="340"/>
        <v>86.319999999999709</v>
      </c>
      <c r="U1612" s="18">
        <f t="shared" si="348"/>
        <v>100.60624780602492</v>
      </c>
      <c r="V1612" s="33">
        <f ca="1">AVERAGE(E1612:OFFSET(E1612,-V$5+1,0))</f>
        <v>8644.937857142857</v>
      </c>
      <c r="W1612" s="33">
        <f t="shared" ca="1" si="341"/>
        <v>8795.8472288518951</v>
      </c>
      <c r="X1612" s="33">
        <f t="shared" ca="1" si="342"/>
        <v>8494.0284854338188</v>
      </c>
      <c r="Y1612" s="32">
        <f t="shared" ca="1" si="349"/>
        <v>0</v>
      </c>
    </row>
    <row r="1613" spans="1:25">
      <c r="A1613" s="5">
        <v>40738</v>
      </c>
      <c r="B1613" s="4">
        <v>8495.51</v>
      </c>
      <c r="C1613" s="4">
        <v>8531.9599999999991</v>
      </c>
      <c r="D1613" s="4">
        <v>8410.44</v>
      </c>
      <c r="E1613" s="4">
        <v>8481.35</v>
      </c>
      <c r="F1613" s="4">
        <v>2518200</v>
      </c>
      <c r="G1613" s="8">
        <f t="shared" si="351"/>
        <v>7.4500000000007276</v>
      </c>
      <c r="H1613" s="8">
        <f t="shared" si="350"/>
        <v>-14.159999999999854</v>
      </c>
      <c r="I1613" s="20">
        <f t="shared" ca="1" si="343"/>
        <v>0</v>
      </c>
      <c r="J1613" s="8">
        <f t="shared" ca="1" si="344"/>
        <v>1</v>
      </c>
      <c r="K1613" s="8">
        <f t="shared" ca="1" si="345"/>
        <v>-6.7099999999991269</v>
      </c>
      <c r="L1613" s="8">
        <f t="shared" ca="1" si="346"/>
        <v>16284.03000000001</v>
      </c>
      <c r="M1613" s="9">
        <f ca="1">AVERAGE(E1613:OFFSET(E1613,-M$5+1,0))</f>
        <v>8677.2659999999996</v>
      </c>
      <c r="N1613" s="9">
        <f ca="1">AVERAGE(E1613:OFFSET(E1613,-N$5+1,0))</f>
        <v>8623.1600000000017</v>
      </c>
      <c r="O1613" s="9">
        <f t="shared" ca="1" si="347"/>
        <v>0</v>
      </c>
      <c r="P1613" s="14">
        <f t="shared" si="352"/>
        <v>-7.9083484336966547E-2</v>
      </c>
      <c r="Q1613" s="15">
        <f ca="1">STDEV(P1613:OFFSET(P1613,-$Q$5+1,0))</f>
        <v>0.84854480776723096</v>
      </c>
      <c r="R1613" s="15">
        <f ca="1">STDEV(P1613:OFFSET(P1613,-$R$5+1,0))</f>
        <v>0.88231803916770479</v>
      </c>
      <c r="S1613" s="18">
        <f t="shared" si="339"/>
        <v>121.51999999999862</v>
      </c>
      <c r="T1613" s="18">
        <f t="shared" si="340"/>
        <v>121.51999999999862</v>
      </c>
      <c r="U1613" s="18">
        <f t="shared" si="348"/>
        <v>103.39474809855474</v>
      </c>
      <c r="V1613" s="33">
        <f ca="1">AVERAGE(E1613:OFFSET(E1613,-V$5+1,0))</f>
        <v>8641.2607142857141</v>
      </c>
      <c r="W1613" s="33">
        <f t="shared" ca="1" si="341"/>
        <v>8796.3528364335471</v>
      </c>
      <c r="X1613" s="33">
        <f t="shared" ca="1" si="342"/>
        <v>8486.1685921378812</v>
      </c>
      <c r="Y1613" s="32">
        <f t="shared" ca="1" si="349"/>
        <v>0</v>
      </c>
    </row>
    <row r="1614" spans="1:25">
      <c r="A1614" s="5">
        <v>40739</v>
      </c>
      <c r="B1614" s="4">
        <v>8494.7000000000007</v>
      </c>
      <c r="C1614" s="4">
        <v>8579.7999999999993</v>
      </c>
      <c r="D1614" s="4">
        <v>8462.0499999999993</v>
      </c>
      <c r="E1614" s="4">
        <v>8574.91</v>
      </c>
      <c r="F1614" s="4">
        <v>2598800</v>
      </c>
      <c r="G1614" s="8">
        <f t="shared" si="351"/>
        <v>13.350000000000364</v>
      </c>
      <c r="H1614" s="8">
        <f t="shared" si="350"/>
        <v>80.209999999999127</v>
      </c>
      <c r="I1614" s="20">
        <f t="shared" ca="1" si="343"/>
        <v>0</v>
      </c>
      <c r="J1614" s="8">
        <f t="shared" ca="1" si="344"/>
        <v>1</v>
      </c>
      <c r="K1614" s="8">
        <f t="shared" ca="1" si="345"/>
        <v>93.559999999999491</v>
      </c>
      <c r="L1614" s="8">
        <f t="shared" ca="1" si="346"/>
        <v>16377.590000000009</v>
      </c>
      <c r="M1614" s="9">
        <f ca="1">AVERAGE(E1614:OFFSET(E1614,-M$5+1,0))</f>
        <v>8660.7749999999996</v>
      </c>
      <c r="N1614" s="9">
        <f ca="1">AVERAGE(E1614:OFFSET(E1614,-N$5+1,0))</f>
        <v>8620.1005000000023</v>
      </c>
      <c r="O1614" s="9">
        <f t="shared" ca="1" si="347"/>
        <v>0</v>
      </c>
      <c r="P1614" s="14">
        <f t="shared" si="352"/>
        <v>1.0970862123757477</v>
      </c>
      <c r="Q1614" s="15">
        <f ca="1">STDEV(P1614:OFFSET(P1614,-$Q$5+1,0))</f>
        <v>0.86373597311512329</v>
      </c>
      <c r="R1614" s="15">
        <f ca="1">STDEV(P1614:OFFSET(P1614,-$R$5+1,0))</f>
        <v>0.90016281927071407</v>
      </c>
      <c r="S1614" s="18">
        <f t="shared" si="339"/>
        <v>117.75</v>
      </c>
      <c r="T1614" s="18">
        <f t="shared" si="340"/>
        <v>117.75</v>
      </c>
      <c r="U1614" s="18">
        <f t="shared" si="348"/>
        <v>105.30878168541412</v>
      </c>
      <c r="V1614" s="33">
        <f ca="1">AVERAGE(E1614:OFFSET(E1614,-V$5+1,0))</f>
        <v>8646.6</v>
      </c>
      <c r="W1614" s="33">
        <f t="shared" ca="1" si="341"/>
        <v>8804.5631725281219</v>
      </c>
      <c r="X1614" s="33">
        <f t="shared" ca="1" si="342"/>
        <v>8488.6368274718789</v>
      </c>
      <c r="Y1614" s="32">
        <f t="shared" ca="1" si="349"/>
        <v>0</v>
      </c>
    </row>
    <row r="1615" spans="1:25">
      <c r="A1615" s="5">
        <v>40742</v>
      </c>
      <c r="B1615" s="4">
        <v>8550.16</v>
      </c>
      <c r="C1615" s="4">
        <v>8580.33</v>
      </c>
      <c r="D1615" s="4">
        <v>8473.91</v>
      </c>
      <c r="E1615" s="4">
        <v>8538.57</v>
      </c>
      <c r="F1615" s="4">
        <v>2457000</v>
      </c>
      <c r="G1615" s="8">
        <f t="shared" si="351"/>
        <v>-24.75</v>
      </c>
      <c r="H1615" s="8">
        <f t="shared" si="350"/>
        <v>-11.590000000000146</v>
      </c>
      <c r="I1615" s="20">
        <f t="shared" ca="1" si="343"/>
        <v>0</v>
      </c>
      <c r="J1615" s="8">
        <f t="shared" ca="1" si="344"/>
        <v>1</v>
      </c>
      <c r="K1615" s="8">
        <f t="shared" ca="1" si="345"/>
        <v>-36.340000000000146</v>
      </c>
      <c r="L1615" s="8">
        <f t="shared" ca="1" si="346"/>
        <v>16341.250000000009</v>
      </c>
      <c r="M1615" s="9">
        <f ca="1">AVERAGE(E1615:OFFSET(E1615,-M$5+1,0))</f>
        <v>8637.16</v>
      </c>
      <c r="N1615" s="9">
        <f ca="1">AVERAGE(E1615:OFFSET(E1615,-N$5+1,0))</f>
        <v>8620.4950000000026</v>
      </c>
      <c r="O1615" s="9">
        <f t="shared" ca="1" si="347"/>
        <v>0</v>
      </c>
      <c r="P1615" s="14">
        <f t="shared" si="352"/>
        <v>-0.42469508972805009</v>
      </c>
      <c r="Q1615" s="15">
        <f ca="1">STDEV(P1615:OFFSET(P1615,-$Q$5+1,0))</f>
        <v>0.84027105550512349</v>
      </c>
      <c r="R1615" s="15">
        <f ca="1">STDEV(P1615:OFFSET(P1615,-$R$5+1,0))</f>
        <v>0.89759232734154604</v>
      </c>
      <c r="S1615" s="18">
        <f t="shared" si="339"/>
        <v>106.42000000000007</v>
      </c>
      <c r="T1615" s="18">
        <f t="shared" si="340"/>
        <v>106.42000000000007</v>
      </c>
      <c r="U1615" s="18">
        <f t="shared" si="348"/>
        <v>105.45694412735891</v>
      </c>
      <c r="V1615" s="33">
        <f ca="1">AVERAGE(E1615:OFFSET(E1615,-V$5+1,0))</f>
        <v>8650.8650000000016</v>
      </c>
      <c r="W1615" s="33">
        <f t="shared" ca="1" si="341"/>
        <v>8809.0504161910394</v>
      </c>
      <c r="X1615" s="33">
        <f t="shared" ca="1" si="342"/>
        <v>8492.6795838089638</v>
      </c>
      <c r="Y1615" s="32">
        <f t="shared" ca="1" si="349"/>
        <v>0</v>
      </c>
    </row>
    <row r="1616" spans="1:25">
      <c r="A1616" s="5">
        <v>40743</v>
      </c>
      <c r="B1616" s="4">
        <v>8528.2000000000007</v>
      </c>
      <c r="C1616" s="4">
        <v>8554.41</v>
      </c>
      <c r="D1616" s="4">
        <v>8490.7900000000009</v>
      </c>
      <c r="E1616" s="4">
        <v>8524.57</v>
      </c>
      <c r="F1616" s="4">
        <v>2247800</v>
      </c>
      <c r="G1616" s="8">
        <f t="shared" si="351"/>
        <v>-10.369999999998981</v>
      </c>
      <c r="H1616" s="8">
        <f t="shared" si="350"/>
        <v>-3.6300000000010186</v>
      </c>
      <c r="I1616" s="20">
        <f t="shared" ca="1" si="343"/>
        <v>0</v>
      </c>
      <c r="J1616" s="8">
        <f t="shared" ca="1" si="344"/>
        <v>1</v>
      </c>
      <c r="K1616" s="8">
        <f t="shared" ca="1" si="345"/>
        <v>-14</v>
      </c>
      <c r="L1616" s="8">
        <f t="shared" ca="1" si="346"/>
        <v>16327.250000000009</v>
      </c>
      <c r="M1616" s="9">
        <f ca="1">AVERAGE(E1616:OFFSET(E1616,-M$5+1,0))</f>
        <v>8611.1730000000007</v>
      </c>
      <c r="N1616" s="9">
        <f ca="1">AVERAGE(E1616:OFFSET(E1616,-N$5+1,0))</f>
        <v>8616.8425000000025</v>
      </c>
      <c r="O1616" s="9">
        <f t="shared" ca="1" si="347"/>
        <v>-1</v>
      </c>
      <c r="P1616" s="14">
        <f t="shared" si="352"/>
        <v>-0.16409644580725802</v>
      </c>
      <c r="Q1616" s="15">
        <f ca="1">STDEV(P1616:OFFSET(P1616,-$Q$5+1,0))</f>
        <v>0.83077442367120957</v>
      </c>
      <c r="R1616" s="15">
        <f ca="1">STDEV(P1616:OFFSET(P1616,-$R$5+1,0))</f>
        <v>0.88491540936348378</v>
      </c>
      <c r="S1616" s="18">
        <f t="shared" si="339"/>
        <v>63.619999999998981</v>
      </c>
      <c r="T1616" s="18">
        <f t="shared" si="340"/>
        <v>63.619999999998981</v>
      </c>
      <c r="U1616" s="18">
        <f t="shared" si="348"/>
        <v>99.878684910377586</v>
      </c>
      <c r="V1616" s="33">
        <f ca="1">AVERAGE(E1616:OFFSET(E1616,-V$5+1,0))</f>
        <v>8647.3785714285732</v>
      </c>
      <c r="W1616" s="33">
        <f t="shared" ca="1" si="341"/>
        <v>8797.1965987941403</v>
      </c>
      <c r="X1616" s="33">
        <f t="shared" ca="1" si="342"/>
        <v>8497.5605440630061</v>
      </c>
      <c r="Y1616" s="32">
        <f t="shared" ca="1" si="349"/>
        <v>0</v>
      </c>
    </row>
    <row r="1617" spans="1:25">
      <c r="A1617" s="5">
        <v>40744</v>
      </c>
      <c r="B1617" s="4">
        <v>8612.5300000000007</v>
      </c>
      <c r="C1617" s="4">
        <v>8706.17</v>
      </c>
      <c r="D1617" s="4">
        <v>8612.5300000000007</v>
      </c>
      <c r="E1617" s="4">
        <v>8706.17</v>
      </c>
      <c r="F1617" s="4">
        <v>2872000</v>
      </c>
      <c r="G1617" s="8">
        <f t="shared" si="351"/>
        <v>87.960000000000946</v>
      </c>
      <c r="H1617" s="8">
        <f t="shared" si="350"/>
        <v>93.639999999999418</v>
      </c>
      <c r="I1617" s="20">
        <f t="shared" ca="1" si="343"/>
        <v>0</v>
      </c>
      <c r="J1617" s="8">
        <f t="shared" ca="1" si="344"/>
        <v>1</v>
      </c>
      <c r="K1617" s="8">
        <f t="shared" ca="1" si="345"/>
        <v>181.60000000000036</v>
      </c>
      <c r="L1617" s="8">
        <f t="shared" ca="1" si="346"/>
        <v>16508.850000000009</v>
      </c>
      <c r="M1617" s="9">
        <f ca="1">AVERAGE(E1617:OFFSET(E1617,-M$5+1,0))</f>
        <v>8599.3460000000014</v>
      </c>
      <c r="N1617" s="9">
        <f ca="1">AVERAGE(E1617:OFFSET(E1617,-N$5+1,0))</f>
        <v>8621.099000000002</v>
      </c>
      <c r="O1617" s="9">
        <f t="shared" ca="1" si="347"/>
        <v>0</v>
      </c>
      <c r="P1617" s="14">
        <f t="shared" si="352"/>
        <v>2.1079387687864002</v>
      </c>
      <c r="Q1617" s="15">
        <f ca="1">STDEV(P1617:OFFSET(P1617,-$Q$5+1,0))</f>
        <v>1.1139706677980734</v>
      </c>
      <c r="R1617" s="15">
        <f ca="1">STDEV(P1617:OFFSET(P1617,-$R$5+1,0))</f>
        <v>0.94909958492420832</v>
      </c>
      <c r="S1617" s="18">
        <f t="shared" si="339"/>
        <v>93.639999999999418</v>
      </c>
      <c r="T1617" s="18">
        <f t="shared" si="340"/>
        <v>181.60000000000036</v>
      </c>
      <c r="U1617" s="18">
        <f t="shared" si="348"/>
        <v>110.77486025566063</v>
      </c>
      <c r="V1617" s="33">
        <f ca="1">AVERAGE(E1617:OFFSET(E1617,-V$5+1,0))</f>
        <v>8651.2057142857157</v>
      </c>
      <c r="W1617" s="33">
        <f t="shared" ca="1" si="341"/>
        <v>8817.3680046692061</v>
      </c>
      <c r="X1617" s="33">
        <f t="shared" ca="1" si="342"/>
        <v>8485.0434239022252</v>
      </c>
      <c r="Y1617" s="32">
        <f t="shared" ca="1" si="349"/>
        <v>0</v>
      </c>
    </row>
    <row r="1618" spans="1:25">
      <c r="A1618" s="5">
        <v>40745</v>
      </c>
      <c r="B1618" s="4">
        <v>8705.84</v>
      </c>
      <c r="C1618" s="4">
        <v>8725.9699999999993</v>
      </c>
      <c r="D1618" s="4">
        <v>8683.0499999999993</v>
      </c>
      <c r="E1618" s="4">
        <v>8717.14</v>
      </c>
      <c r="F1618" s="4">
        <v>2804400</v>
      </c>
      <c r="G1618" s="8">
        <f t="shared" si="351"/>
        <v>-0.32999999999992724</v>
      </c>
      <c r="H1618" s="8">
        <f t="shared" si="350"/>
        <v>11.299999999999272</v>
      </c>
      <c r="I1618" s="20">
        <f t="shared" ca="1" si="343"/>
        <v>0</v>
      </c>
      <c r="J1618" s="8">
        <f t="shared" ca="1" si="344"/>
        <v>1</v>
      </c>
      <c r="K1618" s="8">
        <f t="shared" ca="1" si="345"/>
        <v>10.969999999999345</v>
      </c>
      <c r="L1618" s="8">
        <f t="shared" ca="1" si="346"/>
        <v>16519.820000000007</v>
      </c>
      <c r="M1618" s="9">
        <f ca="1">AVERAGE(E1618:OFFSET(E1618,-M$5+1,0))</f>
        <v>8593.7179999999989</v>
      </c>
      <c r="N1618" s="9">
        <f ca="1">AVERAGE(E1618:OFFSET(E1618,-N$5+1,0))</f>
        <v>8628.5920000000006</v>
      </c>
      <c r="O1618" s="9">
        <f t="shared" ca="1" si="347"/>
        <v>0</v>
      </c>
      <c r="P1618" s="14">
        <f t="shared" si="352"/>
        <v>0.12592327691538718</v>
      </c>
      <c r="Q1618" s="15">
        <f ca="1">STDEV(P1618:OFFSET(P1618,-$Q$5+1,0))</f>
        <v>1.1049717264604881</v>
      </c>
      <c r="R1618" s="15">
        <f ca="1">STDEV(P1618:OFFSET(P1618,-$R$5+1,0))</f>
        <v>0.94788094614702667</v>
      </c>
      <c r="S1618" s="18">
        <f t="shared" si="339"/>
        <v>42.920000000000073</v>
      </c>
      <c r="T1618" s="18">
        <f t="shared" si="340"/>
        <v>42.920000000000073</v>
      </c>
      <c r="U1618" s="18">
        <f t="shared" si="348"/>
        <v>101.7275455549059</v>
      </c>
      <c r="V1618" s="33">
        <f ca="1">AVERAGE(E1618:OFFSET(E1618,-V$5+1,0))</f>
        <v>8649.5857142857149</v>
      </c>
      <c r="W1618" s="33">
        <f t="shared" ca="1" si="341"/>
        <v>8802.177032618074</v>
      </c>
      <c r="X1618" s="33">
        <f t="shared" ca="1" si="342"/>
        <v>8496.9943959533557</v>
      </c>
      <c r="Y1618" s="32">
        <f t="shared" ca="1" si="349"/>
        <v>0</v>
      </c>
    </row>
    <row r="1619" spans="1:25">
      <c r="A1619" s="5">
        <v>40746</v>
      </c>
      <c r="B1619" s="4">
        <v>8770.9500000000007</v>
      </c>
      <c r="C1619" s="4">
        <v>8794.48</v>
      </c>
      <c r="D1619" s="4">
        <v>8741.09</v>
      </c>
      <c r="E1619" s="4">
        <v>8765.32</v>
      </c>
      <c r="F1619" s="4">
        <v>3259600</v>
      </c>
      <c r="G1619" s="8">
        <f t="shared" si="351"/>
        <v>53.81000000000131</v>
      </c>
      <c r="H1619" s="8">
        <f t="shared" si="350"/>
        <v>-5.6300000000010186</v>
      </c>
      <c r="I1619" s="20">
        <f t="shared" ca="1" si="343"/>
        <v>0</v>
      </c>
      <c r="J1619" s="8">
        <f t="shared" ca="1" si="344"/>
        <v>1</v>
      </c>
      <c r="K1619" s="8">
        <f t="shared" ca="1" si="345"/>
        <v>48.180000000000291</v>
      </c>
      <c r="L1619" s="8">
        <f t="shared" ca="1" si="346"/>
        <v>16568.000000000007</v>
      </c>
      <c r="M1619" s="9">
        <f ca="1">AVERAGE(E1619:OFFSET(E1619,-M$5+1,0))</f>
        <v>8595.2949999999983</v>
      </c>
      <c r="N1619" s="9">
        <f ca="1">AVERAGE(E1619:OFFSET(E1619,-N$5+1,0))</f>
        <v>8640.2165000000005</v>
      </c>
      <c r="O1619" s="9">
        <f t="shared" ca="1" si="347"/>
        <v>0</v>
      </c>
      <c r="P1619" s="14">
        <f t="shared" si="352"/>
        <v>0.55118240769845583</v>
      </c>
      <c r="Q1619" s="15">
        <f ca="1">STDEV(P1619:OFFSET(P1619,-$Q$5+1,0))</f>
        <v>1.1183525878393048</v>
      </c>
      <c r="R1619" s="15">
        <f ca="1">STDEV(P1619:OFFSET(P1619,-$R$5+1,0))</f>
        <v>0.94533884012208691</v>
      </c>
      <c r="S1619" s="18">
        <f t="shared" si="339"/>
        <v>53.389999999999418</v>
      </c>
      <c r="T1619" s="18">
        <f t="shared" si="340"/>
        <v>77.340000000000146</v>
      </c>
      <c r="U1619" s="18">
        <f t="shared" si="348"/>
        <v>98.475872814251801</v>
      </c>
      <c r="V1619" s="33">
        <f ca="1">AVERAGE(E1619:OFFSET(E1619,-V$5+1,0))</f>
        <v>8648.914285714287</v>
      </c>
      <c r="W1619" s="33">
        <f t="shared" ca="1" si="341"/>
        <v>8796.6280949356642</v>
      </c>
      <c r="X1619" s="33">
        <f t="shared" ca="1" si="342"/>
        <v>8501.2004764929097</v>
      </c>
      <c r="Y1619" s="32">
        <f t="shared" ca="1" si="349"/>
        <v>0</v>
      </c>
    </row>
    <row r="1620" spans="1:25">
      <c r="A1620" s="5">
        <v>40749</v>
      </c>
      <c r="B1620" s="4">
        <v>8764.68</v>
      </c>
      <c r="C1620" s="4">
        <v>8786.0300000000007</v>
      </c>
      <c r="D1620" s="4">
        <v>8661.76</v>
      </c>
      <c r="E1620" s="4">
        <v>8683.51</v>
      </c>
      <c r="F1620" s="4">
        <v>2429400</v>
      </c>
      <c r="G1620" s="8">
        <f t="shared" si="351"/>
        <v>-0.63999999999941792</v>
      </c>
      <c r="H1620" s="8">
        <f t="shared" si="350"/>
        <v>-81.170000000000073</v>
      </c>
      <c r="I1620" s="20">
        <f t="shared" ca="1" si="343"/>
        <v>0</v>
      </c>
      <c r="J1620" s="8">
        <f t="shared" ca="1" si="344"/>
        <v>1</v>
      </c>
      <c r="K1620" s="8">
        <f t="shared" ca="1" si="345"/>
        <v>-81.809999999999491</v>
      </c>
      <c r="L1620" s="8">
        <f t="shared" ca="1" si="346"/>
        <v>16486.19000000001</v>
      </c>
      <c r="M1620" s="9">
        <f ca="1">AVERAGE(E1620:OFFSET(E1620,-M$5+1,0))</f>
        <v>8597.0609999999997</v>
      </c>
      <c r="N1620" s="9">
        <f ca="1">AVERAGE(E1620:OFFSET(E1620,-N$5+1,0))</f>
        <v>8649.3840000000018</v>
      </c>
      <c r="O1620" s="9">
        <f t="shared" ca="1" si="347"/>
        <v>0</v>
      </c>
      <c r="P1620" s="14">
        <f t="shared" si="352"/>
        <v>-0.93772017350084391</v>
      </c>
      <c r="Q1620" s="15">
        <f ca="1">STDEV(P1620:OFFSET(P1620,-$Q$5+1,0))</f>
        <v>1.1160881685536321</v>
      </c>
      <c r="R1620" s="15">
        <f ca="1">STDEV(P1620:OFFSET(P1620,-$R$5+1,0))</f>
        <v>0.95570432793673532</v>
      </c>
      <c r="S1620" s="18">
        <f t="shared" si="339"/>
        <v>124.27000000000044</v>
      </c>
      <c r="T1620" s="18">
        <f t="shared" si="340"/>
        <v>124.27000000000044</v>
      </c>
      <c r="U1620" s="18">
        <f t="shared" si="348"/>
        <v>101.91508977235162</v>
      </c>
      <c r="V1620" s="33">
        <f ca="1">AVERAGE(E1620:OFFSET(E1620,-V$5+1,0))</f>
        <v>8641.7049999999999</v>
      </c>
      <c r="W1620" s="33">
        <f t="shared" ca="1" si="341"/>
        <v>8794.577634658528</v>
      </c>
      <c r="X1620" s="33">
        <f t="shared" ca="1" si="342"/>
        <v>8488.8323653414718</v>
      </c>
      <c r="Y1620" s="32">
        <f t="shared" ca="1" si="349"/>
        <v>0</v>
      </c>
    </row>
    <row r="1621" spans="1:25">
      <c r="A1621" s="5">
        <v>40750</v>
      </c>
      <c r="B1621" s="4">
        <v>8700.59</v>
      </c>
      <c r="C1621" s="4">
        <v>8794.24</v>
      </c>
      <c r="D1621" s="4">
        <v>8689.15</v>
      </c>
      <c r="E1621" s="4">
        <v>8794.24</v>
      </c>
      <c r="F1621" s="4">
        <v>2358200</v>
      </c>
      <c r="G1621" s="8">
        <f t="shared" si="351"/>
        <v>17.079999999999927</v>
      </c>
      <c r="H1621" s="8">
        <f t="shared" si="350"/>
        <v>93.649999999999636</v>
      </c>
      <c r="I1621" s="20">
        <f t="shared" ca="1" si="343"/>
        <v>1</v>
      </c>
      <c r="J1621" s="8">
        <f t="shared" ca="1" si="344"/>
        <v>1</v>
      </c>
      <c r="K1621" s="8">
        <f t="shared" ca="1" si="345"/>
        <v>110.72999999999956</v>
      </c>
      <c r="L1621" s="8">
        <f t="shared" ca="1" si="346"/>
        <v>16596.920000000009</v>
      </c>
      <c r="M1621" s="9">
        <f ca="1">AVERAGE(E1621:OFFSET(E1621,-M$5+1,0))</f>
        <v>8627.384</v>
      </c>
      <c r="N1621" s="9">
        <f ca="1">AVERAGE(E1621:OFFSET(E1621,-N$5+1,0))</f>
        <v>8665.1530000000021</v>
      </c>
      <c r="O1621" s="9">
        <f t="shared" ca="1" si="347"/>
        <v>0</v>
      </c>
      <c r="P1621" s="14">
        <f t="shared" si="352"/>
        <v>1.267113690747488</v>
      </c>
      <c r="Q1621" s="15">
        <f ca="1">STDEV(P1621:OFFSET(P1621,-$Q$5+1,0))</f>
        <v>0.90891118723872355</v>
      </c>
      <c r="R1621" s="15">
        <f ca="1">STDEV(P1621:OFFSET(P1621,-$R$5+1,0))</f>
        <v>0.97733881464555972</v>
      </c>
      <c r="S1621" s="18">
        <f t="shared" si="339"/>
        <v>105.09000000000015</v>
      </c>
      <c r="T1621" s="18">
        <f t="shared" si="340"/>
        <v>110.72999999999956</v>
      </c>
      <c r="U1621" s="18">
        <f t="shared" si="348"/>
        <v>103.09041113603801</v>
      </c>
      <c r="V1621" s="33">
        <f ca="1">AVERAGE(E1621:OFFSET(E1621,-V$5+1,0))</f>
        <v>8639.5478571428575</v>
      </c>
      <c r="W1621" s="33">
        <f t="shared" ca="1" si="341"/>
        <v>8794.1834738469151</v>
      </c>
      <c r="X1621" s="33">
        <f t="shared" ca="1" si="342"/>
        <v>8484.9122404387999</v>
      </c>
      <c r="Y1621" s="32">
        <f t="shared" ca="1" si="349"/>
        <v>1</v>
      </c>
    </row>
    <row r="1622" spans="1:25">
      <c r="A1622" s="5">
        <v>40751</v>
      </c>
      <c r="B1622" s="4">
        <v>8775.18</v>
      </c>
      <c r="C1622" s="4">
        <v>8819.93</v>
      </c>
      <c r="D1622" s="4">
        <v>8754.51</v>
      </c>
      <c r="E1622" s="4">
        <v>8817.49</v>
      </c>
      <c r="F1622" s="4">
        <v>2979000</v>
      </c>
      <c r="G1622" s="8">
        <f t="shared" si="351"/>
        <v>-19.059999999999491</v>
      </c>
      <c r="H1622" s="8">
        <f t="shared" si="350"/>
        <v>42.309999999999491</v>
      </c>
      <c r="I1622" s="20">
        <f t="shared" ca="1" si="343"/>
        <v>0</v>
      </c>
      <c r="J1622" s="8">
        <f t="shared" ca="1" si="344"/>
        <v>2</v>
      </c>
      <c r="K1622" s="8">
        <f t="shared" ca="1" si="345"/>
        <v>65.559999999999491</v>
      </c>
      <c r="L1622" s="8">
        <f t="shared" ca="1" si="346"/>
        <v>16662.48000000001</v>
      </c>
      <c r="M1622" s="9">
        <f ca="1">AVERAGE(E1622:OFFSET(E1622,-M$5+1,0))</f>
        <v>8660.3270000000011</v>
      </c>
      <c r="N1622" s="9">
        <f ca="1">AVERAGE(E1622:OFFSET(E1622,-N$5+1,0))</f>
        <v>8677.3585000000003</v>
      </c>
      <c r="O1622" s="9">
        <f t="shared" ca="1" si="347"/>
        <v>0</v>
      </c>
      <c r="P1622" s="14">
        <f t="shared" si="352"/>
        <v>0.26402872979017494</v>
      </c>
      <c r="Q1622" s="15">
        <f ca="1">STDEV(P1622:OFFSET(P1622,-$Q$5+1,0))</f>
        <v>0.89968987214790419</v>
      </c>
      <c r="R1622" s="15">
        <f ca="1">STDEV(P1622:OFFSET(P1622,-$R$5+1,0))</f>
        <v>0.93085648902759066</v>
      </c>
      <c r="S1622" s="18">
        <f t="shared" si="339"/>
        <v>65.420000000000073</v>
      </c>
      <c r="T1622" s="18">
        <f t="shared" si="340"/>
        <v>65.420000000000073</v>
      </c>
      <c r="U1622" s="18">
        <f t="shared" si="348"/>
        <v>98.067689651232968</v>
      </c>
      <c r="V1622" s="33">
        <f ca="1">AVERAGE(E1622:OFFSET(E1622,-V$5+1,0))</f>
        <v>8642.6957142857154</v>
      </c>
      <c r="W1622" s="33">
        <f t="shared" ca="1" si="341"/>
        <v>8789.7972487625648</v>
      </c>
      <c r="X1622" s="33">
        <f t="shared" ca="1" si="342"/>
        <v>8495.5941798088661</v>
      </c>
      <c r="Y1622" s="32">
        <f t="shared" ca="1" si="349"/>
        <v>0</v>
      </c>
    </row>
    <row r="1623" spans="1:25">
      <c r="A1623" s="5">
        <v>40752</v>
      </c>
      <c r="B1623" s="4">
        <v>8739.83</v>
      </c>
      <c r="C1623" s="4">
        <v>8790.68</v>
      </c>
      <c r="D1623" s="4">
        <v>8702.84</v>
      </c>
      <c r="E1623" s="4">
        <v>8767.2000000000007</v>
      </c>
      <c r="F1623" s="4">
        <v>2852400</v>
      </c>
      <c r="G1623" s="8">
        <f t="shared" si="351"/>
        <v>-77.659999999999854</v>
      </c>
      <c r="H1623" s="8">
        <f t="shared" si="350"/>
        <v>27.3700000000008</v>
      </c>
      <c r="I1623" s="20">
        <f t="shared" ca="1" si="343"/>
        <v>0</v>
      </c>
      <c r="J1623" s="8">
        <f t="shared" ca="1" si="344"/>
        <v>2</v>
      </c>
      <c r="K1623" s="8">
        <f t="shared" ca="1" si="345"/>
        <v>-100.57999999999811</v>
      </c>
      <c r="L1623" s="8">
        <f t="shared" ca="1" si="346"/>
        <v>16561.900000000012</v>
      </c>
      <c r="M1623" s="9">
        <f ca="1">AVERAGE(E1623:OFFSET(E1623,-M$5+1,0))</f>
        <v>8688.9120000000003</v>
      </c>
      <c r="N1623" s="9">
        <f ca="1">AVERAGE(E1623:OFFSET(E1623,-N$5+1,0))</f>
        <v>8683.0890000000018</v>
      </c>
      <c r="O1623" s="9">
        <f t="shared" ca="1" si="347"/>
        <v>1</v>
      </c>
      <c r="P1623" s="14">
        <f t="shared" si="352"/>
        <v>-0.57197638520740279</v>
      </c>
      <c r="Q1623" s="15">
        <f ca="1">STDEV(P1623:OFFSET(P1623,-$Q$5+1,0))</f>
        <v>0.94026832585308995</v>
      </c>
      <c r="R1623" s="15">
        <f ca="1">STDEV(P1623:OFFSET(P1623,-$R$5+1,0))</f>
        <v>0.9236991349031648</v>
      </c>
      <c r="S1623" s="18">
        <f t="shared" si="339"/>
        <v>87.840000000000146</v>
      </c>
      <c r="T1623" s="18">
        <f t="shared" si="340"/>
        <v>114.64999999999964</v>
      </c>
      <c r="U1623" s="18">
        <f t="shared" si="348"/>
        <v>100.27866436440186</v>
      </c>
      <c r="V1623" s="33">
        <f ca="1">AVERAGE(E1623:OFFSET(E1623,-V$5+1,0))</f>
        <v>8643.9564285714278</v>
      </c>
      <c r="W1623" s="33">
        <f t="shared" ca="1" si="341"/>
        <v>8794.3744251180306</v>
      </c>
      <c r="X1623" s="33">
        <f t="shared" ca="1" si="342"/>
        <v>8493.5384320248249</v>
      </c>
      <c r="Y1623" s="32">
        <f t="shared" ca="1" si="349"/>
        <v>0</v>
      </c>
    </row>
    <row r="1624" spans="1:25">
      <c r="A1624" s="5">
        <v>40753</v>
      </c>
      <c r="B1624" s="4">
        <v>8737.7199999999993</v>
      </c>
      <c r="C1624" s="4">
        <v>8771.64</v>
      </c>
      <c r="D1624" s="4">
        <v>8638.67</v>
      </c>
      <c r="E1624" s="4">
        <v>8644.18</v>
      </c>
      <c r="F1624" s="4">
        <v>3088600</v>
      </c>
      <c r="G1624" s="8">
        <f t="shared" si="351"/>
        <v>-29.480000000001382</v>
      </c>
      <c r="H1624" s="8">
        <f t="shared" si="350"/>
        <v>-93.539999999999054</v>
      </c>
      <c r="I1624" s="20">
        <f t="shared" ca="1" si="343"/>
        <v>0</v>
      </c>
      <c r="J1624" s="8">
        <f t="shared" ca="1" si="344"/>
        <v>2</v>
      </c>
      <c r="K1624" s="8">
        <f t="shared" ca="1" si="345"/>
        <v>-246.04000000000087</v>
      </c>
      <c r="L1624" s="8">
        <f t="shared" ca="1" si="346"/>
        <v>16315.860000000011</v>
      </c>
      <c r="M1624" s="9">
        <f ca="1">AVERAGE(E1624:OFFSET(E1624,-M$5+1,0))</f>
        <v>8695.8389999999981</v>
      </c>
      <c r="N1624" s="9">
        <f ca="1">AVERAGE(E1624:OFFSET(E1624,-N$5+1,0))</f>
        <v>8678.3070000000007</v>
      </c>
      <c r="O1624" s="9">
        <f t="shared" ca="1" si="347"/>
        <v>0</v>
      </c>
      <c r="P1624" s="14">
        <f t="shared" si="352"/>
        <v>-1.4131223046481094</v>
      </c>
      <c r="Q1624" s="15">
        <f ca="1">STDEV(P1624:OFFSET(P1624,-$Q$5+1,0))</f>
        <v>1.0426623420561267</v>
      </c>
      <c r="R1624" s="15">
        <f ca="1">STDEV(P1624:OFFSET(P1624,-$R$5+1,0))</f>
        <v>0.94109113356481189</v>
      </c>
      <c r="S1624" s="18">
        <f t="shared" si="339"/>
        <v>132.96999999999935</v>
      </c>
      <c r="T1624" s="18">
        <f t="shared" si="340"/>
        <v>132.96999999999935</v>
      </c>
      <c r="U1624" s="18">
        <f t="shared" si="348"/>
        <v>104.63750911581486</v>
      </c>
      <c r="V1624" s="33">
        <f ca="1">AVERAGE(E1624:OFFSET(E1624,-V$5+1,0))</f>
        <v>8642.408571428572</v>
      </c>
      <c r="W1624" s="33">
        <f t="shared" ca="1" si="341"/>
        <v>8799.3648351022948</v>
      </c>
      <c r="X1624" s="33">
        <f t="shared" ca="1" si="342"/>
        <v>8485.4523077548492</v>
      </c>
      <c r="Y1624" s="32">
        <f t="shared" ca="1" si="349"/>
        <v>0</v>
      </c>
    </row>
    <row r="1625" spans="1:25">
      <c r="A1625" s="5">
        <v>40756</v>
      </c>
      <c r="B1625" s="4">
        <v>8629.9699999999993</v>
      </c>
      <c r="C1625" s="4">
        <v>8707.8700000000008</v>
      </c>
      <c r="D1625" s="4">
        <v>8629.9699999999993</v>
      </c>
      <c r="E1625" s="4">
        <v>8701.3799999999992</v>
      </c>
      <c r="F1625" s="4">
        <v>3193600</v>
      </c>
      <c r="G1625" s="8">
        <f t="shared" si="351"/>
        <v>-14.210000000000946</v>
      </c>
      <c r="H1625" s="8">
        <f t="shared" si="350"/>
        <v>71.409999999999854</v>
      </c>
      <c r="I1625" s="20">
        <f t="shared" ca="1" si="343"/>
        <v>0</v>
      </c>
      <c r="J1625" s="8">
        <f t="shared" ca="1" si="344"/>
        <v>2</v>
      </c>
      <c r="K1625" s="8">
        <f t="shared" ca="1" si="345"/>
        <v>114.39999999999782</v>
      </c>
      <c r="L1625" s="8">
        <f t="shared" ca="1" si="346"/>
        <v>16430.260000000009</v>
      </c>
      <c r="M1625" s="9">
        <f ca="1">AVERAGE(E1625:OFFSET(E1625,-M$5+1,0))</f>
        <v>8712.1200000000008</v>
      </c>
      <c r="N1625" s="9">
        <f ca="1">AVERAGE(E1625:OFFSET(E1625,-N$5+1,0))</f>
        <v>8674.6400000000012</v>
      </c>
      <c r="O1625" s="9">
        <f t="shared" ca="1" si="347"/>
        <v>0</v>
      </c>
      <c r="P1625" s="14">
        <f t="shared" si="352"/>
        <v>0.65953716506973381</v>
      </c>
      <c r="Q1625" s="15">
        <f ca="1">STDEV(P1625:OFFSET(P1625,-$Q$5+1,0))</f>
        <v>1.0406675569808863</v>
      </c>
      <c r="R1625" s="15">
        <f ca="1">STDEV(P1625:OFFSET(P1625,-$R$5+1,0))</f>
        <v>0.94209957263390132</v>
      </c>
      <c r="S1625" s="18">
        <f t="shared" si="339"/>
        <v>77.900000000001455</v>
      </c>
      <c r="T1625" s="18">
        <f t="shared" si="340"/>
        <v>77.900000000001455</v>
      </c>
      <c r="U1625" s="18">
        <f t="shared" si="348"/>
        <v>101.07250790037307</v>
      </c>
      <c r="V1625" s="33">
        <f ca="1">AVERAGE(E1625:OFFSET(E1625,-V$5+1,0))</f>
        <v>8657.4349999999995</v>
      </c>
      <c r="W1625" s="33">
        <f t="shared" ca="1" si="341"/>
        <v>8809.0437618505584</v>
      </c>
      <c r="X1625" s="33">
        <f t="shared" ca="1" si="342"/>
        <v>8505.8262381494405</v>
      </c>
      <c r="Y1625" s="32">
        <f t="shared" ca="1" si="349"/>
        <v>0</v>
      </c>
    </row>
    <row r="1626" spans="1:25">
      <c r="A1626" s="5">
        <v>40757</v>
      </c>
      <c r="B1626" s="4">
        <v>8629.09</v>
      </c>
      <c r="C1626" s="4">
        <v>8629.09</v>
      </c>
      <c r="D1626" s="4">
        <v>8557.7000000000007</v>
      </c>
      <c r="E1626" s="4">
        <v>8584.7199999999993</v>
      </c>
      <c r="F1626" s="4">
        <v>2822400</v>
      </c>
      <c r="G1626" s="8">
        <f t="shared" si="351"/>
        <v>-72.289999999999054</v>
      </c>
      <c r="H1626" s="8">
        <f t="shared" si="350"/>
        <v>-44.3700000000008</v>
      </c>
      <c r="I1626" s="20">
        <f t="shared" ca="1" si="343"/>
        <v>0</v>
      </c>
      <c r="J1626" s="8">
        <f t="shared" ca="1" si="344"/>
        <v>2</v>
      </c>
      <c r="K1626" s="8">
        <f t="shared" ca="1" si="345"/>
        <v>-233.31999999999971</v>
      </c>
      <c r="L1626" s="8">
        <f t="shared" ca="1" si="346"/>
        <v>16196.94000000001</v>
      </c>
      <c r="M1626" s="9">
        <f ca="1">AVERAGE(E1626:OFFSET(E1626,-M$5+1,0))</f>
        <v>8718.1350000000002</v>
      </c>
      <c r="N1626" s="9">
        <f ca="1">AVERAGE(E1626:OFFSET(E1626,-N$5+1,0))</f>
        <v>8664.6540000000005</v>
      </c>
      <c r="O1626" s="9">
        <f t="shared" ca="1" si="347"/>
        <v>0</v>
      </c>
      <c r="P1626" s="14">
        <f t="shared" si="352"/>
        <v>-1.3497754979912946</v>
      </c>
      <c r="Q1626" s="15">
        <f ca="1">STDEV(P1626:OFFSET(P1626,-$Q$5+1,0))</f>
        <v>1.1474216330663112</v>
      </c>
      <c r="R1626" s="15">
        <f ca="1">STDEV(P1626:OFFSET(P1626,-$R$5+1,0))</f>
        <v>0.96187011439321757</v>
      </c>
      <c r="S1626" s="18">
        <f t="shared" si="339"/>
        <v>71.389999999999418</v>
      </c>
      <c r="T1626" s="18">
        <f t="shared" si="340"/>
        <v>143.67999999999847</v>
      </c>
      <c r="U1626" s="18">
        <f t="shared" si="348"/>
        <v>106.75350684698979</v>
      </c>
      <c r="V1626" s="33">
        <f ca="1">AVERAGE(E1626:OFFSET(E1626,-V$5+1,0))</f>
        <v>8664.3392857142862</v>
      </c>
      <c r="W1626" s="33">
        <f t="shared" ca="1" si="341"/>
        <v>8824.4695459847717</v>
      </c>
      <c r="X1626" s="33">
        <f t="shared" ca="1" si="342"/>
        <v>8504.2090254438008</v>
      </c>
      <c r="Y1626" s="32">
        <f t="shared" ca="1" si="349"/>
        <v>0</v>
      </c>
    </row>
    <row r="1627" spans="1:25">
      <c r="A1627" s="5">
        <v>40758</v>
      </c>
      <c r="B1627" s="4">
        <v>8466.35</v>
      </c>
      <c r="C1627" s="4">
        <v>8472.27</v>
      </c>
      <c r="D1627" s="4">
        <v>8360.73</v>
      </c>
      <c r="E1627" s="4">
        <v>8456.86</v>
      </c>
      <c r="F1627" s="4">
        <v>3447400</v>
      </c>
      <c r="G1627" s="8">
        <f t="shared" si="351"/>
        <v>-118.36999999999898</v>
      </c>
      <c r="H1627" s="8">
        <f t="shared" si="350"/>
        <v>-9.4899999999997817</v>
      </c>
      <c r="I1627" s="20">
        <f t="shared" ca="1" si="343"/>
        <v>-1</v>
      </c>
      <c r="J1627" s="8">
        <f t="shared" ca="1" si="344"/>
        <v>2</v>
      </c>
      <c r="K1627" s="8">
        <f t="shared" ca="1" si="345"/>
        <v>-255.71999999999753</v>
      </c>
      <c r="L1627" s="8">
        <f t="shared" ca="1" si="346"/>
        <v>15941.220000000012</v>
      </c>
      <c r="M1627" s="9">
        <f ca="1">AVERAGE(E1627:OFFSET(E1627,-M$5+1,0))</f>
        <v>8693.2039999999997</v>
      </c>
      <c r="N1627" s="9">
        <f ca="1">AVERAGE(E1627:OFFSET(E1627,-N$5+1,0))</f>
        <v>8646.2749999999996</v>
      </c>
      <c r="O1627" s="9">
        <f t="shared" ca="1" si="347"/>
        <v>0</v>
      </c>
      <c r="P1627" s="14">
        <f t="shared" si="352"/>
        <v>-1.5005932461976081</v>
      </c>
      <c r="Q1627" s="15">
        <f ca="1">STDEV(P1627:OFFSET(P1627,-$Q$5+1,0))</f>
        <v>0.99235212914827498</v>
      </c>
      <c r="R1627" s="15">
        <f ca="1">STDEV(P1627:OFFSET(P1627,-$R$5+1,0))</f>
        <v>0.98391682197562724</v>
      </c>
      <c r="S1627" s="18">
        <f t="shared" si="339"/>
        <v>111.54000000000087</v>
      </c>
      <c r="T1627" s="18">
        <f t="shared" si="340"/>
        <v>223.98999999999978</v>
      </c>
      <c r="U1627" s="18">
        <f t="shared" si="348"/>
        <v>122.38503926739114</v>
      </c>
      <c r="V1627" s="33">
        <f ca="1">AVERAGE(E1627:OFFSET(E1627,-V$5+1,0))</f>
        <v>8662.590000000002</v>
      </c>
      <c r="W1627" s="33">
        <f t="shared" ca="1" si="341"/>
        <v>8846.1675589010883</v>
      </c>
      <c r="X1627" s="33">
        <f t="shared" ca="1" si="342"/>
        <v>8479.0124410989156</v>
      </c>
      <c r="Y1627" s="32">
        <f t="shared" ca="1" si="349"/>
        <v>-1</v>
      </c>
    </row>
    <row r="1628" spans="1:25">
      <c r="A1628" s="5">
        <v>40759</v>
      </c>
      <c r="B1628" s="4">
        <v>8472.3700000000008</v>
      </c>
      <c r="C1628" s="4">
        <v>8496.07</v>
      </c>
      <c r="D1628" s="4">
        <v>8317.27</v>
      </c>
      <c r="E1628" s="4">
        <v>8317.27</v>
      </c>
      <c r="F1628" s="4">
        <v>3285200</v>
      </c>
      <c r="G1628" s="8">
        <f t="shared" si="351"/>
        <v>15.510000000000218</v>
      </c>
      <c r="H1628" s="8">
        <f t="shared" si="350"/>
        <v>-155.10000000000036</v>
      </c>
      <c r="I1628" s="20">
        <f t="shared" ca="1" si="343"/>
        <v>0</v>
      </c>
      <c r="J1628" s="8">
        <f t="shared" ca="1" si="344"/>
        <v>1</v>
      </c>
      <c r="K1628" s="8">
        <f t="shared" ca="1" si="345"/>
        <v>-124.07999999999993</v>
      </c>
      <c r="L1628" s="8">
        <f t="shared" ca="1" si="346"/>
        <v>15817.140000000012</v>
      </c>
      <c r="M1628" s="9">
        <f ca="1">AVERAGE(E1628:OFFSET(E1628,-M$5+1,0))</f>
        <v>8653.2170000000006</v>
      </c>
      <c r="N1628" s="9">
        <f ca="1">AVERAGE(E1628:OFFSET(E1628,-N$5+1,0))</f>
        <v>8623.4675000000007</v>
      </c>
      <c r="O1628" s="9">
        <f t="shared" ca="1" si="347"/>
        <v>0</v>
      </c>
      <c r="P1628" s="14">
        <f t="shared" si="352"/>
        <v>-1.6643870341042115</v>
      </c>
      <c r="Q1628" s="15">
        <f ca="1">STDEV(P1628:OFFSET(P1628,-$Q$5+1,0))</f>
        <v>1.0675182438327848</v>
      </c>
      <c r="R1628" s="15">
        <f ca="1">STDEV(P1628:OFFSET(P1628,-$R$5+1,0))</f>
        <v>1.0121726107645619</v>
      </c>
      <c r="S1628" s="18">
        <f t="shared" si="339"/>
        <v>178.79999999999927</v>
      </c>
      <c r="T1628" s="18">
        <f t="shared" si="340"/>
        <v>178.79999999999927</v>
      </c>
      <c r="U1628" s="18">
        <f t="shared" si="348"/>
        <v>129.90703403173887</v>
      </c>
      <c r="V1628" s="33">
        <f ca="1">AVERAGE(E1628:OFFSET(E1628,-V$5+1,0))</f>
        <v>8644.187142857143</v>
      </c>
      <c r="W1628" s="33">
        <f t="shared" ca="1" si="341"/>
        <v>8839.0476939047512</v>
      </c>
      <c r="X1628" s="33">
        <f t="shared" ca="1" si="342"/>
        <v>8449.3265918095349</v>
      </c>
      <c r="Y1628" s="32">
        <f t="shared" ca="1" si="349"/>
        <v>0</v>
      </c>
    </row>
    <row r="1629" spans="1:25">
      <c r="A1629" s="5">
        <v>40760</v>
      </c>
      <c r="B1629" s="4">
        <v>7962.87</v>
      </c>
      <c r="C1629" s="4">
        <v>7975.82</v>
      </c>
      <c r="D1629" s="4">
        <v>7844.77</v>
      </c>
      <c r="E1629" s="4">
        <v>7853.13</v>
      </c>
      <c r="F1629" s="4">
        <v>4304800</v>
      </c>
      <c r="G1629" s="8">
        <f t="shared" si="351"/>
        <v>-354.40000000000055</v>
      </c>
      <c r="H1629" s="8">
        <f t="shared" si="350"/>
        <v>-109.73999999999978</v>
      </c>
      <c r="I1629" s="20">
        <f t="shared" ca="1" si="343"/>
        <v>0</v>
      </c>
      <c r="J1629" s="8">
        <f t="shared" ca="1" si="344"/>
        <v>1</v>
      </c>
      <c r="K1629" s="8">
        <f t="shared" ca="1" si="345"/>
        <v>-464.14000000000033</v>
      </c>
      <c r="L1629" s="8">
        <f t="shared" ca="1" si="346"/>
        <v>15353.000000000011</v>
      </c>
      <c r="M1629" s="9">
        <f ca="1">AVERAGE(E1629:OFFSET(E1629,-M$5+1,0))</f>
        <v>8561.9980000000014</v>
      </c>
      <c r="N1629" s="9">
        <f ca="1">AVERAGE(E1629:OFFSET(E1629,-N$5+1,0))</f>
        <v>8578.6464999999989</v>
      </c>
      <c r="O1629" s="9">
        <f t="shared" ca="1" si="347"/>
        <v>-1</v>
      </c>
      <c r="P1629" s="14">
        <f t="shared" si="352"/>
        <v>-5.7421897549497221</v>
      </c>
      <c r="Q1629" s="15">
        <f ca="1">STDEV(P1629:OFFSET(P1629,-$Q$5+1,0))</f>
        <v>1.9164281350934593</v>
      </c>
      <c r="R1629" s="15">
        <f ca="1">STDEV(P1629:OFFSET(P1629,-$R$5+1,0))</f>
        <v>1.3170935614959438</v>
      </c>
      <c r="S1629" s="18">
        <f t="shared" si="339"/>
        <v>131.04999999999927</v>
      </c>
      <c r="T1629" s="18">
        <f t="shared" si="340"/>
        <v>472.5</v>
      </c>
      <c r="U1629" s="18">
        <f t="shared" si="348"/>
        <v>175.58609616084036</v>
      </c>
      <c r="V1629" s="33">
        <f ca="1">AVERAGE(E1629:OFFSET(E1629,-V$5+1,0))</f>
        <v>8595.2271428571439</v>
      </c>
      <c r="W1629" s="33">
        <f t="shared" ca="1" si="341"/>
        <v>8858.6062870984042</v>
      </c>
      <c r="X1629" s="33">
        <f t="shared" ca="1" si="342"/>
        <v>8331.8479986158836</v>
      </c>
      <c r="Y1629" s="32">
        <f t="shared" ca="1" si="349"/>
        <v>0</v>
      </c>
    </row>
    <row r="1630" spans="1:25">
      <c r="A1630" s="5">
        <v>40763</v>
      </c>
      <c r="B1630" s="4">
        <v>7769.6</v>
      </c>
      <c r="C1630" s="4">
        <v>7799.49</v>
      </c>
      <c r="D1630" s="4">
        <v>7451.29</v>
      </c>
      <c r="E1630" s="4">
        <v>7552.8</v>
      </c>
      <c r="F1630" s="4">
        <v>4298800</v>
      </c>
      <c r="G1630" s="8">
        <f t="shared" si="351"/>
        <v>-83.529999999999745</v>
      </c>
      <c r="H1630" s="8">
        <f t="shared" si="350"/>
        <v>-216.80000000000018</v>
      </c>
      <c r="I1630" s="20">
        <f t="shared" ca="1" si="343"/>
        <v>0</v>
      </c>
      <c r="J1630" s="8">
        <f t="shared" ca="1" si="344"/>
        <v>1</v>
      </c>
      <c r="K1630" s="8">
        <f t="shared" ca="1" si="345"/>
        <v>-300.32999999999993</v>
      </c>
      <c r="L1630" s="8">
        <f t="shared" ca="1" si="346"/>
        <v>15052.670000000011</v>
      </c>
      <c r="M1630" s="9">
        <f ca="1">AVERAGE(E1630:OFFSET(E1630,-M$5+1,0))</f>
        <v>8448.9269999999997</v>
      </c>
      <c r="N1630" s="9">
        <f ca="1">AVERAGE(E1630:OFFSET(E1630,-N$5+1,0))</f>
        <v>8522.9939999999988</v>
      </c>
      <c r="O1630" s="9">
        <f t="shared" ca="1" si="347"/>
        <v>0</v>
      </c>
      <c r="P1630" s="14">
        <f t="shared" si="352"/>
        <v>-3.8993823002663581</v>
      </c>
      <c r="Q1630" s="15">
        <f ca="1">STDEV(P1630:OFFSET(P1630,-$Q$5+1,0))</f>
        <v>2.1080216860265195</v>
      </c>
      <c r="R1630" s="15">
        <f ca="1">STDEV(P1630:OFFSET(P1630,-$R$5+1,0))</f>
        <v>1.4252216410084368</v>
      </c>
      <c r="S1630" s="18">
        <f t="shared" si="339"/>
        <v>348.19999999999982</v>
      </c>
      <c r="T1630" s="18">
        <f t="shared" si="340"/>
        <v>401.84000000000015</v>
      </c>
      <c r="U1630" s="18">
        <f t="shared" si="348"/>
        <v>205.75328333939501</v>
      </c>
      <c r="V1630" s="33">
        <f ca="1">AVERAGE(E1630:OFFSET(E1630,-V$5+1,0))</f>
        <v>8525.8150000000005</v>
      </c>
      <c r="W1630" s="33">
        <f t="shared" ca="1" si="341"/>
        <v>8834.4449250090929</v>
      </c>
      <c r="X1630" s="33">
        <f t="shared" ca="1" si="342"/>
        <v>8217.1850749909081</v>
      </c>
      <c r="Y1630" s="32">
        <f t="shared" ca="1" si="349"/>
        <v>0</v>
      </c>
    </row>
    <row r="1631" spans="1:25">
      <c r="A1631" s="5">
        <v>40764</v>
      </c>
      <c r="B1631" s="4">
        <v>7261.54</v>
      </c>
      <c r="C1631" s="4">
        <v>7599.14</v>
      </c>
      <c r="D1631" s="4">
        <v>7148.76</v>
      </c>
      <c r="E1631" s="4">
        <v>7493.12</v>
      </c>
      <c r="F1631" s="4">
        <v>5373400</v>
      </c>
      <c r="G1631" s="8">
        <f t="shared" si="351"/>
        <v>-291.26000000000022</v>
      </c>
      <c r="H1631" s="8">
        <f t="shared" si="350"/>
        <v>231.57999999999993</v>
      </c>
      <c r="I1631" s="20">
        <f t="shared" ca="1" si="343"/>
        <v>0</v>
      </c>
      <c r="J1631" s="8">
        <f t="shared" ca="1" si="344"/>
        <v>1</v>
      </c>
      <c r="K1631" s="8">
        <f t="shared" ca="1" si="345"/>
        <v>-59.680000000000291</v>
      </c>
      <c r="L1631" s="8">
        <f t="shared" ca="1" si="346"/>
        <v>14992.990000000011</v>
      </c>
      <c r="M1631" s="9">
        <f ca="1">AVERAGE(E1631:OFFSET(E1631,-M$5+1,0))</f>
        <v>8318.8150000000005</v>
      </c>
      <c r="N1631" s="9">
        <f ca="1">AVERAGE(E1631:OFFSET(E1631,-N$5+1,0))</f>
        <v>8473.0994999999984</v>
      </c>
      <c r="O1631" s="9">
        <f t="shared" ca="1" si="347"/>
        <v>0</v>
      </c>
      <c r="P1631" s="14">
        <f t="shared" si="352"/>
        <v>-0.79330892349499305</v>
      </c>
      <c r="Q1631" s="15">
        <f ca="1">STDEV(P1631:OFFSET(P1631,-$Q$5+1,0))</f>
        <v>1.9103268996426834</v>
      </c>
      <c r="R1631" s="15">
        <f ca="1">STDEV(P1631:OFFSET(P1631,-$R$5+1,0))</f>
        <v>1.4002318611896269</v>
      </c>
      <c r="S1631" s="18">
        <f t="shared" si="339"/>
        <v>450.38000000000011</v>
      </c>
      <c r="T1631" s="18">
        <f t="shared" si="340"/>
        <v>450.38000000000011</v>
      </c>
      <c r="U1631" s="18">
        <f t="shared" si="348"/>
        <v>238.37017889414236</v>
      </c>
      <c r="V1631" s="33">
        <f ca="1">AVERAGE(E1631:OFFSET(E1631,-V$5+1,0))</f>
        <v>8439.1685714285722</v>
      </c>
      <c r="W1631" s="33">
        <f t="shared" ca="1" si="341"/>
        <v>8796.7238397697856</v>
      </c>
      <c r="X1631" s="33">
        <f t="shared" ca="1" si="342"/>
        <v>8081.6133030873589</v>
      </c>
      <c r="Y1631" s="32">
        <f t="shared" ca="1" si="349"/>
        <v>0</v>
      </c>
    </row>
    <row r="1632" spans="1:25">
      <c r="A1632" s="5">
        <v>40765</v>
      </c>
      <c r="B1632" s="4">
        <v>7717.58</v>
      </c>
      <c r="C1632" s="4">
        <v>7751.59</v>
      </c>
      <c r="D1632" s="4">
        <v>7632.34</v>
      </c>
      <c r="E1632" s="4">
        <v>7736.32</v>
      </c>
      <c r="F1632" s="4">
        <v>4546000</v>
      </c>
      <c r="G1632" s="8">
        <f t="shared" si="351"/>
        <v>224.46000000000004</v>
      </c>
      <c r="H1632" s="8">
        <f t="shared" si="350"/>
        <v>18.739999999999782</v>
      </c>
      <c r="I1632" s="20">
        <f t="shared" ca="1" si="343"/>
        <v>0</v>
      </c>
      <c r="J1632" s="8">
        <f t="shared" ca="1" si="344"/>
        <v>1</v>
      </c>
      <c r="K1632" s="8">
        <f t="shared" ca="1" si="345"/>
        <v>243.19999999999982</v>
      </c>
      <c r="L1632" s="8">
        <f t="shared" ca="1" si="346"/>
        <v>15236.19000000001</v>
      </c>
      <c r="M1632" s="9">
        <f ca="1">AVERAGE(E1632:OFFSET(E1632,-M$5+1,0))</f>
        <v>8210.6979999999985</v>
      </c>
      <c r="N1632" s="9">
        <f ca="1">AVERAGE(E1632:OFFSET(E1632,-N$5+1,0))</f>
        <v>8435.5125000000007</v>
      </c>
      <c r="O1632" s="9">
        <f t="shared" ca="1" si="347"/>
        <v>0</v>
      </c>
      <c r="P1632" s="14">
        <f t="shared" si="352"/>
        <v>3.1940856140799099</v>
      </c>
      <c r="Q1632" s="15">
        <f ca="1">STDEV(P1632:OFFSET(P1632,-$Q$5+1,0))</f>
        <v>2.3921356262915534</v>
      </c>
      <c r="R1632" s="15">
        <f ca="1">STDEV(P1632:OFFSET(P1632,-$R$5+1,0))</f>
        <v>1.5107772017089218</v>
      </c>
      <c r="S1632" s="18">
        <f t="shared" si="339"/>
        <v>119.25</v>
      </c>
      <c r="T1632" s="18">
        <f t="shared" si="340"/>
        <v>258.47000000000025</v>
      </c>
      <c r="U1632" s="18">
        <f t="shared" si="348"/>
        <v>241.0501550415901</v>
      </c>
      <c r="V1632" s="33">
        <f ca="1">AVERAGE(E1632:OFFSET(E1632,-V$5+1,0))</f>
        <v>8369.11</v>
      </c>
      <c r="W1632" s="33">
        <f t="shared" ca="1" si="341"/>
        <v>8730.6852325623859</v>
      </c>
      <c r="X1632" s="33">
        <f t="shared" ca="1" si="342"/>
        <v>8007.5347674376153</v>
      </c>
      <c r="Y1632" s="32">
        <f t="shared" ca="1" si="349"/>
        <v>0</v>
      </c>
    </row>
    <row r="1633" spans="1:25">
      <c r="A1633" s="5">
        <v>40766</v>
      </c>
      <c r="B1633" s="4">
        <v>7566.39</v>
      </c>
      <c r="C1633" s="4">
        <v>7761.4</v>
      </c>
      <c r="D1633" s="4">
        <v>7499.54</v>
      </c>
      <c r="E1633" s="4">
        <v>7719.09</v>
      </c>
      <c r="F1633" s="4">
        <v>3751200</v>
      </c>
      <c r="G1633" s="8">
        <f t="shared" si="351"/>
        <v>-169.92999999999938</v>
      </c>
      <c r="H1633" s="8">
        <f t="shared" si="350"/>
        <v>152.69999999999982</v>
      </c>
      <c r="I1633" s="20">
        <f t="shared" ca="1" si="343"/>
        <v>0</v>
      </c>
      <c r="J1633" s="8">
        <f t="shared" ca="1" si="344"/>
        <v>1</v>
      </c>
      <c r="K1633" s="8">
        <f t="shared" ca="1" si="345"/>
        <v>-17.229999999999563</v>
      </c>
      <c r="L1633" s="8">
        <f t="shared" ca="1" si="346"/>
        <v>15218.96000000001</v>
      </c>
      <c r="M1633" s="9">
        <f ca="1">AVERAGE(E1633:OFFSET(E1633,-M$5+1,0))</f>
        <v>8105.8869999999997</v>
      </c>
      <c r="N1633" s="9">
        <f ca="1">AVERAGE(E1633:OFFSET(E1633,-N$5+1,0))</f>
        <v>8397.3995000000014</v>
      </c>
      <c r="O1633" s="9">
        <f t="shared" ca="1" si="347"/>
        <v>0</v>
      </c>
      <c r="P1633" s="14">
        <f t="shared" si="352"/>
        <v>-0.22296409008825943</v>
      </c>
      <c r="Q1633" s="15">
        <f ca="1">STDEV(P1633:OFFSET(P1633,-$Q$5+1,0))</f>
        <v>2.4065716639640669</v>
      </c>
      <c r="R1633" s="15">
        <f ca="1">STDEV(P1633:OFFSET(P1633,-$R$5+1,0))</f>
        <v>1.485631938132731</v>
      </c>
      <c r="S1633" s="18">
        <f t="shared" si="339"/>
        <v>261.85999999999967</v>
      </c>
      <c r="T1633" s="18">
        <f t="shared" si="340"/>
        <v>261.85999999999967</v>
      </c>
      <c r="U1633" s="18">
        <f t="shared" si="348"/>
        <v>243.8248010360447</v>
      </c>
      <c r="V1633" s="33">
        <f ca="1">AVERAGE(E1633:OFFSET(E1633,-V$5+1,0))</f>
        <v>8294.3792857142853</v>
      </c>
      <c r="W1633" s="33">
        <f t="shared" ca="1" si="341"/>
        <v>8660.116487268353</v>
      </c>
      <c r="X1633" s="33">
        <f t="shared" ca="1" si="342"/>
        <v>7928.6420841602185</v>
      </c>
      <c r="Y1633" s="32">
        <f t="shared" ca="1" si="349"/>
        <v>0</v>
      </c>
    </row>
    <row r="1634" spans="1:25">
      <c r="A1634" s="5">
        <v>40767</v>
      </c>
      <c r="B1634" s="4">
        <v>7825.8</v>
      </c>
      <c r="C1634" s="4">
        <v>7853.53</v>
      </c>
      <c r="D1634" s="4">
        <v>7637.02</v>
      </c>
      <c r="E1634" s="4">
        <v>7637.02</v>
      </c>
      <c r="F1634" s="4">
        <v>3474600</v>
      </c>
      <c r="G1634" s="8">
        <f t="shared" si="351"/>
        <v>106.71000000000004</v>
      </c>
      <c r="H1634" s="8">
        <f t="shared" si="350"/>
        <v>-188.77999999999975</v>
      </c>
      <c r="I1634" s="20">
        <f t="shared" ca="1" si="343"/>
        <v>0</v>
      </c>
      <c r="J1634" s="8">
        <f t="shared" ca="1" si="344"/>
        <v>1</v>
      </c>
      <c r="K1634" s="8">
        <f t="shared" ca="1" si="345"/>
        <v>-82.069999999999709</v>
      </c>
      <c r="L1634" s="8">
        <f t="shared" ca="1" si="346"/>
        <v>15136.89000000001</v>
      </c>
      <c r="M1634" s="9">
        <f ca="1">AVERAGE(E1634:OFFSET(E1634,-M$5+1,0))</f>
        <v>8005.1710000000003</v>
      </c>
      <c r="N1634" s="9">
        <f ca="1">AVERAGE(E1634:OFFSET(E1634,-N$5+1,0))</f>
        <v>8350.5049999999992</v>
      </c>
      <c r="O1634" s="9">
        <f t="shared" ca="1" si="347"/>
        <v>0</v>
      </c>
      <c r="P1634" s="14">
        <f t="shared" si="352"/>
        <v>-1.0689006708934996</v>
      </c>
      <c r="Q1634" s="15">
        <f ca="1">STDEV(P1634:OFFSET(P1634,-$Q$5+1,0))</f>
        <v>2.4068098430508309</v>
      </c>
      <c r="R1634" s="15">
        <f ca="1">STDEV(P1634:OFFSET(P1634,-$R$5+1,0))</f>
        <v>1.4907079778894883</v>
      </c>
      <c r="S1634" s="18">
        <f t="shared" si="339"/>
        <v>216.50999999999931</v>
      </c>
      <c r="T1634" s="18">
        <f t="shared" si="340"/>
        <v>216.50999999999931</v>
      </c>
      <c r="U1634" s="18">
        <f t="shared" si="348"/>
        <v>240.18282756457199</v>
      </c>
      <c r="V1634" s="33">
        <f ca="1">AVERAGE(E1634:OFFSET(E1634,-V$5+1,0))</f>
        <v>8219.6299999999992</v>
      </c>
      <c r="W1634" s="33">
        <f t="shared" ca="1" si="341"/>
        <v>8579.9042413468578</v>
      </c>
      <c r="X1634" s="33">
        <f t="shared" ca="1" si="342"/>
        <v>7859.3557586531415</v>
      </c>
      <c r="Y1634" s="32">
        <f t="shared" ca="1" si="349"/>
        <v>0</v>
      </c>
    </row>
    <row r="1635" spans="1:25">
      <c r="A1635" s="5">
        <v>40770</v>
      </c>
      <c r="B1635" s="4">
        <v>7769.17</v>
      </c>
      <c r="C1635" s="4">
        <v>7819.39</v>
      </c>
      <c r="D1635" s="4">
        <v>7748.46</v>
      </c>
      <c r="E1635" s="4">
        <v>7819.39</v>
      </c>
      <c r="F1635" s="4">
        <v>2220000</v>
      </c>
      <c r="G1635" s="8">
        <f t="shared" si="351"/>
        <v>132.14999999999964</v>
      </c>
      <c r="H1635" s="8">
        <f t="shared" si="350"/>
        <v>50.220000000000255</v>
      </c>
      <c r="I1635" s="20">
        <f t="shared" ca="1" si="343"/>
        <v>0</v>
      </c>
      <c r="J1635" s="8">
        <f t="shared" ca="1" si="344"/>
        <v>1</v>
      </c>
      <c r="K1635" s="8">
        <f t="shared" ca="1" si="345"/>
        <v>182.36999999999989</v>
      </c>
      <c r="L1635" s="8">
        <f t="shared" ca="1" si="346"/>
        <v>15319.260000000009</v>
      </c>
      <c r="M1635" s="9">
        <f ca="1">AVERAGE(E1635:OFFSET(E1635,-M$5+1,0))</f>
        <v>7916.9720000000016</v>
      </c>
      <c r="N1635" s="9">
        <f ca="1">AVERAGE(E1635:OFFSET(E1635,-N$5+1,0))</f>
        <v>8314.5460000000021</v>
      </c>
      <c r="O1635" s="9">
        <f t="shared" ca="1" si="347"/>
        <v>0</v>
      </c>
      <c r="P1635" s="14">
        <f t="shared" si="352"/>
        <v>2.3599071667371829</v>
      </c>
      <c r="Q1635" s="15">
        <f ca="1">STDEV(P1635:OFFSET(P1635,-$Q$5+1,0))</f>
        <v>2.60751999700592</v>
      </c>
      <c r="R1635" s="15">
        <f ca="1">STDEV(P1635:OFFSET(P1635,-$R$5+1,0))</f>
        <v>1.5409844991393271</v>
      </c>
      <c r="S1635" s="18">
        <f t="shared" si="339"/>
        <v>70.930000000000291</v>
      </c>
      <c r="T1635" s="18">
        <f t="shared" si="340"/>
        <v>182.36999999999989</v>
      </c>
      <c r="U1635" s="18">
        <f t="shared" si="348"/>
        <v>232.47445055596236</v>
      </c>
      <c r="V1635" s="33">
        <f ca="1">AVERAGE(E1635:OFFSET(E1635,-V$5+1,0))</f>
        <v>8149.9978571428574</v>
      </c>
      <c r="W1635" s="33">
        <f t="shared" ca="1" si="341"/>
        <v>8498.7095329768017</v>
      </c>
      <c r="X1635" s="33">
        <f t="shared" ca="1" si="342"/>
        <v>7801.2861813089139</v>
      </c>
      <c r="Y1635" s="32">
        <f t="shared" ca="1" si="349"/>
        <v>0</v>
      </c>
    </row>
    <row r="1636" spans="1:25">
      <c r="A1636" s="5">
        <v>40771</v>
      </c>
      <c r="B1636" s="4">
        <v>7886.93</v>
      </c>
      <c r="C1636" s="4">
        <v>7896.19</v>
      </c>
      <c r="D1636" s="4">
        <v>7778.65</v>
      </c>
      <c r="E1636" s="4">
        <v>7798.59</v>
      </c>
      <c r="F1636" s="4">
        <v>2422600</v>
      </c>
      <c r="G1636" s="8">
        <f t="shared" si="351"/>
        <v>67.539999999999964</v>
      </c>
      <c r="H1636" s="8">
        <f t="shared" si="350"/>
        <v>-88.340000000000146</v>
      </c>
      <c r="I1636" s="20">
        <f t="shared" ca="1" si="343"/>
        <v>0</v>
      </c>
      <c r="J1636" s="8">
        <f t="shared" ca="1" si="344"/>
        <v>1</v>
      </c>
      <c r="K1636" s="8">
        <f t="shared" ca="1" si="345"/>
        <v>-20.800000000000182</v>
      </c>
      <c r="L1636" s="8">
        <f t="shared" ca="1" si="346"/>
        <v>15298.46000000001</v>
      </c>
      <c r="M1636" s="9">
        <f ca="1">AVERAGE(E1636:OFFSET(E1636,-M$5+1,0))</f>
        <v>7838.3589999999995</v>
      </c>
      <c r="N1636" s="9">
        <f ca="1">AVERAGE(E1636:OFFSET(E1636,-N$5+1,0))</f>
        <v>8278.2469999999994</v>
      </c>
      <c r="O1636" s="9">
        <f t="shared" ca="1" si="347"/>
        <v>0</v>
      </c>
      <c r="P1636" s="14">
        <f t="shared" si="352"/>
        <v>-0.26635982755229259</v>
      </c>
      <c r="Q1636" s="15">
        <f ca="1">STDEV(P1636:OFFSET(P1636,-$Q$5+1,0))</f>
        <v>2.6170365431383353</v>
      </c>
      <c r="R1636" s="15">
        <f ca="1">STDEV(P1636:OFFSET(P1636,-$R$5+1,0))</f>
        <v>1.5324442404565608</v>
      </c>
      <c r="S1636" s="18">
        <f t="shared" si="339"/>
        <v>117.53999999999996</v>
      </c>
      <c r="T1636" s="18">
        <f t="shared" si="340"/>
        <v>117.53999999999996</v>
      </c>
      <c r="U1636" s="18">
        <f t="shared" si="348"/>
        <v>217.14985714850073</v>
      </c>
      <c r="V1636" s="33">
        <f ca="1">AVERAGE(E1636:OFFSET(E1636,-V$5+1,0))</f>
        <v>8077.2192857142845</v>
      </c>
      <c r="W1636" s="33">
        <f t="shared" ca="1" si="341"/>
        <v>8402.9440714370357</v>
      </c>
      <c r="X1636" s="33">
        <f t="shared" ca="1" si="342"/>
        <v>7751.4944999915333</v>
      </c>
      <c r="Y1636" s="32">
        <f t="shared" ca="1" si="349"/>
        <v>0</v>
      </c>
    </row>
    <row r="1637" spans="1:25">
      <c r="A1637" s="5">
        <v>40772</v>
      </c>
      <c r="B1637" s="4">
        <v>7807.67</v>
      </c>
      <c r="C1637" s="4">
        <v>7821.99</v>
      </c>
      <c r="D1637" s="4">
        <v>7732.32</v>
      </c>
      <c r="E1637" s="4">
        <v>7741.76</v>
      </c>
      <c r="F1637" s="4">
        <v>2395200</v>
      </c>
      <c r="G1637" s="8">
        <f t="shared" si="351"/>
        <v>9.0799999999999272</v>
      </c>
      <c r="H1637" s="8">
        <f t="shared" si="350"/>
        <v>-65.909999999999854</v>
      </c>
      <c r="I1637" s="20">
        <f t="shared" ca="1" si="343"/>
        <v>0</v>
      </c>
      <c r="J1637" s="8">
        <f t="shared" ca="1" si="344"/>
        <v>1</v>
      </c>
      <c r="K1637" s="8">
        <f t="shared" ca="1" si="345"/>
        <v>-56.829999999999927</v>
      </c>
      <c r="L1637" s="8">
        <f t="shared" ca="1" si="346"/>
        <v>15241.63000000001</v>
      </c>
      <c r="M1637" s="9">
        <f ca="1">AVERAGE(E1637:OFFSET(E1637,-M$5+1,0))</f>
        <v>7766.8489999999993</v>
      </c>
      <c r="N1637" s="9">
        <f ca="1">AVERAGE(E1637:OFFSET(E1637,-N$5+1,0))</f>
        <v>8230.0264999999999</v>
      </c>
      <c r="O1637" s="9">
        <f t="shared" ca="1" si="347"/>
        <v>0</v>
      </c>
      <c r="P1637" s="14">
        <f t="shared" si="352"/>
        <v>-0.73138961907644662</v>
      </c>
      <c r="Q1637" s="15">
        <f ca="1">STDEV(P1637:OFFSET(P1637,-$Q$5+1,0))</f>
        <v>2.6106918265701542</v>
      </c>
      <c r="R1637" s="15">
        <f ca="1">STDEV(P1637:OFFSET(P1637,-$R$5+1,0))</f>
        <v>1.5319955730840051</v>
      </c>
      <c r="S1637" s="18">
        <f t="shared" si="339"/>
        <v>89.670000000000073</v>
      </c>
      <c r="T1637" s="18">
        <f t="shared" si="340"/>
        <v>89.670000000000073</v>
      </c>
      <c r="U1637" s="18">
        <f t="shared" si="348"/>
        <v>200.15254286203398</v>
      </c>
      <c r="V1637" s="33">
        <f ca="1">AVERAGE(E1637:OFFSET(E1637,-V$5+1,0))</f>
        <v>8003.9735714285707</v>
      </c>
      <c r="W1637" s="33">
        <f t="shared" ca="1" si="341"/>
        <v>8304.2023857216209</v>
      </c>
      <c r="X1637" s="33">
        <f t="shared" ca="1" si="342"/>
        <v>7703.7447571355196</v>
      </c>
      <c r="Y1637" s="32">
        <f t="shared" ca="1" si="349"/>
        <v>0</v>
      </c>
    </row>
    <row r="1638" spans="1:25">
      <c r="A1638" s="5">
        <v>40773</v>
      </c>
      <c r="B1638" s="4">
        <v>7721.19</v>
      </c>
      <c r="C1638" s="4">
        <v>7721.19</v>
      </c>
      <c r="D1638" s="4">
        <v>7561.02</v>
      </c>
      <c r="E1638" s="4">
        <v>7614.97</v>
      </c>
      <c r="F1638" s="4">
        <v>2615600</v>
      </c>
      <c r="G1638" s="8">
        <f t="shared" si="351"/>
        <v>-20.570000000000618</v>
      </c>
      <c r="H1638" s="8">
        <f t="shared" si="350"/>
        <v>-106.21999999999935</v>
      </c>
      <c r="I1638" s="20">
        <f t="shared" ca="1" si="343"/>
        <v>-1</v>
      </c>
      <c r="J1638" s="8">
        <f t="shared" ca="1" si="344"/>
        <v>1</v>
      </c>
      <c r="K1638" s="8">
        <f t="shared" ca="1" si="345"/>
        <v>-126.78999999999996</v>
      </c>
      <c r="L1638" s="8">
        <f t="shared" ca="1" si="346"/>
        <v>15114.840000000011</v>
      </c>
      <c r="M1638" s="9">
        <f ca="1">AVERAGE(E1638:OFFSET(E1638,-M$5+1,0))</f>
        <v>7696.6189999999988</v>
      </c>
      <c r="N1638" s="9">
        <f ca="1">AVERAGE(E1638:OFFSET(E1638,-N$5+1,0))</f>
        <v>8174.9180000000006</v>
      </c>
      <c r="O1638" s="9">
        <f t="shared" ca="1" si="347"/>
        <v>0</v>
      </c>
      <c r="P1638" s="14">
        <f t="shared" si="352"/>
        <v>-1.6513005186829386</v>
      </c>
      <c r="Q1638" s="15">
        <f ca="1">STDEV(P1638:OFFSET(P1638,-$Q$5+1,0))</f>
        <v>2.6102601398941268</v>
      </c>
      <c r="R1638" s="15">
        <f ca="1">STDEV(P1638:OFFSET(P1638,-$R$5+1,0))</f>
        <v>1.5466328514639338</v>
      </c>
      <c r="S1638" s="18">
        <f t="shared" si="339"/>
        <v>160.16999999999916</v>
      </c>
      <c r="T1638" s="18">
        <f t="shared" si="340"/>
        <v>180.73999999999978</v>
      </c>
      <c r="U1638" s="18">
        <f t="shared" si="348"/>
        <v>197.56420381376276</v>
      </c>
      <c r="V1638" s="33">
        <f ca="1">AVERAGE(E1638:OFFSET(E1638,-V$5+1,0))</f>
        <v>7930.4585714285713</v>
      </c>
      <c r="W1638" s="33">
        <f t="shared" ca="1" si="341"/>
        <v>8226.8048771492158</v>
      </c>
      <c r="X1638" s="33">
        <f t="shared" ca="1" si="342"/>
        <v>7634.1122657079268</v>
      </c>
      <c r="Y1638" s="32">
        <f t="shared" ca="1" si="349"/>
        <v>-1</v>
      </c>
    </row>
    <row r="1639" spans="1:25">
      <c r="A1639" s="5">
        <v>40774</v>
      </c>
      <c r="B1639" s="4">
        <v>7414.36</v>
      </c>
      <c r="C1639" s="4">
        <v>7429.96</v>
      </c>
      <c r="D1639" s="4">
        <v>7316.83</v>
      </c>
      <c r="E1639" s="4">
        <v>7342.96</v>
      </c>
      <c r="F1639" s="4">
        <v>2901400</v>
      </c>
      <c r="G1639" s="8">
        <f t="shared" si="351"/>
        <v>-200.61000000000058</v>
      </c>
      <c r="H1639" s="8">
        <f t="shared" si="350"/>
        <v>-71.399999999999636</v>
      </c>
      <c r="I1639" s="20">
        <f t="shared" ca="1" si="343"/>
        <v>0</v>
      </c>
      <c r="J1639" s="8">
        <f t="shared" ca="1" si="344"/>
        <v>0</v>
      </c>
      <c r="K1639" s="8">
        <f t="shared" ca="1" si="345"/>
        <v>-200.61000000000058</v>
      </c>
      <c r="L1639" s="8">
        <f t="shared" ca="1" si="346"/>
        <v>14914.23000000001</v>
      </c>
      <c r="M1639" s="9">
        <f ca="1">AVERAGE(E1639:OFFSET(E1639,-M$5+1,0))</f>
        <v>7645.6020000000008</v>
      </c>
      <c r="N1639" s="9">
        <f ca="1">AVERAGE(E1639:OFFSET(E1639,-N$5+1,0))</f>
        <v>8103.8</v>
      </c>
      <c r="O1639" s="9">
        <f t="shared" ca="1" si="347"/>
        <v>0</v>
      </c>
      <c r="P1639" s="14">
        <f t="shared" si="352"/>
        <v>-3.6374015656657002</v>
      </c>
      <c r="Q1639" s="15">
        <f ca="1">STDEV(P1639:OFFSET(P1639,-$Q$5+1,0))</f>
        <v>2.232329648540285</v>
      </c>
      <c r="R1639" s="15">
        <f ca="1">STDEV(P1639:OFFSET(P1639,-$R$5+1,0))</f>
        <v>1.6344997597421296</v>
      </c>
      <c r="S1639" s="18">
        <f t="shared" si="339"/>
        <v>113.13000000000011</v>
      </c>
      <c r="T1639" s="18">
        <f t="shared" si="340"/>
        <v>298.14000000000033</v>
      </c>
      <c r="U1639" s="18">
        <f t="shared" si="348"/>
        <v>210.97430997192777</v>
      </c>
      <c r="V1639" s="33">
        <f ca="1">AVERAGE(E1639:OFFSET(E1639,-V$5+1,0))</f>
        <v>7833.4285714285725</v>
      </c>
      <c r="W1639" s="33">
        <f t="shared" ca="1" si="341"/>
        <v>8149.8900363864641</v>
      </c>
      <c r="X1639" s="33">
        <f t="shared" ca="1" si="342"/>
        <v>7516.9671064706808</v>
      </c>
      <c r="Y1639" s="32">
        <f t="shared" ca="1" si="349"/>
        <v>0</v>
      </c>
    </row>
    <row r="1640" spans="1:25">
      <c r="A1640" s="5">
        <v>40777</v>
      </c>
      <c r="B1640" s="4">
        <v>7348.71</v>
      </c>
      <c r="C1640" s="4">
        <v>7468.74</v>
      </c>
      <c r="D1640" s="4">
        <v>7248.69</v>
      </c>
      <c r="E1640" s="4">
        <v>7312.59</v>
      </c>
      <c r="F1640" s="4">
        <v>2848000</v>
      </c>
      <c r="G1640" s="8">
        <f t="shared" si="351"/>
        <v>5.75</v>
      </c>
      <c r="H1640" s="8">
        <f t="shared" si="350"/>
        <v>-36.119999999999891</v>
      </c>
      <c r="I1640" s="20">
        <f t="shared" ca="1" si="343"/>
        <v>0</v>
      </c>
      <c r="J1640" s="8">
        <f t="shared" ca="1" si="344"/>
        <v>0</v>
      </c>
      <c r="K1640" s="8">
        <f t="shared" ca="1" si="345"/>
        <v>0</v>
      </c>
      <c r="L1640" s="8">
        <f t="shared" ca="1" si="346"/>
        <v>14914.23000000001</v>
      </c>
      <c r="M1640" s="9">
        <f ca="1">AVERAGE(E1640:OFFSET(E1640,-M$5+1,0))</f>
        <v>7621.5810000000001</v>
      </c>
      <c r="N1640" s="9">
        <f ca="1">AVERAGE(E1640:OFFSET(E1640,-N$5+1,0))</f>
        <v>8035.253999999999</v>
      </c>
      <c r="O1640" s="9">
        <f t="shared" ca="1" si="347"/>
        <v>0</v>
      </c>
      <c r="P1640" s="14">
        <f t="shared" si="352"/>
        <v>-0.4144510915255647</v>
      </c>
      <c r="Q1640" s="15">
        <f ca="1">STDEV(P1640:OFFSET(P1640,-$Q$5+1,0))</f>
        <v>1.9230600794996231</v>
      </c>
      <c r="R1640" s="15">
        <f ca="1">STDEV(P1640:OFFSET(P1640,-$R$5+1,0))</f>
        <v>1.634510983104434</v>
      </c>
      <c r="S1640" s="18">
        <f t="shared" si="339"/>
        <v>220.05000000000018</v>
      </c>
      <c r="T1640" s="18">
        <f t="shared" si="340"/>
        <v>220.05000000000018</v>
      </c>
      <c r="U1640" s="18">
        <f t="shared" si="348"/>
        <v>212.18440197567077</v>
      </c>
      <c r="V1640" s="33">
        <f ca="1">AVERAGE(E1640:OFFSET(E1640,-V$5+1,0))</f>
        <v>7742.5621428571421</v>
      </c>
      <c r="W1640" s="33">
        <f t="shared" ca="1" si="341"/>
        <v>8060.838745820648</v>
      </c>
      <c r="X1640" s="33">
        <f t="shared" ca="1" si="342"/>
        <v>7424.2855398936363</v>
      </c>
      <c r="Y1640" s="32">
        <f t="shared" ca="1" si="349"/>
        <v>0</v>
      </c>
    </row>
    <row r="1641" spans="1:25">
      <c r="A1641" s="5">
        <v>40778</v>
      </c>
      <c r="B1641" s="4">
        <v>7369.43</v>
      </c>
      <c r="C1641" s="4">
        <v>7564.64</v>
      </c>
      <c r="D1641" s="4">
        <v>7349.57</v>
      </c>
      <c r="E1641" s="4">
        <v>7550.23</v>
      </c>
      <c r="F1641" s="4">
        <v>2798400</v>
      </c>
      <c r="G1641" s="8">
        <f t="shared" si="351"/>
        <v>56.840000000000146</v>
      </c>
      <c r="H1641" s="8">
        <f t="shared" si="350"/>
        <v>180.79999999999927</v>
      </c>
      <c r="I1641" s="20">
        <f t="shared" ca="1" si="343"/>
        <v>0</v>
      </c>
      <c r="J1641" s="8">
        <f t="shared" ca="1" si="344"/>
        <v>0</v>
      </c>
      <c r="K1641" s="8">
        <f t="shared" ca="1" si="345"/>
        <v>0</v>
      </c>
      <c r="L1641" s="8">
        <f t="shared" ca="1" si="346"/>
        <v>14914.23000000001</v>
      </c>
      <c r="M1641" s="9">
        <f ca="1">AVERAGE(E1641:OFFSET(E1641,-M$5+1,0))</f>
        <v>7627.2919999999995</v>
      </c>
      <c r="N1641" s="9">
        <f ca="1">AVERAGE(E1641:OFFSET(E1641,-N$5+1,0))</f>
        <v>7973.0534999999991</v>
      </c>
      <c r="O1641" s="9">
        <f t="shared" ca="1" si="347"/>
        <v>0</v>
      </c>
      <c r="P1641" s="14">
        <f t="shared" si="352"/>
        <v>3.1980506198543326</v>
      </c>
      <c r="Q1641" s="15">
        <f ca="1">STDEV(P1641:OFFSET(P1641,-$Q$5+1,0))</f>
        <v>2.2077795715333903</v>
      </c>
      <c r="R1641" s="15">
        <f ca="1">STDEV(P1641:OFFSET(P1641,-$R$5+1,0))</f>
        <v>1.7295007023716409</v>
      </c>
      <c r="S1641" s="18">
        <f t="shared" si="339"/>
        <v>215.07000000000062</v>
      </c>
      <c r="T1641" s="18">
        <f t="shared" si="340"/>
        <v>252.05000000000018</v>
      </c>
      <c r="U1641" s="18">
        <f t="shared" si="348"/>
        <v>217.49981504558136</v>
      </c>
      <c r="V1641" s="33">
        <f ca="1">AVERAGE(E1641:OFFSET(E1641,-V$5+1,0))</f>
        <v>7677.8028571428567</v>
      </c>
      <c r="W1641" s="33">
        <f t="shared" ca="1" si="341"/>
        <v>8004.0525797112286</v>
      </c>
      <c r="X1641" s="33">
        <f t="shared" ca="1" si="342"/>
        <v>7351.5531345744848</v>
      </c>
      <c r="Y1641" s="32">
        <f t="shared" ca="1" si="349"/>
        <v>0</v>
      </c>
    </row>
    <row r="1642" spans="1:25">
      <c r="A1642" s="5">
        <v>40779</v>
      </c>
      <c r="B1642" s="4">
        <v>7592.51</v>
      </c>
      <c r="C1642" s="4">
        <v>7594.81</v>
      </c>
      <c r="D1642" s="4">
        <v>7432.52</v>
      </c>
      <c r="E1642" s="4">
        <v>7502.93</v>
      </c>
      <c r="F1642" s="4">
        <v>2874400</v>
      </c>
      <c r="G1642" s="8">
        <f t="shared" si="351"/>
        <v>42.280000000000655</v>
      </c>
      <c r="H1642" s="8">
        <f t="shared" si="350"/>
        <v>-89.579999999999927</v>
      </c>
      <c r="I1642" s="20">
        <f t="shared" ca="1" si="343"/>
        <v>0</v>
      </c>
      <c r="J1642" s="8">
        <f t="shared" ca="1" si="344"/>
        <v>0</v>
      </c>
      <c r="K1642" s="8">
        <f t="shared" ca="1" si="345"/>
        <v>0</v>
      </c>
      <c r="L1642" s="8">
        <f t="shared" ca="1" si="346"/>
        <v>14914.23000000001</v>
      </c>
      <c r="M1642" s="9">
        <f ca="1">AVERAGE(E1642:OFFSET(E1642,-M$5+1,0))</f>
        <v>7603.9529999999995</v>
      </c>
      <c r="N1642" s="9">
        <f ca="1">AVERAGE(E1642:OFFSET(E1642,-N$5+1,0))</f>
        <v>7907.325499999999</v>
      </c>
      <c r="O1642" s="9">
        <f t="shared" ca="1" si="347"/>
        <v>0</v>
      </c>
      <c r="P1642" s="14">
        <f t="shared" si="352"/>
        <v>-0.62844154545089215</v>
      </c>
      <c r="Q1642" s="15">
        <f ca="1">STDEV(P1642:OFFSET(P1642,-$Q$5+1,0))</f>
        <v>1.9200888534190916</v>
      </c>
      <c r="R1642" s="15">
        <f ca="1">STDEV(P1642:OFFSET(P1642,-$R$5+1,0))</f>
        <v>1.7152316606543609</v>
      </c>
      <c r="S1642" s="18">
        <f t="shared" si="339"/>
        <v>162.28999999999996</v>
      </c>
      <c r="T1642" s="18">
        <f t="shared" si="340"/>
        <v>162.28999999999996</v>
      </c>
      <c r="U1642" s="18">
        <f t="shared" si="348"/>
        <v>210.13850637283718</v>
      </c>
      <c r="V1642" s="33">
        <f ca="1">AVERAGE(E1642:OFFSET(E1642,-V$5+1,0))</f>
        <v>7619.6357142857141</v>
      </c>
      <c r="W1642" s="33">
        <f t="shared" ca="1" si="341"/>
        <v>7934.8434738449696</v>
      </c>
      <c r="X1642" s="33">
        <f t="shared" ca="1" si="342"/>
        <v>7304.4279547264587</v>
      </c>
      <c r="Y1642" s="32">
        <f t="shared" ca="1" si="349"/>
        <v>0</v>
      </c>
    </row>
    <row r="1643" spans="1:25">
      <c r="A1643" s="5">
        <v>40780</v>
      </c>
      <c r="B1643" s="4">
        <v>7559.47</v>
      </c>
      <c r="C1643" s="4">
        <v>7564.87</v>
      </c>
      <c r="D1643" s="4">
        <v>7409.02</v>
      </c>
      <c r="E1643" s="4">
        <v>7410.87</v>
      </c>
      <c r="F1643" s="4">
        <v>2588200</v>
      </c>
      <c r="G1643" s="8">
        <f t="shared" si="351"/>
        <v>56.539999999999964</v>
      </c>
      <c r="H1643" s="8">
        <f t="shared" si="350"/>
        <v>-148.60000000000036</v>
      </c>
      <c r="I1643" s="20">
        <f t="shared" ca="1" si="343"/>
        <v>0</v>
      </c>
      <c r="J1643" s="8">
        <f t="shared" ca="1" si="344"/>
        <v>0</v>
      </c>
      <c r="K1643" s="8">
        <f t="shared" ca="1" si="345"/>
        <v>0</v>
      </c>
      <c r="L1643" s="8">
        <f t="shared" ca="1" si="346"/>
        <v>14914.23000000001</v>
      </c>
      <c r="M1643" s="9">
        <f ca="1">AVERAGE(E1643:OFFSET(E1643,-M$5+1,0))</f>
        <v>7573.1309999999994</v>
      </c>
      <c r="N1643" s="9">
        <f ca="1">AVERAGE(E1643:OFFSET(E1643,-N$5+1,0))</f>
        <v>7839.509</v>
      </c>
      <c r="O1643" s="9">
        <f t="shared" ca="1" si="347"/>
        <v>0</v>
      </c>
      <c r="P1643" s="14">
        <f t="shared" si="352"/>
        <v>-1.2345769595586158</v>
      </c>
      <c r="Q1643" s="15">
        <f ca="1">STDEV(P1643:OFFSET(P1643,-$Q$5+1,0))</f>
        <v>1.9417356844229017</v>
      </c>
      <c r="R1643" s="15">
        <f ca="1">STDEV(P1643:OFFSET(P1643,-$R$5+1,0))</f>
        <v>1.7086852493986566</v>
      </c>
      <c r="S1643" s="18">
        <f t="shared" si="339"/>
        <v>155.84999999999945</v>
      </c>
      <c r="T1643" s="18">
        <f t="shared" si="340"/>
        <v>155.84999999999945</v>
      </c>
      <c r="U1643" s="18">
        <f t="shared" si="348"/>
        <v>202.90003885645882</v>
      </c>
      <c r="V1643" s="33">
        <f ca="1">AVERAGE(E1643:OFFSET(E1643,-V$5+1,0))</f>
        <v>7588.0457142857131</v>
      </c>
      <c r="W1643" s="33">
        <f t="shared" ca="1" si="341"/>
        <v>7892.3957725704013</v>
      </c>
      <c r="X1643" s="33">
        <f t="shared" ca="1" si="342"/>
        <v>7283.6956560010249</v>
      </c>
      <c r="Y1643" s="32">
        <f t="shared" ca="1" si="349"/>
        <v>0</v>
      </c>
    </row>
    <row r="1644" spans="1:25">
      <c r="A1644" s="5">
        <v>40781</v>
      </c>
      <c r="B1644" s="4">
        <v>7438.52</v>
      </c>
      <c r="C1644" s="4">
        <v>7503.38</v>
      </c>
      <c r="D1644" s="4">
        <v>7389.57</v>
      </c>
      <c r="E1644" s="4">
        <v>7445.1</v>
      </c>
      <c r="F1644" s="4">
        <v>2441000</v>
      </c>
      <c r="G1644" s="8">
        <f t="shared" si="351"/>
        <v>27.650000000000546</v>
      </c>
      <c r="H1644" s="8">
        <f t="shared" si="350"/>
        <v>6.5799999999999272</v>
      </c>
      <c r="I1644" s="20">
        <f t="shared" ca="1" si="343"/>
        <v>0</v>
      </c>
      <c r="J1644" s="8">
        <f t="shared" ca="1" si="344"/>
        <v>0</v>
      </c>
      <c r="K1644" s="8">
        <f t="shared" ca="1" si="345"/>
        <v>0</v>
      </c>
      <c r="L1644" s="8">
        <f t="shared" ca="1" si="346"/>
        <v>14914.23000000001</v>
      </c>
      <c r="M1644" s="9">
        <f ca="1">AVERAGE(E1644:OFFSET(E1644,-M$5+1,0))</f>
        <v>7553.9390000000003</v>
      </c>
      <c r="N1644" s="9">
        <f ca="1">AVERAGE(E1644:OFFSET(E1644,-N$5+1,0))</f>
        <v>7779.5550000000003</v>
      </c>
      <c r="O1644" s="9">
        <f t="shared" ca="1" si="347"/>
        <v>0</v>
      </c>
      <c r="P1644" s="14">
        <f t="shared" si="352"/>
        <v>0.46082565562195227</v>
      </c>
      <c r="Q1644" s="15">
        <f ca="1">STDEV(P1644:OFFSET(P1644,-$Q$5+1,0))</f>
        <v>1.9440944176276644</v>
      </c>
      <c r="R1644" s="15">
        <f ca="1">STDEV(P1644:OFFSET(P1644,-$R$5+1,0))</f>
        <v>1.6994977635990782</v>
      </c>
      <c r="S1644" s="18">
        <f t="shared" si="339"/>
        <v>113.8100000000004</v>
      </c>
      <c r="T1644" s="18">
        <f t="shared" si="340"/>
        <v>113.8100000000004</v>
      </c>
      <c r="U1644" s="18">
        <f t="shared" si="348"/>
        <v>191.02136700893104</v>
      </c>
      <c r="V1644" s="33">
        <f ca="1">AVERAGE(E1644:OFFSET(E1644,-V$5+1,0))</f>
        <v>7580.3528571428569</v>
      </c>
      <c r="W1644" s="33">
        <f t="shared" ca="1" si="341"/>
        <v>7866.8849076562537</v>
      </c>
      <c r="X1644" s="33">
        <f t="shared" ca="1" si="342"/>
        <v>7293.8208066294601</v>
      </c>
      <c r="Y1644" s="32">
        <f t="shared" ca="1" si="349"/>
        <v>0</v>
      </c>
    </row>
    <row r="1645" spans="1:25">
      <c r="A1645" s="5">
        <v>40784</v>
      </c>
      <c r="B1645" s="4">
        <v>7482.92</v>
      </c>
      <c r="C1645" s="4">
        <v>7608.77</v>
      </c>
      <c r="D1645" s="4">
        <v>7474.31</v>
      </c>
      <c r="E1645" s="4">
        <v>7578.01</v>
      </c>
      <c r="F1645" s="4">
        <v>1952800</v>
      </c>
      <c r="G1645" s="8">
        <f t="shared" si="351"/>
        <v>37.819999999999709</v>
      </c>
      <c r="H1645" s="8">
        <f t="shared" si="350"/>
        <v>95.090000000000146</v>
      </c>
      <c r="I1645" s="20">
        <f t="shared" ca="1" si="343"/>
        <v>0</v>
      </c>
      <c r="J1645" s="8">
        <f t="shared" ca="1" si="344"/>
        <v>0</v>
      </c>
      <c r="K1645" s="8">
        <f t="shared" ca="1" si="345"/>
        <v>0</v>
      </c>
      <c r="L1645" s="8">
        <f t="shared" ca="1" si="346"/>
        <v>14914.23000000001</v>
      </c>
      <c r="M1645" s="9">
        <f ca="1">AVERAGE(E1645:OFFSET(E1645,-M$5+1,0))</f>
        <v>7529.8009999999995</v>
      </c>
      <c r="N1645" s="9">
        <f ca="1">AVERAGE(E1645:OFFSET(E1645,-N$5+1,0))</f>
        <v>7723.3865000000005</v>
      </c>
      <c r="O1645" s="9">
        <f t="shared" ca="1" si="347"/>
        <v>0</v>
      </c>
      <c r="P1645" s="14">
        <f t="shared" si="352"/>
        <v>1.7694534325722642</v>
      </c>
      <c r="Q1645" s="15">
        <f ca="1">STDEV(P1645:OFFSET(P1645,-$Q$5+1,0))</f>
        <v>1.8631487918460041</v>
      </c>
      <c r="R1645" s="15">
        <f ca="1">STDEV(P1645:OFFSET(P1645,-$R$5+1,0))</f>
        <v>1.7295886335940891</v>
      </c>
      <c r="S1645" s="18">
        <f t="shared" si="339"/>
        <v>134.46000000000004</v>
      </c>
      <c r="T1645" s="18">
        <f t="shared" si="340"/>
        <v>163.67000000000007</v>
      </c>
      <c r="U1645" s="18">
        <f t="shared" si="348"/>
        <v>187.37451807440692</v>
      </c>
      <c r="V1645" s="33">
        <f ca="1">AVERAGE(E1645:OFFSET(E1645,-V$5+1,0))</f>
        <v>7586.4164285714287</v>
      </c>
      <c r="W1645" s="33">
        <f t="shared" ca="1" si="341"/>
        <v>7867.4782056830391</v>
      </c>
      <c r="X1645" s="33">
        <f t="shared" ca="1" si="342"/>
        <v>7305.3546514598183</v>
      </c>
      <c r="Y1645" s="32">
        <f t="shared" ca="1" si="349"/>
        <v>0</v>
      </c>
    </row>
    <row r="1646" spans="1:25">
      <c r="A1646" s="5">
        <v>40785</v>
      </c>
      <c r="B1646" s="4">
        <v>7654.37</v>
      </c>
      <c r="C1646" s="4">
        <v>7675.17</v>
      </c>
      <c r="D1646" s="4">
        <v>7599.27</v>
      </c>
      <c r="E1646" s="4">
        <v>7646.19</v>
      </c>
      <c r="F1646" s="4">
        <v>2556600</v>
      </c>
      <c r="G1646" s="8">
        <f t="shared" si="351"/>
        <v>76.359999999999673</v>
      </c>
      <c r="H1646" s="8">
        <f t="shared" si="350"/>
        <v>-8.180000000000291</v>
      </c>
      <c r="I1646" s="20">
        <f t="shared" ca="1" si="343"/>
        <v>0</v>
      </c>
      <c r="J1646" s="8">
        <f t="shared" ca="1" si="344"/>
        <v>0</v>
      </c>
      <c r="K1646" s="8">
        <f t="shared" ca="1" si="345"/>
        <v>0</v>
      </c>
      <c r="L1646" s="8">
        <f t="shared" ca="1" si="346"/>
        <v>14914.23000000001</v>
      </c>
      <c r="M1646" s="9">
        <f ca="1">AVERAGE(E1646:OFFSET(E1646,-M$5+1,0))</f>
        <v>7514.5609999999997</v>
      </c>
      <c r="N1646" s="9">
        <f ca="1">AVERAGE(E1646:OFFSET(E1646,-N$5+1,0))</f>
        <v>7676.4600000000009</v>
      </c>
      <c r="O1646" s="9">
        <f t="shared" ca="1" si="347"/>
        <v>0</v>
      </c>
      <c r="P1646" s="14">
        <f t="shared" si="352"/>
        <v>0.89568523551000945</v>
      </c>
      <c r="Q1646" s="15">
        <f ca="1">STDEV(P1646:OFFSET(P1646,-$Q$5+1,0))</f>
        <v>1.902247796140337</v>
      </c>
      <c r="R1646" s="15">
        <f ca="1">STDEV(P1646:OFFSET(P1646,-$R$5+1,0))</f>
        <v>1.7395672030669098</v>
      </c>
      <c r="S1646" s="18">
        <f t="shared" si="339"/>
        <v>75.899999999999636</v>
      </c>
      <c r="T1646" s="18">
        <f t="shared" si="340"/>
        <v>97.159999999999854</v>
      </c>
      <c r="U1646" s="18">
        <f t="shared" si="348"/>
        <v>175.34591566448597</v>
      </c>
      <c r="V1646" s="33">
        <f ca="1">AVERAGE(E1646:OFFSET(E1646,-V$5+1,0))</f>
        <v>7579.9785714285708</v>
      </c>
      <c r="W1646" s="33">
        <f t="shared" ca="1" si="341"/>
        <v>7842.9974449252995</v>
      </c>
      <c r="X1646" s="33">
        <f t="shared" ca="1" si="342"/>
        <v>7316.9596979318421</v>
      </c>
      <c r="Y1646" s="32">
        <f t="shared" ca="1" si="349"/>
        <v>0</v>
      </c>
    </row>
    <row r="1647" spans="1:25">
      <c r="A1647" s="5">
        <v>40786</v>
      </c>
      <c r="B1647" s="4">
        <v>7665.22</v>
      </c>
      <c r="C1647" s="4">
        <v>7741.36</v>
      </c>
      <c r="D1647" s="4">
        <v>7602.68</v>
      </c>
      <c r="E1647" s="4">
        <v>7741.36</v>
      </c>
      <c r="F1647" s="4">
        <v>2482400</v>
      </c>
      <c r="G1647" s="8">
        <f t="shared" si="351"/>
        <v>19.030000000000655</v>
      </c>
      <c r="H1647" s="8">
        <f t="shared" si="350"/>
        <v>76.139999999999418</v>
      </c>
      <c r="I1647" s="20">
        <f t="shared" ca="1" si="343"/>
        <v>0</v>
      </c>
      <c r="J1647" s="8">
        <f t="shared" ca="1" si="344"/>
        <v>0</v>
      </c>
      <c r="K1647" s="8">
        <f t="shared" ca="1" si="345"/>
        <v>0</v>
      </c>
      <c r="L1647" s="8">
        <f t="shared" ca="1" si="346"/>
        <v>14914.23000000001</v>
      </c>
      <c r="M1647" s="9">
        <f ca="1">AVERAGE(E1647:OFFSET(E1647,-M$5+1,0))</f>
        <v>7514.5210000000006</v>
      </c>
      <c r="N1647" s="9">
        <f ca="1">AVERAGE(E1647:OFFSET(E1647,-N$5+1,0))</f>
        <v>7640.6849999999995</v>
      </c>
      <c r="O1647" s="9">
        <f t="shared" ca="1" si="347"/>
        <v>0</v>
      </c>
      <c r="P1647" s="14">
        <f t="shared" si="352"/>
        <v>1.2369898200618308</v>
      </c>
      <c r="Q1647" s="15">
        <f ca="1">STDEV(P1647:OFFSET(P1647,-$Q$5+1,0))</f>
        <v>1.9422672602946947</v>
      </c>
      <c r="R1647" s="15">
        <f ca="1">STDEV(P1647:OFFSET(P1647,-$R$5+1,0))</f>
        <v>1.7531595554856139</v>
      </c>
      <c r="S1647" s="18">
        <f t="shared" si="339"/>
        <v>138.67999999999938</v>
      </c>
      <c r="T1647" s="18">
        <f t="shared" si="340"/>
        <v>138.67999999999938</v>
      </c>
      <c r="U1647" s="18">
        <f t="shared" si="348"/>
        <v>170.4571269092211</v>
      </c>
      <c r="V1647" s="33">
        <f ca="1">AVERAGE(E1647:OFFSET(E1647,-V$5+1,0))</f>
        <v>7581.5692857142858</v>
      </c>
      <c r="W1647" s="33">
        <f t="shared" ca="1" si="341"/>
        <v>7837.2549760781176</v>
      </c>
      <c r="X1647" s="33">
        <f t="shared" ca="1" si="342"/>
        <v>7325.883595350454</v>
      </c>
      <c r="Y1647" s="32">
        <f t="shared" ca="1" si="349"/>
        <v>0</v>
      </c>
    </row>
    <row r="1648" spans="1:25">
      <c r="A1648" s="5">
        <v>40787</v>
      </c>
      <c r="B1648" s="4">
        <v>7799.18</v>
      </c>
      <c r="C1648" s="4">
        <v>7886.04</v>
      </c>
      <c r="D1648" s="4">
        <v>7755.55</v>
      </c>
      <c r="E1648" s="4">
        <v>7757.76</v>
      </c>
      <c r="F1648" s="4">
        <v>3465400</v>
      </c>
      <c r="G1648" s="8">
        <f t="shared" si="351"/>
        <v>57.820000000000618</v>
      </c>
      <c r="H1648" s="8">
        <f t="shared" si="350"/>
        <v>-41.420000000000073</v>
      </c>
      <c r="I1648" s="20">
        <f t="shared" ca="1" si="343"/>
        <v>0</v>
      </c>
      <c r="J1648" s="8">
        <f t="shared" ca="1" si="344"/>
        <v>0</v>
      </c>
      <c r="K1648" s="8">
        <f t="shared" ca="1" si="345"/>
        <v>0</v>
      </c>
      <c r="L1648" s="8">
        <f t="shared" ca="1" si="346"/>
        <v>14914.23000000001</v>
      </c>
      <c r="M1648" s="9">
        <f ca="1">AVERAGE(E1648:OFFSET(E1648,-M$5+1,0))</f>
        <v>7528.8</v>
      </c>
      <c r="N1648" s="9">
        <f ca="1">AVERAGE(E1648:OFFSET(E1648,-N$5+1,0))</f>
        <v>7612.709499999999</v>
      </c>
      <c r="O1648" s="9">
        <f t="shared" ca="1" si="347"/>
        <v>0</v>
      </c>
      <c r="P1648" s="14">
        <f t="shared" si="352"/>
        <v>0.21162499704028298</v>
      </c>
      <c r="Q1648" s="15">
        <f ca="1">STDEV(P1648:OFFSET(P1648,-$Q$5+1,0))</f>
        <v>1.8536596444982356</v>
      </c>
      <c r="R1648" s="15">
        <f ca="1">STDEV(P1648:OFFSET(P1648,-$R$5+1,0))</f>
        <v>1.7547026861284938</v>
      </c>
      <c r="S1648" s="18">
        <f t="shared" si="339"/>
        <v>130.48999999999978</v>
      </c>
      <c r="T1648" s="18">
        <f t="shared" si="340"/>
        <v>144.68000000000029</v>
      </c>
      <c r="U1648" s="18">
        <f t="shared" si="348"/>
        <v>167.02017665465834</v>
      </c>
      <c r="V1648" s="33">
        <f ca="1">AVERAGE(E1648:OFFSET(E1648,-V$5+1,0))</f>
        <v>7590.193571428571</v>
      </c>
      <c r="W1648" s="33">
        <f t="shared" ca="1" si="341"/>
        <v>7840.7238364105588</v>
      </c>
      <c r="X1648" s="33">
        <f t="shared" ca="1" si="342"/>
        <v>7339.6633064465832</v>
      </c>
      <c r="Y1648" s="32">
        <f t="shared" ca="1" si="349"/>
        <v>0</v>
      </c>
    </row>
    <row r="1649" spans="1:25">
      <c r="A1649" s="5">
        <v>40788</v>
      </c>
      <c r="B1649" s="4">
        <v>7801.28</v>
      </c>
      <c r="C1649" s="4">
        <v>7801.28</v>
      </c>
      <c r="D1649" s="4">
        <v>7703.1</v>
      </c>
      <c r="E1649" s="4">
        <v>7757.06</v>
      </c>
      <c r="F1649" s="4">
        <v>2128800</v>
      </c>
      <c r="G1649" s="8">
        <f t="shared" si="351"/>
        <v>43.519999999999527</v>
      </c>
      <c r="H1649" s="8">
        <f t="shared" si="350"/>
        <v>-44.219999999999345</v>
      </c>
      <c r="I1649" s="20">
        <f t="shared" ca="1" si="343"/>
        <v>0</v>
      </c>
      <c r="J1649" s="8">
        <f t="shared" ca="1" si="344"/>
        <v>0</v>
      </c>
      <c r="K1649" s="8">
        <f t="shared" ca="1" si="345"/>
        <v>0</v>
      </c>
      <c r="L1649" s="8">
        <f t="shared" ca="1" si="346"/>
        <v>14914.23000000001</v>
      </c>
      <c r="M1649" s="9">
        <f ca="1">AVERAGE(E1649:OFFSET(E1649,-M$5+1,0))</f>
        <v>7570.2100000000009</v>
      </c>
      <c r="N1649" s="9">
        <f ca="1">AVERAGE(E1649:OFFSET(E1649,-N$5+1,0))</f>
        <v>7607.9059999999999</v>
      </c>
      <c r="O1649" s="9">
        <f t="shared" ca="1" si="347"/>
        <v>0</v>
      </c>
      <c r="P1649" s="14">
        <f t="shared" si="352"/>
        <v>-9.023630315720203E-3</v>
      </c>
      <c r="Q1649" s="15">
        <f ca="1">STDEV(P1649:OFFSET(P1649,-$Q$5+1,0))</f>
        <v>1.2922519219918009</v>
      </c>
      <c r="R1649" s="15">
        <f ca="1">STDEV(P1649:OFFSET(P1649,-$R$5+1,0))</f>
        <v>1.755332148279432</v>
      </c>
      <c r="S1649" s="18">
        <f t="shared" si="339"/>
        <v>98.179999999999382</v>
      </c>
      <c r="T1649" s="18">
        <f t="shared" si="340"/>
        <v>98.179999999999382</v>
      </c>
      <c r="U1649" s="18">
        <f t="shared" si="348"/>
        <v>157.84148643403714</v>
      </c>
      <c r="V1649" s="33">
        <f ca="1">AVERAGE(E1649:OFFSET(E1649,-V$5+1,0))</f>
        <v>7585.7414285714276</v>
      </c>
      <c r="W1649" s="33">
        <f t="shared" ca="1" si="341"/>
        <v>7822.503658222483</v>
      </c>
      <c r="X1649" s="33">
        <f t="shared" ca="1" si="342"/>
        <v>7348.9791989203723</v>
      </c>
      <c r="Y1649" s="32">
        <f t="shared" ca="1" si="349"/>
        <v>0</v>
      </c>
    </row>
    <row r="1650" spans="1:25">
      <c r="A1650" s="5">
        <v>40791</v>
      </c>
      <c r="B1650" s="4">
        <v>7637.9</v>
      </c>
      <c r="C1650" s="4">
        <v>7637.9</v>
      </c>
      <c r="D1650" s="4">
        <v>7538.58</v>
      </c>
      <c r="E1650" s="4">
        <v>7551.57</v>
      </c>
      <c r="F1650" s="4">
        <v>2161200</v>
      </c>
      <c r="G1650" s="8">
        <f t="shared" si="351"/>
        <v>-119.16000000000076</v>
      </c>
      <c r="H1650" s="8">
        <f t="shared" si="350"/>
        <v>-86.329999999999927</v>
      </c>
      <c r="I1650" s="20">
        <f t="shared" ca="1" si="343"/>
        <v>0</v>
      </c>
      <c r="J1650" s="8">
        <f t="shared" ca="1" si="344"/>
        <v>0</v>
      </c>
      <c r="K1650" s="8">
        <f t="shared" ca="1" si="345"/>
        <v>0</v>
      </c>
      <c r="L1650" s="8">
        <f t="shared" ca="1" si="346"/>
        <v>14914.23000000001</v>
      </c>
      <c r="M1650" s="9">
        <f ca="1">AVERAGE(E1650:OFFSET(E1650,-M$5+1,0))</f>
        <v>7594.108000000002</v>
      </c>
      <c r="N1650" s="9">
        <f ca="1">AVERAGE(E1650:OFFSET(E1650,-N$5+1,0))</f>
        <v>7607.8445000000011</v>
      </c>
      <c r="O1650" s="9">
        <f t="shared" ca="1" si="347"/>
        <v>0</v>
      </c>
      <c r="P1650" s="14">
        <f t="shared" si="352"/>
        <v>-2.6847907765082066</v>
      </c>
      <c r="Q1650" s="15">
        <f ca="1">STDEV(P1650:OFFSET(P1650,-$Q$5+1,0))</f>
        <v>1.634394265804374</v>
      </c>
      <c r="R1650" s="15">
        <f ca="1">STDEV(P1650:OFFSET(P1650,-$R$5+1,0))</f>
        <v>1.7927113861212811</v>
      </c>
      <c r="S1650" s="18">
        <f t="shared" si="339"/>
        <v>99.319999999999709</v>
      </c>
      <c r="T1650" s="18">
        <f t="shared" si="340"/>
        <v>218.48000000000047</v>
      </c>
      <c r="U1650" s="18">
        <f t="shared" si="348"/>
        <v>165.92662157616559</v>
      </c>
      <c r="V1650" s="33">
        <f ca="1">AVERAGE(E1650:OFFSET(E1650,-V$5+1,0))</f>
        <v>7568.097142857142</v>
      </c>
      <c r="W1650" s="33">
        <f t="shared" ca="1" si="341"/>
        <v>7816.9870752213901</v>
      </c>
      <c r="X1650" s="33">
        <f t="shared" ca="1" si="342"/>
        <v>7319.2072104928939</v>
      </c>
      <c r="Y1650" s="32">
        <f t="shared" ca="1" si="349"/>
        <v>0</v>
      </c>
    </row>
    <row r="1651" spans="1:25">
      <c r="A1651" s="5">
        <v>40792</v>
      </c>
      <c r="B1651" s="4">
        <v>7496.24</v>
      </c>
      <c r="C1651" s="4">
        <v>7522.94</v>
      </c>
      <c r="D1651" s="4">
        <v>7357.76</v>
      </c>
      <c r="E1651" s="4">
        <v>7367.19</v>
      </c>
      <c r="F1651" s="4">
        <v>2654200</v>
      </c>
      <c r="G1651" s="8">
        <f t="shared" si="351"/>
        <v>-55.329999999999927</v>
      </c>
      <c r="H1651" s="8">
        <f t="shared" si="350"/>
        <v>-129.05000000000018</v>
      </c>
      <c r="I1651" s="20">
        <f t="shared" ca="1" si="343"/>
        <v>0</v>
      </c>
      <c r="J1651" s="8">
        <f t="shared" ca="1" si="344"/>
        <v>0</v>
      </c>
      <c r="K1651" s="8">
        <f t="shared" ca="1" si="345"/>
        <v>0</v>
      </c>
      <c r="L1651" s="8">
        <f t="shared" ca="1" si="346"/>
        <v>14914.23000000001</v>
      </c>
      <c r="M1651" s="9">
        <f ca="1">AVERAGE(E1651:OFFSET(E1651,-M$5+1,0))</f>
        <v>7575.804000000001</v>
      </c>
      <c r="N1651" s="9">
        <f ca="1">AVERAGE(E1651:OFFSET(E1651,-N$5+1,0))</f>
        <v>7601.5480000000007</v>
      </c>
      <c r="O1651" s="9">
        <f t="shared" ca="1" si="347"/>
        <v>0</v>
      </c>
      <c r="P1651" s="14">
        <f t="shared" si="352"/>
        <v>-2.4719130606509654</v>
      </c>
      <c r="Q1651" s="15">
        <f ca="1">STDEV(P1651:OFFSET(P1651,-$Q$5+1,0))</f>
        <v>1.5039159776558129</v>
      </c>
      <c r="R1651" s="15">
        <f ca="1">STDEV(P1651:OFFSET(P1651,-$R$5+1,0))</f>
        <v>1.80449335117759</v>
      </c>
      <c r="S1651" s="18">
        <f t="shared" si="339"/>
        <v>165.17999999999938</v>
      </c>
      <c r="T1651" s="18">
        <f t="shared" si="340"/>
        <v>193.80999999999949</v>
      </c>
      <c r="U1651" s="18">
        <f t="shared" si="348"/>
        <v>169.64440536601012</v>
      </c>
      <c r="V1651" s="33">
        <f ca="1">AVERAGE(E1651:OFFSET(E1651,-V$5+1,0))</f>
        <v>7541.3421428571437</v>
      </c>
      <c r="W1651" s="33">
        <f t="shared" ca="1" si="341"/>
        <v>7795.8087509061588</v>
      </c>
      <c r="X1651" s="33">
        <f t="shared" ca="1" si="342"/>
        <v>7286.8755348081286</v>
      </c>
      <c r="Y1651" s="32">
        <f t="shared" ca="1" si="349"/>
        <v>0</v>
      </c>
    </row>
    <row r="1652" spans="1:25">
      <c r="A1652" s="5">
        <v>40793</v>
      </c>
      <c r="B1652" s="4">
        <v>7468.29</v>
      </c>
      <c r="C1652" s="4">
        <v>7529.01</v>
      </c>
      <c r="D1652" s="4">
        <v>7428.7</v>
      </c>
      <c r="E1652" s="4">
        <v>7529.01</v>
      </c>
      <c r="F1652" s="4">
        <v>2179800</v>
      </c>
      <c r="G1652" s="8">
        <f t="shared" si="351"/>
        <v>101.10000000000036</v>
      </c>
      <c r="H1652" s="8">
        <f t="shared" si="350"/>
        <v>60.720000000000255</v>
      </c>
      <c r="I1652" s="20">
        <f t="shared" ca="1" si="343"/>
        <v>0</v>
      </c>
      <c r="J1652" s="8">
        <f t="shared" ca="1" si="344"/>
        <v>0</v>
      </c>
      <c r="K1652" s="8">
        <f t="shared" ca="1" si="345"/>
        <v>0</v>
      </c>
      <c r="L1652" s="8">
        <f t="shared" ca="1" si="346"/>
        <v>14914.23000000001</v>
      </c>
      <c r="M1652" s="9">
        <f ca="1">AVERAGE(E1652:OFFSET(E1652,-M$5+1,0))</f>
        <v>7578.4119999999994</v>
      </c>
      <c r="N1652" s="9">
        <f ca="1">AVERAGE(E1652:OFFSET(E1652,-N$5+1,0))</f>
        <v>7591.1824999999999</v>
      </c>
      <c r="O1652" s="9">
        <f t="shared" ca="1" si="347"/>
        <v>0</v>
      </c>
      <c r="P1652" s="14">
        <f t="shared" si="352"/>
        <v>2.1727201008432488</v>
      </c>
      <c r="Q1652" s="15">
        <f ca="1">STDEV(P1652:OFFSET(P1652,-$Q$5+1,0))</f>
        <v>1.6757053644105744</v>
      </c>
      <c r="R1652" s="15">
        <f ca="1">STDEV(P1652:OFFSET(P1652,-$R$5+1,0))</f>
        <v>1.8477729178364235</v>
      </c>
      <c r="S1652" s="18">
        <f t="shared" si="339"/>
        <v>100.3100000000004</v>
      </c>
      <c r="T1652" s="18">
        <f t="shared" si="340"/>
        <v>161.82000000000062</v>
      </c>
      <c r="U1652" s="18">
        <f t="shared" si="348"/>
        <v>168.60115131720886</v>
      </c>
      <c r="V1652" s="33">
        <f ca="1">AVERAGE(E1652:OFFSET(E1652,-V$5+1,0))</f>
        <v>7535.2021428571434</v>
      </c>
      <c r="W1652" s="33">
        <f t="shared" ca="1" si="341"/>
        <v>7788.1038698329567</v>
      </c>
      <c r="X1652" s="33">
        <f t="shared" ca="1" si="342"/>
        <v>7282.3004158813301</v>
      </c>
      <c r="Y1652" s="32">
        <f t="shared" ca="1" si="349"/>
        <v>0</v>
      </c>
    </row>
    <row r="1653" spans="1:25">
      <c r="A1653" s="5">
        <v>40794</v>
      </c>
      <c r="B1653" s="4">
        <v>7601.29</v>
      </c>
      <c r="C1653" s="4">
        <v>7626.78</v>
      </c>
      <c r="D1653" s="4">
        <v>7520.76</v>
      </c>
      <c r="E1653" s="4">
        <v>7548.37</v>
      </c>
      <c r="F1653" s="4">
        <v>2342000</v>
      </c>
      <c r="G1653" s="8">
        <f t="shared" si="351"/>
        <v>72.279999999999745</v>
      </c>
      <c r="H1653" s="8">
        <f t="shared" si="350"/>
        <v>-52.920000000000073</v>
      </c>
      <c r="I1653" s="20">
        <f t="shared" ca="1" si="343"/>
        <v>0</v>
      </c>
      <c r="J1653" s="8">
        <f t="shared" ca="1" si="344"/>
        <v>0</v>
      </c>
      <c r="K1653" s="8">
        <f t="shared" ca="1" si="345"/>
        <v>0</v>
      </c>
      <c r="L1653" s="8">
        <f t="shared" ca="1" si="346"/>
        <v>14914.23000000001</v>
      </c>
      <c r="M1653" s="9">
        <f ca="1">AVERAGE(E1653:OFFSET(E1653,-M$5+1,0))</f>
        <v>7592.1619999999994</v>
      </c>
      <c r="N1653" s="9">
        <f ca="1">AVERAGE(E1653:OFFSET(E1653,-N$5+1,0))</f>
        <v>7582.6464999999998</v>
      </c>
      <c r="O1653" s="9">
        <f t="shared" ca="1" si="347"/>
        <v>1</v>
      </c>
      <c r="P1653" s="14">
        <f t="shared" si="352"/>
        <v>0.25680868479862279</v>
      </c>
      <c r="Q1653" s="15">
        <f ca="1">STDEV(P1653:OFFSET(P1653,-$Q$5+1,0))</f>
        <v>1.6154718235889383</v>
      </c>
      <c r="R1653" s="15">
        <f ca="1">STDEV(P1653:OFFSET(P1653,-$R$5+1,0))</f>
        <v>1.849563798621279</v>
      </c>
      <c r="S1653" s="18">
        <f t="shared" ref="S1653:S1682" si="353">C1653-D1653</f>
        <v>106.01999999999953</v>
      </c>
      <c r="T1653" s="18">
        <f t="shared" ref="T1653:T1682" si="354">MAX(C1653,E1652)-MIN(D1653,E1652)</f>
        <v>106.01999999999953</v>
      </c>
      <c r="U1653" s="18">
        <f t="shared" si="348"/>
        <v>160.25699780824763</v>
      </c>
      <c r="V1653" s="33">
        <f ca="1">AVERAGE(E1653:OFFSET(E1653,-V$5+1,0))</f>
        <v>7549.8742857142861</v>
      </c>
      <c r="W1653" s="33">
        <f t="shared" ref="W1653:W1682" ca="1" si="355">V1653+W$5*U1653</f>
        <v>7790.2597824266577</v>
      </c>
      <c r="X1653" s="33">
        <f t="shared" ref="X1653:X1682" ca="1" si="356">V1653-W$5*U1653</f>
        <v>7309.4887890019145</v>
      </c>
      <c r="Y1653" s="32">
        <f t="shared" ca="1" si="349"/>
        <v>0</v>
      </c>
    </row>
    <row r="1654" spans="1:25">
      <c r="A1654" s="5">
        <v>40795</v>
      </c>
      <c r="B1654" s="4">
        <v>7568.22</v>
      </c>
      <c r="C1654" s="4">
        <v>7651.27</v>
      </c>
      <c r="D1654" s="4">
        <v>7547</v>
      </c>
      <c r="E1654" s="4">
        <v>7610.57</v>
      </c>
      <c r="F1654" s="4">
        <v>2094200</v>
      </c>
      <c r="G1654" s="8">
        <f t="shared" si="351"/>
        <v>19.850000000000364</v>
      </c>
      <c r="H1654" s="8">
        <f t="shared" si="350"/>
        <v>42.349999999999454</v>
      </c>
      <c r="I1654" s="20">
        <f t="shared" ref="I1654:I1682" ca="1" si="357">Y1654</f>
        <v>0</v>
      </c>
      <c r="J1654" s="8">
        <f t="shared" ref="J1654:J1682" ca="1" si="358">IF((J1653+I1653)&gt;=J$5,J$5,IF((J1653+I1653)&lt;=J$7,J$7,J1653+I1653))</f>
        <v>0</v>
      </c>
      <c r="K1654" s="8">
        <f t="shared" ref="K1654:K1682" ca="1" si="359">J1653*G1654+J1654*H1654</f>
        <v>0</v>
      </c>
      <c r="L1654" s="8">
        <f t="shared" ref="L1654:L1682" ca="1" si="360">L1653+K1654</f>
        <v>14914.23000000001</v>
      </c>
      <c r="M1654" s="9">
        <f ca="1">AVERAGE(E1654:OFFSET(E1654,-M$5+1,0))</f>
        <v>7608.7089999999998</v>
      </c>
      <c r="N1654" s="9">
        <f ca="1">AVERAGE(E1654:OFFSET(E1654,-N$5+1,0))</f>
        <v>7581.3240000000005</v>
      </c>
      <c r="O1654" s="9">
        <f t="shared" ref="O1654:O1682" ca="1" si="361">IF(AND(M1653&lt;=N1653,M1654&gt;N1654),1,IF(AND(M1653&gt;=N1653,M1654&lt;N1654),-1,0))</f>
        <v>0</v>
      </c>
      <c r="P1654" s="14">
        <f t="shared" si="352"/>
        <v>0.82064246013625075</v>
      </c>
      <c r="Q1654" s="15">
        <f ca="1">STDEV(P1654:OFFSET(P1654,-$Q$5+1,0))</f>
        <v>1.6262975615407347</v>
      </c>
      <c r="R1654" s="15">
        <f ca="1">STDEV(P1654:OFFSET(P1654,-$R$5+1,0))</f>
        <v>1.844752974413461</v>
      </c>
      <c r="S1654" s="18">
        <f t="shared" si="353"/>
        <v>104.27000000000044</v>
      </c>
      <c r="T1654" s="18">
        <f t="shared" si="354"/>
        <v>104.27000000000044</v>
      </c>
      <c r="U1654" s="18">
        <f t="shared" ref="U1654:U1682" si="362">$U$5*T1654+(1-$U$5)*U1653</f>
        <v>152.79206476714802</v>
      </c>
      <c r="V1654" s="33">
        <f ca="1">AVERAGE(E1654:OFFSET(E1654,-V$5+1,0))</f>
        <v>7571.1585714285711</v>
      </c>
      <c r="W1654" s="33">
        <f t="shared" ca="1" si="355"/>
        <v>7800.3466685792928</v>
      </c>
      <c r="X1654" s="33">
        <f t="shared" ca="1" si="356"/>
        <v>7341.9704742778495</v>
      </c>
      <c r="Y1654" s="32">
        <f t="shared" ref="Y1654:Y1682" ca="1" si="363">IF(AND(E1653&gt;X1653,E1654&lt;X1654),-1,IF(AND(E1653&lt;W1653,E1654&gt;W1654),1,0))</f>
        <v>0</v>
      </c>
    </row>
    <row r="1655" spans="1:25">
      <c r="A1655" s="5">
        <v>40799</v>
      </c>
      <c r="B1655" s="4">
        <v>7530</v>
      </c>
      <c r="C1655" s="4">
        <v>7538.04</v>
      </c>
      <c r="D1655" s="4">
        <v>7382</v>
      </c>
      <c r="E1655" s="4">
        <v>7391.37</v>
      </c>
      <c r="F1655" s="4">
        <v>2371600</v>
      </c>
      <c r="G1655" s="8">
        <f t="shared" si="351"/>
        <v>-80.569999999999709</v>
      </c>
      <c r="H1655" s="8">
        <f t="shared" si="350"/>
        <v>-138.63000000000011</v>
      </c>
      <c r="I1655" s="20">
        <f t="shared" ca="1" si="357"/>
        <v>0</v>
      </c>
      <c r="J1655" s="8">
        <f t="shared" ca="1" si="358"/>
        <v>0</v>
      </c>
      <c r="K1655" s="8">
        <f t="shared" ca="1" si="359"/>
        <v>0</v>
      </c>
      <c r="L1655" s="8">
        <f t="shared" ca="1" si="360"/>
        <v>14914.23000000001</v>
      </c>
      <c r="M1655" s="9">
        <f ca="1">AVERAGE(E1655:OFFSET(E1655,-M$5+1,0))</f>
        <v>7590.045000000001</v>
      </c>
      <c r="N1655" s="9">
        <f ca="1">AVERAGE(E1655:OFFSET(E1655,-N$5+1,0))</f>
        <v>7559.9229999999998</v>
      </c>
      <c r="O1655" s="9">
        <f t="shared" ca="1" si="361"/>
        <v>0</v>
      </c>
      <c r="P1655" s="14">
        <f t="shared" si="352"/>
        <v>-2.9224967079482385</v>
      </c>
      <c r="Q1655" s="15">
        <f ca="1">STDEV(P1655:OFFSET(P1655,-$Q$5+1,0))</f>
        <v>1.7973728409893779</v>
      </c>
      <c r="R1655" s="15">
        <f ca="1">STDEV(P1655:OFFSET(P1655,-$R$5+1,0))</f>
        <v>1.8908423351472696</v>
      </c>
      <c r="S1655" s="18">
        <f t="shared" si="353"/>
        <v>156.03999999999996</v>
      </c>
      <c r="T1655" s="18">
        <f t="shared" si="354"/>
        <v>228.56999999999971</v>
      </c>
      <c r="U1655" s="18">
        <f t="shared" si="362"/>
        <v>162.89578946486159</v>
      </c>
      <c r="V1655" s="33">
        <f ca="1">AVERAGE(E1655:OFFSET(E1655,-V$5+1,0))</f>
        <v>7559.8114285714273</v>
      </c>
      <c r="W1655" s="33">
        <f t="shared" ca="1" si="355"/>
        <v>7804.1551127687198</v>
      </c>
      <c r="X1655" s="33">
        <f t="shared" ca="1" si="356"/>
        <v>7315.4677443741348</v>
      </c>
      <c r="Y1655" s="32">
        <f t="shared" ca="1" si="363"/>
        <v>0</v>
      </c>
    </row>
    <row r="1656" spans="1:25">
      <c r="A1656" s="5">
        <v>40800</v>
      </c>
      <c r="B1656" s="4">
        <v>7455.5</v>
      </c>
      <c r="C1656" s="4">
        <v>7477.86</v>
      </c>
      <c r="D1656" s="4">
        <v>7186.75</v>
      </c>
      <c r="E1656" s="4">
        <v>7228.47</v>
      </c>
      <c r="F1656" s="4">
        <v>3096600</v>
      </c>
      <c r="G1656" s="8">
        <f t="shared" si="351"/>
        <v>64.130000000000109</v>
      </c>
      <c r="H1656" s="8">
        <f t="shared" si="350"/>
        <v>-227.02999999999975</v>
      </c>
      <c r="I1656" s="20">
        <f t="shared" ca="1" si="357"/>
        <v>-1</v>
      </c>
      <c r="J1656" s="8">
        <f t="shared" ca="1" si="358"/>
        <v>0</v>
      </c>
      <c r="K1656" s="8">
        <f t="shared" ca="1" si="359"/>
        <v>0</v>
      </c>
      <c r="L1656" s="8">
        <f t="shared" ca="1" si="360"/>
        <v>14914.23000000001</v>
      </c>
      <c r="M1656" s="9">
        <f ca="1">AVERAGE(E1656:OFFSET(E1656,-M$5+1,0))</f>
        <v>7548.273000000001</v>
      </c>
      <c r="N1656" s="9">
        <f ca="1">AVERAGE(E1656:OFFSET(E1656,-N$5+1,0))</f>
        <v>7531.4169999999986</v>
      </c>
      <c r="O1656" s="9">
        <f t="shared" ca="1" si="361"/>
        <v>0</v>
      </c>
      <c r="P1656" s="14">
        <f t="shared" si="352"/>
        <v>-2.2285707915496302</v>
      </c>
      <c r="Q1656" s="15">
        <f ca="1">STDEV(P1656:OFFSET(P1656,-$Q$5+1,0))</f>
        <v>1.8470666183648017</v>
      </c>
      <c r="R1656" s="15">
        <f ca="1">STDEV(P1656:OFFSET(P1656,-$R$5+1,0))</f>
        <v>1.9133795924282451</v>
      </c>
      <c r="S1656" s="18">
        <f t="shared" si="353"/>
        <v>291.10999999999967</v>
      </c>
      <c r="T1656" s="18">
        <f t="shared" si="354"/>
        <v>291.10999999999967</v>
      </c>
      <c r="U1656" s="18">
        <f t="shared" si="362"/>
        <v>179.99101753621335</v>
      </c>
      <c r="V1656" s="33">
        <f ca="1">AVERAGE(E1656:OFFSET(E1656,-V$5+1,0))</f>
        <v>7540.2071428571426</v>
      </c>
      <c r="W1656" s="33">
        <f t="shared" ca="1" si="355"/>
        <v>7810.1936691614628</v>
      </c>
      <c r="X1656" s="33">
        <f t="shared" ca="1" si="356"/>
        <v>7270.2206165528223</v>
      </c>
      <c r="Y1656" s="32">
        <f t="shared" ca="1" si="363"/>
        <v>-1</v>
      </c>
    </row>
    <row r="1657" spans="1:25">
      <c r="A1657" s="5">
        <v>40801</v>
      </c>
      <c r="B1657" s="4">
        <v>7374.58</v>
      </c>
      <c r="C1657" s="4">
        <v>7430.29</v>
      </c>
      <c r="D1657" s="4">
        <v>7348.21</v>
      </c>
      <c r="E1657" s="4">
        <v>7385.68</v>
      </c>
      <c r="F1657" s="4">
        <v>2425000</v>
      </c>
      <c r="G1657" s="8">
        <f t="shared" si="351"/>
        <v>146.10999999999967</v>
      </c>
      <c r="H1657" s="8">
        <f t="shared" si="350"/>
        <v>11.100000000000364</v>
      </c>
      <c r="I1657" s="20">
        <f t="shared" ca="1" si="357"/>
        <v>0</v>
      </c>
      <c r="J1657" s="8">
        <f t="shared" ca="1" si="358"/>
        <v>-1</v>
      </c>
      <c r="K1657" s="8">
        <f t="shared" ca="1" si="359"/>
        <v>-11.100000000000364</v>
      </c>
      <c r="L1657" s="8">
        <f t="shared" ca="1" si="360"/>
        <v>14903.13000000001</v>
      </c>
      <c r="M1657" s="9">
        <f ca="1">AVERAGE(E1657:OFFSET(E1657,-M$5+1,0))</f>
        <v>7512.704999999999</v>
      </c>
      <c r="N1657" s="9">
        <f ca="1">AVERAGE(E1657:OFFSET(E1657,-N$5+1,0))</f>
        <v>7513.6129999999994</v>
      </c>
      <c r="O1657" s="9">
        <f t="shared" ca="1" si="361"/>
        <v>-1</v>
      </c>
      <c r="P1657" s="14">
        <f t="shared" si="352"/>
        <v>2.1515594762841941</v>
      </c>
      <c r="Q1657" s="15">
        <f ca="1">STDEV(P1657:OFFSET(P1657,-$Q$5+1,0))</f>
        <v>1.964912452897237</v>
      </c>
      <c r="R1657" s="15">
        <f ca="1">STDEV(P1657:OFFSET(P1657,-$R$5+1,0))</f>
        <v>1.9148646778765577</v>
      </c>
      <c r="S1657" s="18">
        <f t="shared" si="353"/>
        <v>82.079999999999927</v>
      </c>
      <c r="T1657" s="18">
        <f t="shared" si="354"/>
        <v>201.81999999999971</v>
      </c>
      <c r="U1657" s="18">
        <f t="shared" si="362"/>
        <v>182.90154853138489</v>
      </c>
      <c r="V1657" s="33">
        <f ca="1">AVERAGE(E1657:OFFSET(E1657,-V$5+1,0))</f>
        <v>7538.4078571428563</v>
      </c>
      <c r="W1657" s="33">
        <f t="shared" ca="1" si="355"/>
        <v>7812.7601799399336</v>
      </c>
      <c r="X1657" s="33">
        <f t="shared" ca="1" si="356"/>
        <v>7264.0555343457791</v>
      </c>
      <c r="Y1657" s="32">
        <f t="shared" ca="1" si="363"/>
        <v>0</v>
      </c>
    </row>
    <row r="1658" spans="1:25">
      <c r="A1658" s="5">
        <v>40802</v>
      </c>
      <c r="B1658" s="4">
        <v>7494.29</v>
      </c>
      <c r="C1658" s="4">
        <v>7606.7</v>
      </c>
      <c r="D1658" s="4">
        <v>7494.29</v>
      </c>
      <c r="E1658" s="4">
        <v>7577.4</v>
      </c>
      <c r="F1658" s="4">
        <v>3027600</v>
      </c>
      <c r="G1658" s="8">
        <f t="shared" si="351"/>
        <v>108.60999999999967</v>
      </c>
      <c r="H1658" s="8">
        <f t="shared" si="350"/>
        <v>83.109999999999673</v>
      </c>
      <c r="I1658" s="20">
        <f t="shared" ca="1" si="357"/>
        <v>0</v>
      </c>
      <c r="J1658" s="8">
        <f t="shared" ca="1" si="358"/>
        <v>-1</v>
      </c>
      <c r="K1658" s="8">
        <f t="shared" ca="1" si="359"/>
        <v>-191.71999999999935</v>
      </c>
      <c r="L1658" s="8">
        <f t="shared" ca="1" si="360"/>
        <v>14711.410000000011</v>
      </c>
      <c r="M1658" s="9">
        <f ca="1">AVERAGE(E1658:OFFSET(E1658,-M$5+1,0))</f>
        <v>7494.6689999999999</v>
      </c>
      <c r="N1658" s="9">
        <f ca="1">AVERAGE(E1658:OFFSET(E1658,-N$5+1,0))</f>
        <v>7511.7344999999987</v>
      </c>
      <c r="O1658" s="9">
        <f t="shared" ca="1" si="361"/>
        <v>0</v>
      </c>
      <c r="P1658" s="14">
        <f t="shared" si="352"/>
        <v>2.5627142616091216</v>
      </c>
      <c r="Q1658" s="15">
        <f ca="1">STDEV(P1658:OFFSET(P1658,-$Q$5+1,0))</f>
        <v>2.1840209300656892</v>
      </c>
      <c r="R1658" s="15">
        <f ca="1">STDEV(P1658:OFFSET(P1658,-$R$5+1,0))</f>
        <v>1.9703500139189749</v>
      </c>
      <c r="S1658" s="18">
        <f t="shared" si="353"/>
        <v>112.40999999999985</v>
      </c>
      <c r="T1658" s="18">
        <f t="shared" si="354"/>
        <v>221.01999999999953</v>
      </c>
      <c r="U1658" s="18">
        <f t="shared" si="362"/>
        <v>187.98400872720021</v>
      </c>
      <c r="V1658" s="33">
        <f ca="1">AVERAGE(E1658:OFFSET(E1658,-V$5+1,0))</f>
        <v>7547.8578571428561</v>
      </c>
      <c r="W1658" s="33">
        <f t="shared" ca="1" si="355"/>
        <v>7829.8338702336569</v>
      </c>
      <c r="X1658" s="33">
        <f t="shared" ca="1" si="356"/>
        <v>7265.8818440520554</v>
      </c>
      <c r="Y1658" s="32">
        <f t="shared" ca="1" si="363"/>
        <v>0</v>
      </c>
    </row>
    <row r="1659" spans="1:25">
      <c r="A1659" s="5">
        <v>40805</v>
      </c>
      <c r="B1659" s="4">
        <v>7572.83</v>
      </c>
      <c r="C1659" s="4">
        <v>7572.94</v>
      </c>
      <c r="D1659" s="4">
        <v>7468.77</v>
      </c>
      <c r="E1659" s="4">
        <v>7480.88</v>
      </c>
      <c r="F1659" s="4">
        <v>1743600</v>
      </c>
      <c r="G1659" s="8">
        <f t="shared" si="351"/>
        <v>-4.569999999999709</v>
      </c>
      <c r="H1659" s="8">
        <f t="shared" si="350"/>
        <v>-91.949999999999818</v>
      </c>
      <c r="I1659" s="20">
        <f t="shared" ca="1" si="357"/>
        <v>0</v>
      </c>
      <c r="J1659" s="8">
        <f t="shared" ca="1" si="358"/>
        <v>-1</v>
      </c>
      <c r="K1659" s="8">
        <f t="shared" ca="1" si="359"/>
        <v>96.519999999999527</v>
      </c>
      <c r="L1659" s="8">
        <f t="shared" ca="1" si="360"/>
        <v>14807.930000000011</v>
      </c>
      <c r="M1659" s="9">
        <f ca="1">AVERAGE(E1659:OFFSET(E1659,-M$5+1,0))</f>
        <v>7467.0509999999995</v>
      </c>
      <c r="N1659" s="9">
        <f ca="1">AVERAGE(E1659:OFFSET(E1659,-N$5+1,0))</f>
        <v>7518.6304999999993</v>
      </c>
      <c r="O1659" s="9">
        <f t="shared" ca="1" si="361"/>
        <v>0</v>
      </c>
      <c r="P1659" s="14">
        <f t="shared" si="352"/>
        <v>-1.2819700772705316</v>
      </c>
      <c r="Q1659" s="15">
        <f ca="1">STDEV(P1659:OFFSET(P1659,-$Q$5+1,0))</f>
        <v>2.206353711027135</v>
      </c>
      <c r="R1659" s="15">
        <f ca="1">STDEV(P1659:OFFSET(P1659,-$R$5+1,0))</f>
        <v>1.9701633767596456</v>
      </c>
      <c r="S1659" s="18">
        <f t="shared" si="353"/>
        <v>104.16999999999916</v>
      </c>
      <c r="T1659" s="18">
        <f t="shared" si="354"/>
        <v>108.6299999999992</v>
      </c>
      <c r="U1659" s="18">
        <f t="shared" si="362"/>
        <v>177.40347423024008</v>
      </c>
      <c r="V1659" s="33">
        <f ca="1">AVERAGE(E1659:OFFSET(E1659,-V$5+1,0))</f>
        <v>7540.92</v>
      </c>
      <c r="W1659" s="33">
        <f t="shared" ca="1" si="355"/>
        <v>7807.0252113453598</v>
      </c>
      <c r="X1659" s="33">
        <f t="shared" ca="1" si="356"/>
        <v>7274.8147886546403</v>
      </c>
      <c r="Y1659" s="32">
        <f t="shared" ca="1" si="363"/>
        <v>0</v>
      </c>
    </row>
    <row r="1660" spans="1:25">
      <c r="A1660" s="5">
        <v>40806</v>
      </c>
      <c r="B1660" s="4">
        <v>7485.6</v>
      </c>
      <c r="C1660" s="4">
        <v>7544.88</v>
      </c>
      <c r="D1660" s="4">
        <v>7389.39</v>
      </c>
      <c r="E1660" s="4">
        <v>7492.85</v>
      </c>
      <c r="F1660" s="4">
        <v>2267200</v>
      </c>
      <c r="G1660" s="8">
        <f t="shared" si="351"/>
        <v>4.7200000000002547</v>
      </c>
      <c r="H1660" s="8">
        <f t="shared" si="350"/>
        <v>7.25</v>
      </c>
      <c r="I1660" s="20">
        <f t="shared" ca="1" si="357"/>
        <v>0</v>
      </c>
      <c r="J1660" s="8">
        <f t="shared" ca="1" si="358"/>
        <v>-1</v>
      </c>
      <c r="K1660" s="8">
        <f t="shared" ca="1" si="359"/>
        <v>-11.970000000000255</v>
      </c>
      <c r="L1660" s="8">
        <f t="shared" ca="1" si="360"/>
        <v>14795.96000000001</v>
      </c>
      <c r="M1660" s="9">
        <f ca="1">AVERAGE(E1660:OFFSET(E1660,-M$5+1,0))</f>
        <v>7461.179000000001</v>
      </c>
      <c r="N1660" s="9">
        <f ca="1">AVERAGE(E1660:OFFSET(E1660,-N$5+1,0))</f>
        <v>7527.6435000000001</v>
      </c>
      <c r="O1660" s="9">
        <f t="shared" ca="1" si="361"/>
        <v>0</v>
      </c>
      <c r="P1660" s="14">
        <f t="shared" si="352"/>
        <v>0.15988003723550318</v>
      </c>
      <c r="Q1660" s="15">
        <f ca="1">STDEV(P1660:OFFSET(P1660,-$Q$5+1,0))</f>
        <v>2.0516326880901201</v>
      </c>
      <c r="R1660" s="15">
        <f ca="1">STDEV(P1660:OFFSET(P1660,-$R$5+1,0))</f>
        <v>1.9700704000565425</v>
      </c>
      <c r="S1660" s="18">
        <f t="shared" si="353"/>
        <v>155.48999999999978</v>
      </c>
      <c r="T1660" s="18">
        <f t="shared" si="354"/>
        <v>155.48999999999978</v>
      </c>
      <c r="U1660" s="18">
        <f t="shared" si="362"/>
        <v>174.48167766620804</v>
      </c>
      <c r="V1660" s="33">
        <f ca="1">AVERAGE(E1660:OFFSET(E1660,-V$5+1,0))</f>
        <v>7529.9671428571437</v>
      </c>
      <c r="W1660" s="33">
        <f t="shared" ca="1" si="355"/>
        <v>7791.6896593564561</v>
      </c>
      <c r="X1660" s="33">
        <f t="shared" ca="1" si="356"/>
        <v>7268.2446263578313</v>
      </c>
      <c r="Y1660" s="32">
        <f t="shared" ca="1" si="363"/>
        <v>0</v>
      </c>
    </row>
    <row r="1661" spans="1:25">
      <c r="A1661" s="5">
        <v>40807</v>
      </c>
      <c r="B1661" s="4">
        <v>7515.66</v>
      </c>
      <c r="C1661" s="4">
        <v>7574.78</v>
      </c>
      <c r="D1661" s="4">
        <v>7465.98</v>
      </c>
      <c r="E1661" s="4">
        <v>7535.88</v>
      </c>
      <c r="F1661" s="4">
        <v>2492600</v>
      </c>
      <c r="G1661" s="8">
        <f t="shared" si="351"/>
        <v>22.809999999999491</v>
      </c>
      <c r="H1661" s="8">
        <f t="shared" si="350"/>
        <v>20.220000000000255</v>
      </c>
      <c r="I1661" s="20">
        <f t="shared" ca="1" si="357"/>
        <v>0</v>
      </c>
      <c r="J1661" s="8">
        <f t="shared" ca="1" si="358"/>
        <v>-1</v>
      </c>
      <c r="K1661" s="8">
        <f t="shared" ca="1" si="359"/>
        <v>-43.029999999999745</v>
      </c>
      <c r="L1661" s="8">
        <f t="shared" ca="1" si="360"/>
        <v>14752.930000000011</v>
      </c>
      <c r="M1661" s="9">
        <f ca="1">AVERAGE(E1661:OFFSET(E1661,-M$5+1,0))</f>
        <v>7478.0480000000007</v>
      </c>
      <c r="N1661" s="9">
        <f ca="1">AVERAGE(E1661:OFFSET(E1661,-N$5+1,0))</f>
        <v>7526.9259999999995</v>
      </c>
      <c r="O1661" s="9">
        <f t="shared" ca="1" si="361"/>
        <v>0</v>
      </c>
      <c r="P1661" s="14">
        <f t="shared" si="352"/>
        <v>0.57263810827095196</v>
      </c>
      <c r="Q1661" s="15">
        <f ca="1">STDEV(P1661:OFFSET(P1661,-$Q$5+1,0))</f>
        <v>1.8752401964612611</v>
      </c>
      <c r="R1661" s="15">
        <f ca="1">STDEV(P1661:OFFSET(P1661,-$R$5+1,0))</f>
        <v>1.9583097322764984</v>
      </c>
      <c r="S1661" s="18">
        <f t="shared" si="353"/>
        <v>108.80000000000018</v>
      </c>
      <c r="T1661" s="18">
        <f t="shared" si="354"/>
        <v>108.80000000000018</v>
      </c>
      <c r="U1661" s="18">
        <f t="shared" si="362"/>
        <v>165.72412064404699</v>
      </c>
      <c r="V1661" s="33">
        <f ca="1">AVERAGE(E1661:OFFSET(E1661,-V$5+1,0))</f>
        <v>7515.29</v>
      </c>
      <c r="W1661" s="33">
        <f t="shared" ca="1" si="355"/>
        <v>7763.87618096607</v>
      </c>
      <c r="X1661" s="33">
        <f t="shared" ca="1" si="356"/>
        <v>7266.7038190339299</v>
      </c>
      <c r="Y1661" s="32">
        <f t="shared" ca="1" si="363"/>
        <v>0</v>
      </c>
    </row>
    <row r="1662" spans="1:25">
      <c r="A1662" s="5">
        <v>40808</v>
      </c>
      <c r="B1662" s="4">
        <v>7419.49</v>
      </c>
      <c r="C1662" s="4">
        <v>7419.49</v>
      </c>
      <c r="D1662" s="4">
        <v>7287.76</v>
      </c>
      <c r="E1662" s="4">
        <v>7305.5</v>
      </c>
      <c r="F1662" s="4">
        <v>2665400</v>
      </c>
      <c r="G1662" s="8">
        <f t="shared" si="351"/>
        <v>-116.39000000000033</v>
      </c>
      <c r="H1662" s="8">
        <f t="shared" si="350"/>
        <v>-113.98999999999978</v>
      </c>
      <c r="I1662" s="20">
        <f t="shared" ca="1" si="357"/>
        <v>0</v>
      </c>
      <c r="J1662" s="8">
        <f t="shared" ca="1" si="358"/>
        <v>-1</v>
      </c>
      <c r="K1662" s="8">
        <f t="shared" ca="1" si="359"/>
        <v>230.38000000000011</v>
      </c>
      <c r="L1662" s="8">
        <f t="shared" ca="1" si="360"/>
        <v>14983.310000000012</v>
      </c>
      <c r="M1662" s="9">
        <f ca="1">AVERAGE(E1662:OFFSET(E1662,-M$5+1,0))</f>
        <v>7455.6970000000001</v>
      </c>
      <c r="N1662" s="9">
        <f ca="1">AVERAGE(E1662:OFFSET(E1662,-N$5+1,0))</f>
        <v>7517.0545000000002</v>
      </c>
      <c r="O1662" s="9">
        <f t="shared" ca="1" si="361"/>
        <v>0</v>
      </c>
      <c r="P1662" s="14">
        <f t="shared" si="352"/>
        <v>-3.1048124450399528</v>
      </c>
      <c r="Q1662" s="15">
        <f ca="1">STDEV(P1662:OFFSET(P1662,-$Q$5+1,0))</f>
        <v>2.0047785417085962</v>
      </c>
      <c r="R1662" s="15">
        <f ca="1">STDEV(P1662:OFFSET(P1662,-$R$5+1,0))</f>
        <v>2.0015982088127053</v>
      </c>
      <c r="S1662" s="18">
        <f t="shared" si="353"/>
        <v>131.72999999999956</v>
      </c>
      <c r="T1662" s="18">
        <f t="shared" si="354"/>
        <v>248.11999999999989</v>
      </c>
      <c r="U1662" s="18">
        <f t="shared" si="362"/>
        <v>176.71023789150738</v>
      </c>
      <c r="V1662" s="33">
        <f ca="1">AVERAGE(E1662:OFFSET(E1662,-V$5+1,0))</f>
        <v>7482.9857142857154</v>
      </c>
      <c r="W1662" s="33">
        <f t="shared" ca="1" si="355"/>
        <v>7748.0510711229763</v>
      </c>
      <c r="X1662" s="33">
        <f t="shared" ca="1" si="356"/>
        <v>7217.9203574484545</v>
      </c>
      <c r="Y1662" s="32">
        <f t="shared" ca="1" si="363"/>
        <v>0</v>
      </c>
    </row>
    <row r="1663" spans="1:25">
      <c r="A1663" s="5">
        <v>40809</v>
      </c>
      <c r="B1663" s="4">
        <v>7101.34</v>
      </c>
      <c r="C1663" s="4">
        <v>7126.81</v>
      </c>
      <c r="D1663" s="4">
        <v>6997.61</v>
      </c>
      <c r="E1663" s="4">
        <v>7046.22</v>
      </c>
      <c r="F1663" s="4">
        <v>3274800</v>
      </c>
      <c r="G1663" s="8">
        <f t="shared" si="351"/>
        <v>-204.15999999999985</v>
      </c>
      <c r="H1663" s="8">
        <f t="shared" si="350"/>
        <v>-55.119999999999891</v>
      </c>
      <c r="I1663" s="20">
        <f t="shared" ca="1" si="357"/>
        <v>-1</v>
      </c>
      <c r="J1663" s="8">
        <f t="shared" ca="1" si="358"/>
        <v>-1</v>
      </c>
      <c r="K1663" s="8">
        <f t="shared" ca="1" si="359"/>
        <v>259.27999999999975</v>
      </c>
      <c r="L1663" s="8">
        <f t="shared" ca="1" si="360"/>
        <v>15242.590000000011</v>
      </c>
      <c r="M1663" s="9">
        <f ca="1">AVERAGE(E1663:OFFSET(E1663,-M$5+1,0))</f>
        <v>7405.4819999999991</v>
      </c>
      <c r="N1663" s="9">
        <f ca="1">AVERAGE(E1663:OFFSET(E1663,-N$5+1,0))</f>
        <v>7498.8220000000001</v>
      </c>
      <c r="O1663" s="9">
        <f t="shared" ca="1" si="361"/>
        <v>0</v>
      </c>
      <c r="P1663" s="14">
        <f t="shared" si="352"/>
        <v>-3.6136186309239084</v>
      </c>
      <c r="Q1663" s="15">
        <f ca="1">STDEV(P1663:OFFSET(P1663,-$Q$5+1,0))</f>
        <v>2.2443437990478752</v>
      </c>
      <c r="R1663" s="15">
        <f ca="1">STDEV(P1663:OFFSET(P1663,-$R$5+1,0))</f>
        <v>2.0624133247650436</v>
      </c>
      <c r="S1663" s="18">
        <f t="shared" si="353"/>
        <v>129.20000000000073</v>
      </c>
      <c r="T1663" s="18">
        <f t="shared" si="354"/>
        <v>307.89000000000033</v>
      </c>
      <c r="U1663" s="18">
        <f t="shared" si="362"/>
        <v>194.20087283930644</v>
      </c>
      <c r="V1663" s="33">
        <f ca="1">AVERAGE(E1663:OFFSET(E1663,-V$5+1,0))</f>
        <v>7432.2114285714288</v>
      </c>
      <c r="W1663" s="33">
        <f t="shared" ca="1" si="355"/>
        <v>7723.5127378303887</v>
      </c>
      <c r="X1663" s="33">
        <f t="shared" ca="1" si="356"/>
        <v>7140.9101193124689</v>
      </c>
      <c r="Y1663" s="32">
        <f t="shared" ca="1" si="363"/>
        <v>-1</v>
      </c>
    </row>
    <row r="1664" spans="1:25">
      <c r="A1664" s="5">
        <v>40812</v>
      </c>
      <c r="B1664" s="4">
        <v>7026.49</v>
      </c>
      <c r="C1664" s="4">
        <v>7058.43</v>
      </c>
      <c r="D1664" s="4">
        <v>6877.12</v>
      </c>
      <c r="E1664" s="4">
        <v>6877.12</v>
      </c>
      <c r="F1664" s="4">
        <v>2739400</v>
      </c>
      <c r="G1664" s="8">
        <f t="shared" si="351"/>
        <v>-19.730000000000473</v>
      </c>
      <c r="H1664" s="8">
        <f t="shared" si="350"/>
        <v>-149.36999999999989</v>
      </c>
      <c r="I1664" s="20">
        <f t="shared" ca="1" si="357"/>
        <v>0</v>
      </c>
      <c r="J1664" s="8">
        <f t="shared" ca="1" si="358"/>
        <v>-2</v>
      </c>
      <c r="K1664" s="8">
        <f t="shared" ca="1" si="359"/>
        <v>318.47000000000025</v>
      </c>
      <c r="L1664" s="8">
        <f t="shared" ca="1" si="360"/>
        <v>15561.060000000012</v>
      </c>
      <c r="M1664" s="9">
        <f ca="1">AVERAGE(E1664:OFFSET(E1664,-M$5+1,0))</f>
        <v>7332.1369999999979</v>
      </c>
      <c r="N1664" s="9">
        <f ca="1">AVERAGE(E1664:OFFSET(E1664,-N$5+1,0))</f>
        <v>7470.4229999999998</v>
      </c>
      <c r="O1664" s="9">
        <f t="shared" ca="1" si="361"/>
        <v>0</v>
      </c>
      <c r="P1664" s="14">
        <f t="shared" si="352"/>
        <v>-2.4291343166058921</v>
      </c>
      <c r="Q1664" s="15">
        <f ca="1">STDEV(P1664:OFFSET(P1664,-$Q$5+1,0))</f>
        <v>2.236826407612309</v>
      </c>
      <c r="R1664" s="15">
        <f ca="1">STDEV(P1664:OFFSET(P1664,-$R$5+1,0))</f>
        <v>2.0795478176117599</v>
      </c>
      <c r="S1664" s="18">
        <f t="shared" si="353"/>
        <v>181.3100000000004</v>
      </c>
      <c r="T1664" s="18">
        <f t="shared" si="354"/>
        <v>181.3100000000004</v>
      </c>
      <c r="U1664" s="18">
        <f t="shared" si="362"/>
        <v>192.48208979406564</v>
      </c>
      <c r="V1664" s="33">
        <f ca="1">AVERAGE(E1664:OFFSET(E1664,-V$5+1,0))</f>
        <v>7384.0364285714295</v>
      </c>
      <c r="W1664" s="33">
        <f t="shared" ca="1" si="355"/>
        <v>7672.759563262528</v>
      </c>
      <c r="X1664" s="33">
        <f t="shared" ca="1" si="356"/>
        <v>7095.313293880331</v>
      </c>
      <c r="Y1664" s="32">
        <f t="shared" ca="1" si="363"/>
        <v>0</v>
      </c>
    </row>
    <row r="1665" spans="1:25">
      <c r="A1665" s="5">
        <v>40813</v>
      </c>
      <c r="B1665" s="4">
        <v>7031.13</v>
      </c>
      <c r="C1665" s="4">
        <v>7119.14</v>
      </c>
      <c r="D1665" s="4">
        <v>7027.89</v>
      </c>
      <c r="E1665" s="4">
        <v>7089.95</v>
      </c>
      <c r="F1665" s="4">
        <v>2696600</v>
      </c>
      <c r="G1665" s="8">
        <f t="shared" si="351"/>
        <v>154.01000000000022</v>
      </c>
      <c r="H1665" s="8">
        <f t="shared" si="350"/>
        <v>58.819999999999709</v>
      </c>
      <c r="I1665" s="20">
        <f t="shared" ca="1" si="357"/>
        <v>0</v>
      </c>
      <c r="J1665" s="8">
        <f t="shared" ca="1" si="358"/>
        <v>-2</v>
      </c>
      <c r="K1665" s="8">
        <f t="shared" ca="1" si="359"/>
        <v>-425.65999999999985</v>
      </c>
      <c r="L1665" s="8">
        <f t="shared" ca="1" si="360"/>
        <v>15135.400000000012</v>
      </c>
      <c r="M1665" s="9">
        <f ca="1">AVERAGE(E1665:OFFSET(E1665,-M$5+1,0))</f>
        <v>7301.9949999999999</v>
      </c>
      <c r="N1665" s="9">
        <f ca="1">AVERAGE(E1665:OFFSET(E1665,-N$5+1,0))</f>
        <v>7446.0200000000013</v>
      </c>
      <c r="O1665" s="9">
        <f t="shared" ca="1" si="361"/>
        <v>0</v>
      </c>
      <c r="P1665" s="14">
        <f t="shared" si="352"/>
        <v>3.047832867828753</v>
      </c>
      <c r="Q1665" s="15">
        <f ca="1">STDEV(P1665:OFFSET(P1665,-$Q$5+1,0))</f>
        <v>2.4566188250967635</v>
      </c>
      <c r="R1665" s="15">
        <f ca="1">STDEV(P1665:OFFSET(P1665,-$R$5+1,0))</f>
        <v>2.1489341155137067</v>
      </c>
      <c r="S1665" s="18">
        <f t="shared" si="353"/>
        <v>91.25</v>
      </c>
      <c r="T1665" s="18">
        <f t="shared" si="354"/>
        <v>242.02000000000044</v>
      </c>
      <c r="U1665" s="18">
        <f t="shared" si="362"/>
        <v>199.08714448819029</v>
      </c>
      <c r="V1665" s="33">
        <f ca="1">AVERAGE(E1665:OFFSET(E1665,-V$5+1,0))</f>
        <v>7364.2335714285718</v>
      </c>
      <c r="W1665" s="33">
        <f t="shared" ca="1" si="355"/>
        <v>7662.8642881608575</v>
      </c>
      <c r="X1665" s="33">
        <f t="shared" ca="1" si="356"/>
        <v>7065.6028546962862</v>
      </c>
      <c r="Y1665" s="32">
        <f t="shared" ca="1" si="363"/>
        <v>0</v>
      </c>
    </row>
    <row r="1666" spans="1:25">
      <c r="A1666" s="5">
        <v>40814</v>
      </c>
      <c r="B1666" s="4">
        <v>7148.38</v>
      </c>
      <c r="C1666" s="4">
        <v>7154.4</v>
      </c>
      <c r="D1666" s="4">
        <v>7099.73</v>
      </c>
      <c r="E1666" s="4">
        <v>7146.98</v>
      </c>
      <c r="F1666" s="4">
        <v>2370600</v>
      </c>
      <c r="G1666" s="8">
        <f t="shared" si="351"/>
        <v>58.430000000000291</v>
      </c>
      <c r="H1666" s="8">
        <f t="shared" si="350"/>
        <v>-1.4000000000005457</v>
      </c>
      <c r="I1666" s="20">
        <f t="shared" ca="1" si="357"/>
        <v>0</v>
      </c>
      <c r="J1666" s="8">
        <f t="shared" ca="1" si="358"/>
        <v>-2</v>
      </c>
      <c r="K1666" s="8">
        <f t="shared" ca="1" si="359"/>
        <v>-114.05999999999949</v>
      </c>
      <c r="L1666" s="8">
        <f t="shared" ca="1" si="360"/>
        <v>15021.340000000013</v>
      </c>
      <c r="M1666" s="9">
        <f ca="1">AVERAGE(E1666:OFFSET(E1666,-M$5+1,0))</f>
        <v>7293.8459999999995</v>
      </c>
      <c r="N1666" s="9">
        <f ca="1">AVERAGE(E1666:OFFSET(E1666,-N$5+1,0))</f>
        <v>7421.0595000000012</v>
      </c>
      <c r="O1666" s="9">
        <f t="shared" ca="1" si="361"/>
        <v>0</v>
      </c>
      <c r="P1666" s="14">
        <f t="shared" si="352"/>
        <v>0.80116015239933736</v>
      </c>
      <c r="Q1666" s="15">
        <f ca="1">STDEV(P1666:OFFSET(P1666,-$Q$5+1,0))</f>
        <v>2.3943227545622134</v>
      </c>
      <c r="R1666" s="15">
        <f ca="1">STDEV(P1666:OFFSET(P1666,-$R$5+1,0))</f>
        <v>2.1543378431550755</v>
      </c>
      <c r="S1666" s="18">
        <f t="shared" si="353"/>
        <v>54.670000000000073</v>
      </c>
      <c r="T1666" s="18">
        <f t="shared" si="354"/>
        <v>64.449999999999818</v>
      </c>
      <c r="U1666" s="18">
        <f t="shared" si="362"/>
        <v>181.13552522309823</v>
      </c>
      <c r="V1666" s="33">
        <f ca="1">AVERAGE(E1666:OFFSET(E1666,-V$5+1,0))</f>
        <v>7336.9457142857136</v>
      </c>
      <c r="W1666" s="33">
        <f t="shared" ca="1" si="355"/>
        <v>7608.6490021203608</v>
      </c>
      <c r="X1666" s="33">
        <f t="shared" ca="1" si="356"/>
        <v>7065.2424264510664</v>
      </c>
      <c r="Y1666" s="32">
        <f t="shared" ca="1" si="363"/>
        <v>0</v>
      </c>
    </row>
    <row r="1667" spans="1:25">
      <c r="A1667" s="5">
        <v>40815</v>
      </c>
      <c r="B1667" s="4">
        <v>7090.12</v>
      </c>
      <c r="C1667" s="4">
        <v>7218.57</v>
      </c>
      <c r="D1667" s="4">
        <v>7061.01</v>
      </c>
      <c r="E1667" s="4">
        <v>7182.61</v>
      </c>
      <c r="F1667" s="4">
        <v>2291800</v>
      </c>
      <c r="G1667" s="8">
        <f t="shared" si="351"/>
        <v>-56.859999999999673</v>
      </c>
      <c r="H1667" s="8">
        <f t="shared" si="350"/>
        <v>92.489999999999782</v>
      </c>
      <c r="I1667" s="20">
        <f t="shared" ca="1" si="357"/>
        <v>0</v>
      </c>
      <c r="J1667" s="8">
        <f t="shared" ca="1" si="358"/>
        <v>-2</v>
      </c>
      <c r="K1667" s="8">
        <f t="shared" ca="1" si="359"/>
        <v>-71.260000000000218</v>
      </c>
      <c r="L1667" s="8">
        <f t="shared" ca="1" si="360"/>
        <v>14950.080000000013</v>
      </c>
      <c r="M1667" s="9">
        <f ca="1">AVERAGE(E1667:OFFSET(E1667,-M$5+1,0))</f>
        <v>7273.5389999999998</v>
      </c>
      <c r="N1667" s="9">
        <f ca="1">AVERAGE(E1667:OFFSET(E1667,-N$5+1,0))</f>
        <v>7393.1220000000003</v>
      </c>
      <c r="O1667" s="9">
        <f t="shared" ca="1" si="361"/>
        <v>0</v>
      </c>
      <c r="P1667" s="14">
        <f t="shared" si="352"/>
        <v>0.49729368987894818</v>
      </c>
      <c r="Q1667" s="15">
        <f ca="1">STDEV(P1667:OFFSET(P1667,-$Q$5+1,0))</f>
        <v>2.2746028084902825</v>
      </c>
      <c r="R1667" s="15">
        <f ca="1">STDEV(P1667:OFFSET(P1667,-$R$5+1,0))</f>
        <v>2.1527110254433262</v>
      </c>
      <c r="S1667" s="18">
        <f t="shared" si="353"/>
        <v>157.55999999999949</v>
      </c>
      <c r="T1667" s="18">
        <f t="shared" si="354"/>
        <v>157.55999999999949</v>
      </c>
      <c r="U1667" s="18">
        <f t="shared" si="362"/>
        <v>177.99212186001839</v>
      </c>
      <c r="V1667" s="33">
        <f ca="1">AVERAGE(E1667:OFFSET(E1667,-V$5+1,0))</f>
        <v>7310.8199999999988</v>
      </c>
      <c r="W1667" s="33">
        <f t="shared" ca="1" si="355"/>
        <v>7577.808182790026</v>
      </c>
      <c r="X1667" s="33">
        <f t="shared" ca="1" si="356"/>
        <v>7043.8318172099716</v>
      </c>
      <c r="Y1667" s="32">
        <f t="shared" ca="1" si="363"/>
        <v>0</v>
      </c>
    </row>
    <row r="1668" spans="1:25">
      <c r="A1668" s="5">
        <v>40816</v>
      </c>
      <c r="B1668" s="4">
        <v>7222.16</v>
      </c>
      <c r="C1668" s="4">
        <v>7251.87</v>
      </c>
      <c r="D1668" s="4">
        <v>7163.75</v>
      </c>
      <c r="E1668" s="4">
        <v>7225.38</v>
      </c>
      <c r="F1668" s="4">
        <v>2340800</v>
      </c>
      <c r="G1668" s="8">
        <f t="shared" si="351"/>
        <v>39.550000000000182</v>
      </c>
      <c r="H1668" s="8">
        <f t="shared" ref="H1668:H1682" si="364">E1668-B1668</f>
        <v>3.2200000000002547</v>
      </c>
      <c r="I1668" s="20">
        <f t="shared" ca="1" si="357"/>
        <v>0</v>
      </c>
      <c r="J1668" s="8">
        <f t="shared" ca="1" si="358"/>
        <v>-2</v>
      </c>
      <c r="K1668" s="8">
        <f t="shared" ca="1" si="359"/>
        <v>-85.540000000000873</v>
      </c>
      <c r="L1668" s="8">
        <f t="shared" ca="1" si="360"/>
        <v>14864.540000000012</v>
      </c>
      <c r="M1668" s="9">
        <f ca="1">AVERAGE(E1668:OFFSET(E1668,-M$5+1,0))</f>
        <v>7238.3370000000014</v>
      </c>
      <c r="N1668" s="9">
        <f ca="1">AVERAGE(E1668:OFFSET(E1668,-N$5+1,0))</f>
        <v>7366.5029999999997</v>
      </c>
      <c r="O1668" s="9">
        <f t="shared" ca="1" si="361"/>
        <v>0</v>
      </c>
      <c r="P1668" s="14">
        <f t="shared" si="352"/>
        <v>0.59370010153539954</v>
      </c>
      <c r="Q1668" s="15">
        <f ca="1">STDEV(P1668:OFFSET(P1668,-$Q$5+1,0))</f>
        <v>2.0780254099562332</v>
      </c>
      <c r="R1668" s="15">
        <f ca="1">STDEV(P1668:OFFSET(P1668,-$R$5+1,0))</f>
        <v>2.1485304824689577</v>
      </c>
      <c r="S1668" s="18">
        <f t="shared" si="353"/>
        <v>88.119999999999891</v>
      </c>
      <c r="T1668" s="18">
        <f t="shared" si="354"/>
        <v>88.119999999999891</v>
      </c>
      <c r="U1668" s="18">
        <f t="shared" si="362"/>
        <v>166.0091722786826</v>
      </c>
      <c r="V1668" s="33">
        <f ca="1">AVERAGE(E1668:OFFSET(E1668,-V$5+1,0))</f>
        <v>7283.3064285714272</v>
      </c>
      <c r="W1668" s="33">
        <f t="shared" ca="1" si="355"/>
        <v>7532.320186989451</v>
      </c>
      <c r="X1668" s="33">
        <f t="shared" ca="1" si="356"/>
        <v>7034.2926701534034</v>
      </c>
      <c r="Y1668" s="32">
        <f t="shared" ca="1" si="363"/>
        <v>0</v>
      </c>
    </row>
    <row r="1669" spans="1:25">
      <c r="A1669" s="5">
        <v>40819</v>
      </c>
      <c r="B1669" s="4">
        <v>7128.66</v>
      </c>
      <c r="C1669" s="4">
        <v>7128.66</v>
      </c>
      <c r="D1669" s="4">
        <v>6998.37</v>
      </c>
      <c r="E1669" s="4">
        <v>7013.97</v>
      </c>
      <c r="F1669" s="4">
        <v>2067600</v>
      </c>
      <c r="G1669" s="8">
        <f t="shared" ref="G1669:G1682" si="365">B1669-E1668</f>
        <v>-96.720000000000255</v>
      </c>
      <c r="H1669" s="8">
        <f t="shared" si="364"/>
        <v>-114.6899999999996</v>
      </c>
      <c r="I1669" s="20">
        <f t="shared" ca="1" si="357"/>
        <v>0</v>
      </c>
      <c r="J1669" s="8">
        <f t="shared" ca="1" si="358"/>
        <v>-2</v>
      </c>
      <c r="K1669" s="8">
        <f t="shared" ca="1" si="359"/>
        <v>422.81999999999971</v>
      </c>
      <c r="L1669" s="8">
        <f t="shared" ca="1" si="360"/>
        <v>15287.360000000011</v>
      </c>
      <c r="M1669" s="9">
        <f ca="1">AVERAGE(E1669:OFFSET(E1669,-M$5+1,0))</f>
        <v>7191.6459999999988</v>
      </c>
      <c r="N1669" s="9">
        <f ca="1">AVERAGE(E1669:OFFSET(E1669,-N$5+1,0))</f>
        <v>7329.3485000000001</v>
      </c>
      <c r="O1669" s="9">
        <f t="shared" ca="1" si="361"/>
        <v>0</v>
      </c>
      <c r="P1669" s="14">
        <f t="shared" ref="P1669:P1682" si="366">100*LN(E1669/E1668)</f>
        <v>-2.9695953222254983</v>
      </c>
      <c r="Q1669" s="15">
        <f ca="1">STDEV(P1669:OFFSET(P1669,-$Q$5+1,0))</f>
        <v>2.2148070065155099</v>
      </c>
      <c r="R1669" s="15">
        <f ca="1">STDEV(P1669:OFFSET(P1669,-$R$5+1,0))</f>
        <v>2.0104579928149118</v>
      </c>
      <c r="S1669" s="18">
        <f t="shared" si="353"/>
        <v>130.28999999999996</v>
      </c>
      <c r="T1669" s="18">
        <f t="shared" si="354"/>
        <v>227.01000000000022</v>
      </c>
      <c r="U1669" s="18">
        <f t="shared" si="362"/>
        <v>174.14261597485827</v>
      </c>
      <c r="V1669" s="33">
        <f ca="1">AVERAGE(E1669:OFFSET(E1669,-V$5+1,0))</f>
        <v>7256.3492857142855</v>
      </c>
      <c r="W1669" s="33">
        <f t="shared" ca="1" si="355"/>
        <v>7517.563209676573</v>
      </c>
      <c r="X1669" s="33">
        <f t="shared" ca="1" si="356"/>
        <v>6995.1353617519981</v>
      </c>
      <c r="Y1669" s="32">
        <f t="shared" ca="1" si="363"/>
        <v>0</v>
      </c>
    </row>
    <row r="1670" spans="1:25">
      <c r="A1670" s="5">
        <v>40820</v>
      </c>
      <c r="B1670" s="4">
        <v>6937.24</v>
      </c>
      <c r="C1670" s="4">
        <v>7047.99</v>
      </c>
      <c r="D1670" s="4">
        <v>6889.99</v>
      </c>
      <c r="E1670" s="4">
        <v>7047.87</v>
      </c>
      <c r="F1670" s="4">
        <v>2281000</v>
      </c>
      <c r="G1670" s="8">
        <f t="shared" si="365"/>
        <v>-76.730000000000473</v>
      </c>
      <c r="H1670" s="8">
        <f t="shared" si="364"/>
        <v>110.63000000000011</v>
      </c>
      <c r="I1670" s="20">
        <f t="shared" ca="1" si="357"/>
        <v>0</v>
      </c>
      <c r="J1670" s="8">
        <f t="shared" ca="1" si="358"/>
        <v>-2</v>
      </c>
      <c r="K1670" s="8">
        <f t="shared" ca="1" si="359"/>
        <v>-67.799999999999272</v>
      </c>
      <c r="L1670" s="8">
        <f t="shared" ca="1" si="360"/>
        <v>15219.560000000012</v>
      </c>
      <c r="M1670" s="9">
        <f ca="1">AVERAGE(E1670:OFFSET(E1670,-M$5+1,0))</f>
        <v>7147.1479999999992</v>
      </c>
      <c r="N1670" s="9">
        <f ca="1">AVERAGE(E1670:OFFSET(E1670,-N$5+1,0))</f>
        <v>7304.1634999999997</v>
      </c>
      <c r="O1670" s="9">
        <f t="shared" ca="1" si="361"/>
        <v>0</v>
      </c>
      <c r="P1670" s="14">
        <f t="shared" si="366"/>
        <v>0.48215689659729299</v>
      </c>
      <c r="Q1670" s="15">
        <f ca="1">STDEV(P1670:OFFSET(P1670,-$Q$5+1,0))</f>
        <v>2.2301034051178004</v>
      </c>
      <c r="R1670" s="15">
        <f ca="1">STDEV(P1670:OFFSET(P1670,-$R$5+1,0))</f>
        <v>1.9259284119170932</v>
      </c>
      <c r="S1670" s="18">
        <f t="shared" si="353"/>
        <v>158</v>
      </c>
      <c r="T1670" s="18">
        <f t="shared" si="354"/>
        <v>158</v>
      </c>
      <c r="U1670" s="18">
        <f t="shared" si="362"/>
        <v>171.9902671782105</v>
      </c>
      <c r="V1670" s="33">
        <f ca="1">AVERAGE(E1670:OFFSET(E1670,-V$5+1,0))</f>
        <v>7243.449285714285</v>
      </c>
      <c r="W1670" s="33">
        <f t="shared" ca="1" si="355"/>
        <v>7501.4346864816007</v>
      </c>
      <c r="X1670" s="33">
        <f t="shared" ca="1" si="356"/>
        <v>6985.4638849469693</v>
      </c>
      <c r="Y1670" s="32">
        <f t="shared" ca="1" si="363"/>
        <v>0</v>
      </c>
    </row>
    <row r="1671" spans="1:25">
      <c r="A1671" s="5">
        <v>40821</v>
      </c>
      <c r="B1671" s="4">
        <v>7061.17</v>
      </c>
      <c r="C1671" s="4">
        <v>7091.01</v>
      </c>
      <c r="D1671" s="4">
        <v>6989.15</v>
      </c>
      <c r="E1671" s="4">
        <v>6989.15</v>
      </c>
      <c r="F1671" s="4">
        <v>1735200</v>
      </c>
      <c r="G1671" s="8">
        <f t="shared" si="365"/>
        <v>13.300000000000182</v>
      </c>
      <c r="H1671" s="8">
        <f t="shared" si="364"/>
        <v>-72.020000000000437</v>
      </c>
      <c r="I1671" s="20">
        <f t="shared" ca="1" si="357"/>
        <v>0</v>
      </c>
      <c r="J1671" s="8">
        <f t="shared" ca="1" si="358"/>
        <v>-2</v>
      </c>
      <c r="K1671" s="8">
        <f t="shared" ca="1" si="359"/>
        <v>117.44000000000051</v>
      </c>
      <c r="L1671" s="8">
        <f t="shared" ca="1" si="360"/>
        <v>15337.000000000013</v>
      </c>
      <c r="M1671" s="9">
        <f ca="1">AVERAGE(E1671:OFFSET(E1671,-M$5+1,0))</f>
        <v>7092.4750000000004</v>
      </c>
      <c r="N1671" s="9">
        <f ca="1">AVERAGE(E1671:OFFSET(E1671,-N$5+1,0))</f>
        <v>7285.2614999999987</v>
      </c>
      <c r="O1671" s="9">
        <f t="shared" ca="1" si="361"/>
        <v>0</v>
      </c>
      <c r="P1671" s="14">
        <f t="shared" si="366"/>
        <v>-0.83664969522697219</v>
      </c>
      <c r="Q1671" s="15">
        <f ca="1">STDEV(P1671:OFFSET(P1671,-$Q$5+1,0))</f>
        <v>2.1910948834336841</v>
      </c>
      <c r="R1671" s="15">
        <f ca="1">STDEV(P1671:OFFSET(P1671,-$R$5+1,0))</f>
        <v>1.9262985097518077</v>
      </c>
      <c r="S1671" s="18">
        <f t="shared" si="353"/>
        <v>101.86000000000058</v>
      </c>
      <c r="T1671" s="18">
        <f t="shared" si="354"/>
        <v>101.86000000000058</v>
      </c>
      <c r="U1671" s="18">
        <f t="shared" si="362"/>
        <v>162.63956488778251</v>
      </c>
      <c r="V1671" s="33">
        <f ca="1">AVERAGE(E1671:OFFSET(E1671,-V$5+1,0))</f>
        <v>7215.1257142857139</v>
      </c>
      <c r="W1671" s="33">
        <f t="shared" ca="1" si="355"/>
        <v>7459.0850616173875</v>
      </c>
      <c r="X1671" s="33">
        <f t="shared" ca="1" si="356"/>
        <v>6971.1663669540403</v>
      </c>
      <c r="Y1671" s="32">
        <f t="shared" ca="1" si="363"/>
        <v>0</v>
      </c>
    </row>
    <row r="1672" spans="1:25">
      <c r="A1672" s="5">
        <v>40822</v>
      </c>
      <c r="B1672" s="4">
        <v>7094.61</v>
      </c>
      <c r="C1672" s="4">
        <v>7170.92</v>
      </c>
      <c r="D1672" s="4">
        <v>7094.61</v>
      </c>
      <c r="E1672" s="4">
        <v>7132</v>
      </c>
      <c r="F1672" s="4">
        <v>2206600</v>
      </c>
      <c r="G1672" s="8">
        <f t="shared" si="365"/>
        <v>105.46000000000004</v>
      </c>
      <c r="H1672" s="8">
        <f t="shared" si="364"/>
        <v>37.390000000000327</v>
      </c>
      <c r="I1672" s="20">
        <f t="shared" ca="1" si="357"/>
        <v>0</v>
      </c>
      <c r="J1672" s="8">
        <f t="shared" ca="1" si="358"/>
        <v>-2</v>
      </c>
      <c r="K1672" s="8">
        <f t="shared" ca="1" si="359"/>
        <v>-285.70000000000073</v>
      </c>
      <c r="L1672" s="8">
        <f t="shared" ca="1" si="360"/>
        <v>15051.300000000012</v>
      </c>
      <c r="M1672" s="9">
        <f ca="1">AVERAGE(E1672:OFFSET(E1672,-M$5+1,0))</f>
        <v>7075.125</v>
      </c>
      <c r="N1672" s="9">
        <f ca="1">AVERAGE(E1672:OFFSET(E1672,-N$5+1,0))</f>
        <v>7265.4110000000001</v>
      </c>
      <c r="O1672" s="9">
        <f t="shared" ca="1" si="361"/>
        <v>0</v>
      </c>
      <c r="P1672" s="14">
        <f t="shared" si="366"/>
        <v>2.0232753438317199</v>
      </c>
      <c r="Q1672" s="15">
        <f ca="1">STDEV(P1672:OFFSET(P1672,-$Q$5+1,0))</f>
        <v>2.1796211460705424</v>
      </c>
      <c r="R1672" s="15">
        <f ca="1">STDEV(P1672:OFFSET(P1672,-$R$5+1,0))</f>
        <v>1.8821973399719982</v>
      </c>
      <c r="S1672" s="18">
        <f t="shared" si="353"/>
        <v>76.3100000000004</v>
      </c>
      <c r="T1672" s="18">
        <f t="shared" si="354"/>
        <v>181.77000000000044</v>
      </c>
      <c r="U1672" s="18">
        <f t="shared" si="362"/>
        <v>165.19028956941156</v>
      </c>
      <c r="V1672" s="33">
        <f ca="1">AVERAGE(E1672:OFFSET(E1672,-V$5+1,0))</f>
        <v>7183.3114285714282</v>
      </c>
      <c r="W1672" s="33">
        <f t="shared" ca="1" si="355"/>
        <v>7431.0968629255458</v>
      </c>
      <c r="X1672" s="33">
        <f t="shared" ca="1" si="356"/>
        <v>6935.5259942173107</v>
      </c>
      <c r="Y1672" s="32">
        <f t="shared" ca="1" si="363"/>
        <v>0</v>
      </c>
    </row>
    <row r="1673" spans="1:25">
      <c r="A1673" s="5">
        <v>40823</v>
      </c>
      <c r="B1673" s="4">
        <v>7210.92</v>
      </c>
      <c r="C1673" s="4">
        <v>7253.09</v>
      </c>
      <c r="D1673" s="4">
        <v>7196.22</v>
      </c>
      <c r="E1673" s="4">
        <v>7211.96</v>
      </c>
      <c r="F1673" s="4">
        <v>2301800</v>
      </c>
      <c r="G1673" s="8">
        <f t="shared" si="365"/>
        <v>78.920000000000073</v>
      </c>
      <c r="H1673" s="8">
        <f t="shared" si="364"/>
        <v>1.0399999999999636</v>
      </c>
      <c r="I1673" s="20">
        <f t="shared" ca="1" si="357"/>
        <v>0</v>
      </c>
      <c r="J1673" s="8">
        <f t="shared" ca="1" si="358"/>
        <v>-2</v>
      </c>
      <c r="K1673" s="8">
        <f t="shared" ca="1" si="359"/>
        <v>-159.92000000000007</v>
      </c>
      <c r="L1673" s="8">
        <f t="shared" ca="1" si="360"/>
        <v>14891.380000000012</v>
      </c>
      <c r="M1673" s="9">
        <f ca="1">AVERAGE(E1673:OFFSET(E1673,-M$5+1,0))</f>
        <v>7091.6990000000005</v>
      </c>
      <c r="N1673" s="9">
        <f ca="1">AVERAGE(E1673:OFFSET(E1673,-N$5+1,0))</f>
        <v>7248.5904999999984</v>
      </c>
      <c r="O1673" s="9">
        <f t="shared" ca="1" si="361"/>
        <v>0</v>
      </c>
      <c r="P1673" s="14">
        <f t="shared" si="366"/>
        <v>1.1149059013093237</v>
      </c>
      <c r="Q1673" s="15">
        <f ca="1">STDEV(P1673:OFFSET(P1673,-$Q$5+1,0))</f>
        <v>1.8552835233574008</v>
      </c>
      <c r="R1673" s="15">
        <f ca="1">STDEV(P1673:OFFSET(P1673,-$R$5+1,0))</f>
        <v>1.893691520599021</v>
      </c>
      <c r="S1673" s="18">
        <f t="shared" si="353"/>
        <v>56.869999999999891</v>
      </c>
      <c r="T1673" s="18">
        <f t="shared" si="354"/>
        <v>121.09000000000015</v>
      </c>
      <c r="U1673" s="18">
        <f t="shared" si="362"/>
        <v>159.31025096015671</v>
      </c>
      <c r="V1673" s="33">
        <f ca="1">AVERAGE(E1673:OFFSET(E1673,-V$5+1,0))</f>
        <v>7164.102857142856</v>
      </c>
      <c r="W1673" s="33">
        <f t="shared" ca="1" si="355"/>
        <v>7403.0682335830907</v>
      </c>
      <c r="X1673" s="33">
        <f t="shared" ca="1" si="356"/>
        <v>6925.1374807026214</v>
      </c>
      <c r="Y1673" s="32">
        <f t="shared" ca="1" si="363"/>
        <v>0</v>
      </c>
    </row>
    <row r="1674" spans="1:25">
      <c r="A1674" s="5">
        <v>40827</v>
      </c>
      <c r="B1674" s="4">
        <v>7348.86</v>
      </c>
      <c r="C1674" s="4">
        <v>7398.71</v>
      </c>
      <c r="D1674" s="4">
        <v>7348.86</v>
      </c>
      <c r="E1674" s="4">
        <v>7398.71</v>
      </c>
      <c r="F1674" s="4">
        <v>2742000</v>
      </c>
      <c r="G1674" s="8">
        <f t="shared" si="365"/>
        <v>136.89999999999964</v>
      </c>
      <c r="H1674" s="8">
        <f t="shared" si="364"/>
        <v>49.850000000000364</v>
      </c>
      <c r="I1674" s="20">
        <f t="shared" ca="1" si="357"/>
        <v>0</v>
      </c>
      <c r="J1674" s="8">
        <f t="shared" ca="1" si="358"/>
        <v>-2</v>
      </c>
      <c r="K1674" s="8">
        <f t="shared" ca="1" si="359"/>
        <v>-373.5</v>
      </c>
      <c r="L1674" s="8">
        <f t="shared" ca="1" si="360"/>
        <v>14517.880000000012</v>
      </c>
      <c r="M1674" s="9">
        <f ca="1">AVERAGE(E1674:OFFSET(E1674,-M$5+1,0))</f>
        <v>7143.8580000000002</v>
      </c>
      <c r="N1674" s="9">
        <f ca="1">AVERAGE(E1674:OFFSET(E1674,-N$5+1,0))</f>
        <v>7237.9974999999977</v>
      </c>
      <c r="O1674" s="9">
        <f t="shared" ca="1" si="361"/>
        <v>0</v>
      </c>
      <c r="P1674" s="14">
        <f t="shared" si="366"/>
        <v>2.5564901675561331</v>
      </c>
      <c r="Q1674" s="15">
        <f ca="1">STDEV(P1674:OFFSET(P1674,-$Q$5+1,0))</f>
        <v>1.7259372560552739</v>
      </c>
      <c r="R1674" s="15">
        <f ca="1">STDEV(P1674:OFFSET(P1674,-$R$5+1,0))</f>
        <v>1.9358491979052224</v>
      </c>
      <c r="S1674" s="18">
        <f t="shared" si="353"/>
        <v>49.850000000000364</v>
      </c>
      <c r="T1674" s="18">
        <f t="shared" si="354"/>
        <v>186.75</v>
      </c>
      <c r="U1674" s="18">
        <f t="shared" si="362"/>
        <v>162.96888416546915</v>
      </c>
      <c r="V1674" s="33">
        <f ca="1">AVERAGE(E1674:OFFSET(E1674,-V$5+1,0))</f>
        <v>7157.3785714285714</v>
      </c>
      <c r="W1674" s="33">
        <f t="shared" ca="1" si="355"/>
        <v>7401.831897676775</v>
      </c>
      <c r="X1674" s="33">
        <f t="shared" ca="1" si="356"/>
        <v>6912.9252451803677</v>
      </c>
      <c r="Y1674" s="32">
        <f t="shared" ca="1" si="363"/>
        <v>0</v>
      </c>
    </row>
    <row r="1675" spans="1:25">
      <c r="A1675" s="5">
        <v>40828</v>
      </c>
      <c r="B1675" s="4">
        <v>7390.06</v>
      </c>
      <c r="C1675" s="4">
        <v>7407.08</v>
      </c>
      <c r="D1675" s="4">
        <v>7323.54</v>
      </c>
      <c r="E1675" s="4">
        <v>7382.35</v>
      </c>
      <c r="F1675" s="4">
        <v>2189800</v>
      </c>
      <c r="G1675" s="8">
        <f t="shared" si="365"/>
        <v>-8.6499999999996362</v>
      </c>
      <c r="H1675" s="8">
        <f t="shared" si="364"/>
        <v>-7.7100000000000364</v>
      </c>
      <c r="I1675" s="20">
        <f t="shared" ca="1" si="357"/>
        <v>1</v>
      </c>
      <c r="J1675" s="8">
        <f t="shared" ca="1" si="358"/>
        <v>-2</v>
      </c>
      <c r="K1675" s="8">
        <f t="shared" ca="1" si="359"/>
        <v>32.719999999999345</v>
      </c>
      <c r="L1675" s="8">
        <f t="shared" ca="1" si="360"/>
        <v>14550.600000000011</v>
      </c>
      <c r="M1675" s="9">
        <f ca="1">AVERAGE(E1675:OFFSET(E1675,-M$5+1,0))</f>
        <v>7173.0980000000009</v>
      </c>
      <c r="N1675" s="9">
        <f ca="1">AVERAGE(E1675:OFFSET(E1675,-N$5+1,0))</f>
        <v>7237.5464999999995</v>
      </c>
      <c r="O1675" s="9">
        <f t="shared" ca="1" si="361"/>
        <v>0</v>
      </c>
      <c r="P1675" s="14">
        <f t="shared" si="366"/>
        <v>-0.22136445803799731</v>
      </c>
      <c r="Q1675" s="15">
        <f ca="1">STDEV(P1675:OFFSET(P1675,-$Q$5+1,0))</f>
        <v>1.5376976249015497</v>
      </c>
      <c r="R1675" s="15">
        <f ca="1">STDEV(P1675:OFFSET(P1675,-$R$5+1,0))</f>
        <v>1.8950480942859367</v>
      </c>
      <c r="S1675" s="18">
        <f t="shared" si="353"/>
        <v>83.539999999999964</v>
      </c>
      <c r="T1675" s="18">
        <f t="shared" si="354"/>
        <v>83.539999999999964</v>
      </c>
      <c r="U1675" s="18">
        <f t="shared" si="362"/>
        <v>152.37836627673994</v>
      </c>
      <c r="V1675" s="33">
        <f ca="1">AVERAGE(E1675:OFFSET(E1675,-V$5+1,0))</f>
        <v>7146.4121428571443</v>
      </c>
      <c r="W1675" s="33">
        <f t="shared" ca="1" si="355"/>
        <v>7374.9796922722544</v>
      </c>
      <c r="X1675" s="33">
        <f t="shared" ca="1" si="356"/>
        <v>6917.8445934420342</v>
      </c>
      <c r="Y1675" s="32">
        <f t="shared" ca="1" si="363"/>
        <v>1</v>
      </c>
    </row>
    <row r="1676" spans="1:25">
      <c r="A1676" s="5">
        <v>40829</v>
      </c>
      <c r="B1676" s="4">
        <v>7423.18</v>
      </c>
      <c r="C1676" s="4">
        <v>7444.33</v>
      </c>
      <c r="D1676" s="4">
        <v>7372.41</v>
      </c>
      <c r="E1676" s="4">
        <v>7428.33</v>
      </c>
      <c r="F1676" s="4">
        <v>2356600</v>
      </c>
      <c r="G1676" s="8">
        <f t="shared" si="365"/>
        <v>40.829999999999927</v>
      </c>
      <c r="H1676" s="8">
        <f t="shared" si="364"/>
        <v>5.1499999999996362</v>
      </c>
      <c r="I1676" s="20">
        <f t="shared" ca="1" si="357"/>
        <v>0</v>
      </c>
      <c r="J1676" s="8">
        <f t="shared" ca="1" si="358"/>
        <v>-1</v>
      </c>
      <c r="K1676" s="8">
        <f t="shared" ca="1" si="359"/>
        <v>-86.809999999999491</v>
      </c>
      <c r="L1676" s="8">
        <f t="shared" ca="1" si="360"/>
        <v>14463.790000000012</v>
      </c>
      <c r="M1676" s="9">
        <f ca="1">AVERAGE(E1676:OFFSET(E1676,-M$5+1,0))</f>
        <v>7201.2329999999984</v>
      </c>
      <c r="N1676" s="9">
        <f ca="1">AVERAGE(E1676:OFFSET(E1676,-N$5+1,0))</f>
        <v>7247.539499999999</v>
      </c>
      <c r="O1676" s="9">
        <f t="shared" ca="1" si="361"/>
        <v>0</v>
      </c>
      <c r="P1676" s="14">
        <f t="shared" si="366"/>
        <v>0.62090528888089658</v>
      </c>
      <c r="Q1676" s="15">
        <f ca="1">STDEV(P1676:OFFSET(P1676,-$Q$5+1,0))</f>
        <v>1.533577440595379</v>
      </c>
      <c r="R1676" s="15">
        <f ca="1">STDEV(P1676:OFFSET(P1676,-$R$5+1,0))</f>
        <v>1.898765671423269</v>
      </c>
      <c r="S1676" s="18">
        <f t="shared" si="353"/>
        <v>71.920000000000073</v>
      </c>
      <c r="T1676" s="18">
        <f t="shared" si="354"/>
        <v>71.920000000000073</v>
      </c>
      <c r="U1676" s="18">
        <f t="shared" si="362"/>
        <v>141.65058410650795</v>
      </c>
      <c r="V1676" s="33">
        <f ca="1">AVERAGE(E1676:OFFSET(E1676,-V$5+1,0))</f>
        <v>7155.1857142857161</v>
      </c>
      <c r="W1676" s="33">
        <f t="shared" ca="1" si="355"/>
        <v>7367.6615904454784</v>
      </c>
      <c r="X1676" s="33">
        <f t="shared" ca="1" si="356"/>
        <v>6942.7098381259539</v>
      </c>
      <c r="Y1676" s="32">
        <f t="shared" ca="1" si="363"/>
        <v>0</v>
      </c>
    </row>
    <row r="1677" spans="1:25">
      <c r="A1677" s="5">
        <v>40830</v>
      </c>
      <c r="B1677" s="4">
        <v>7430.5</v>
      </c>
      <c r="C1677" s="4">
        <v>7430.5</v>
      </c>
      <c r="D1677" s="4">
        <v>7353.8</v>
      </c>
      <c r="E1677" s="4">
        <v>7358.08</v>
      </c>
      <c r="F1677" s="4">
        <v>1807200</v>
      </c>
      <c r="G1677" s="8">
        <f t="shared" si="365"/>
        <v>2.1700000000000728</v>
      </c>
      <c r="H1677" s="8">
        <f t="shared" si="364"/>
        <v>-72.420000000000073</v>
      </c>
      <c r="I1677" s="20">
        <f t="shared" ca="1" si="357"/>
        <v>0</v>
      </c>
      <c r="J1677" s="8">
        <f t="shared" ca="1" si="358"/>
        <v>-1</v>
      </c>
      <c r="K1677" s="8">
        <f t="shared" ca="1" si="359"/>
        <v>70.25</v>
      </c>
      <c r="L1677" s="8">
        <f t="shared" ca="1" si="360"/>
        <v>14534.040000000012</v>
      </c>
      <c r="M1677" s="9">
        <f ca="1">AVERAGE(E1677:OFFSET(E1677,-M$5+1,0))</f>
        <v>7218.7800000000007</v>
      </c>
      <c r="N1677" s="9">
        <f ca="1">AVERAGE(E1677:OFFSET(E1677,-N$5+1,0))</f>
        <v>7246.1594999999998</v>
      </c>
      <c r="O1677" s="9">
        <f t="shared" ca="1" si="361"/>
        <v>0</v>
      </c>
      <c r="P1677" s="14">
        <f t="shared" si="366"/>
        <v>-0.95020398547939133</v>
      </c>
      <c r="Q1677" s="15">
        <f ca="1">STDEV(P1677:OFFSET(P1677,-$Q$5+1,0))</f>
        <v>1.589220332452608</v>
      </c>
      <c r="R1677" s="15">
        <f ca="1">STDEV(P1677:OFFSET(P1677,-$R$5+1,0))</f>
        <v>1.9008815367949496</v>
      </c>
      <c r="S1677" s="18">
        <f t="shared" si="353"/>
        <v>76.699999999999818</v>
      </c>
      <c r="T1677" s="18">
        <f t="shared" si="354"/>
        <v>76.699999999999818</v>
      </c>
      <c r="U1677" s="18">
        <f t="shared" si="362"/>
        <v>132.99050622564019</v>
      </c>
      <c r="V1677" s="33">
        <f ca="1">AVERAGE(E1677:OFFSET(E1677,-V$5+1,0))</f>
        <v>7177.4614285714297</v>
      </c>
      <c r="W1677" s="33">
        <f t="shared" ca="1" si="355"/>
        <v>7376.9471879098901</v>
      </c>
      <c r="X1677" s="33">
        <f t="shared" ca="1" si="356"/>
        <v>6977.9756692329693</v>
      </c>
      <c r="Y1677" s="32">
        <f t="shared" ca="1" si="363"/>
        <v>0</v>
      </c>
    </row>
    <row r="1678" spans="1:25">
      <c r="A1678" s="5">
        <v>40833</v>
      </c>
      <c r="B1678" s="4">
        <v>7412.88</v>
      </c>
      <c r="C1678" s="4">
        <v>7475.06</v>
      </c>
      <c r="D1678" s="4">
        <v>7401.3</v>
      </c>
      <c r="E1678" s="4">
        <v>7461.12</v>
      </c>
      <c r="F1678" s="4">
        <v>1882200</v>
      </c>
      <c r="G1678" s="8">
        <f t="shared" si="365"/>
        <v>54.800000000000182</v>
      </c>
      <c r="H1678" s="8">
        <f t="shared" si="364"/>
        <v>48.239999999999782</v>
      </c>
      <c r="I1678" s="20">
        <f t="shared" ca="1" si="357"/>
        <v>1</v>
      </c>
      <c r="J1678" s="8">
        <f t="shared" ca="1" si="358"/>
        <v>-1</v>
      </c>
      <c r="K1678" s="8">
        <f t="shared" ca="1" si="359"/>
        <v>-103.03999999999996</v>
      </c>
      <c r="L1678" s="8">
        <f t="shared" ca="1" si="360"/>
        <v>14431.000000000011</v>
      </c>
      <c r="M1678" s="9">
        <f ca="1">AVERAGE(E1678:OFFSET(E1678,-M$5+1,0))</f>
        <v>7242.3539999999994</v>
      </c>
      <c r="N1678" s="9">
        <f ca="1">AVERAGE(E1678:OFFSET(E1678,-N$5+1,0))</f>
        <v>7240.3455000000004</v>
      </c>
      <c r="O1678" s="9">
        <f t="shared" ca="1" si="361"/>
        <v>1</v>
      </c>
      <c r="P1678" s="14">
        <f t="shared" si="366"/>
        <v>1.3906507851754977</v>
      </c>
      <c r="Q1678" s="15">
        <f ca="1">STDEV(P1678:OFFSET(P1678,-$Q$5+1,0))</f>
        <v>1.6283529811982556</v>
      </c>
      <c r="R1678" s="15">
        <f ca="1">STDEV(P1678:OFFSET(P1678,-$R$5+1,0))</f>
        <v>1.8991871799881834</v>
      </c>
      <c r="S1678" s="18">
        <f t="shared" si="353"/>
        <v>73.760000000000218</v>
      </c>
      <c r="T1678" s="18">
        <f t="shared" si="354"/>
        <v>116.98000000000047</v>
      </c>
      <c r="U1678" s="18">
        <f t="shared" si="362"/>
        <v>130.85577206222155</v>
      </c>
      <c r="V1678" s="33">
        <f ca="1">AVERAGE(E1678:OFFSET(E1678,-V$5+1,0))</f>
        <v>7219.175714285715</v>
      </c>
      <c r="W1678" s="33">
        <f t="shared" ca="1" si="355"/>
        <v>7415.4593723790476</v>
      </c>
      <c r="X1678" s="33">
        <f t="shared" ca="1" si="356"/>
        <v>7022.8920561923824</v>
      </c>
      <c r="Y1678" s="32">
        <f t="shared" ca="1" si="363"/>
        <v>1</v>
      </c>
    </row>
    <row r="1679" spans="1:25">
      <c r="A1679" s="5">
        <v>40834</v>
      </c>
      <c r="B1679" s="4">
        <v>7352.12</v>
      </c>
      <c r="C1679" s="4">
        <v>7379.08</v>
      </c>
      <c r="D1679" s="4">
        <v>7322.01</v>
      </c>
      <c r="E1679" s="4">
        <v>7359.48</v>
      </c>
      <c r="F1679" s="4">
        <v>1638200</v>
      </c>
      <c r="G1679" s="8">
        <f t="shared" si="365"/>
        <v>-109</v>
      </c>
      <c r="H1679" s="8">
        <f t="shared" si="364"/>
        <v>7.3599999999996726</v>
      </c>
      <c r="I1679" s="20">
        <f t="shared" ca="1" si="357"/>
        <v>0</v>
      </c>
      <c r="J1679" s="8">
        <f t="shared" ca="1" si="358"/>
        <v>0</v>
      </c>
      <c r="K1679" s="8">
        <f t="shared" ca="1" si="359"/>
        <v>109</v>
      </c>
      <c r="L1679" s="8">
        <f t="shared" ca="1" si="360"/>
        <v>14540.000000000011</v>
      </c>
      <c r="M1679" s="9">
        <f ca="1">AVERAGE(E1679:OFFSET(E1679,-M$5+1,0))</f>
        <v>7276.9050000000007</v>
      </c>
      <c r="N1679" s="9">
        <f ca="1">AVERAGE(E1679:OFFSET(E1679,-N$5+1,0))</f>
        <v>7234.2755000000006</v>
      </c>
      <c r="O1679" s="9">
        <f t="shared" ca="1" si="361"/>
        <v>0</v>
      </c>
      <c r="P1679" s="14">
        <f t="shared" si="366"/>
        <v>-1.3716258924049201</v>
      </c>
      <c r="Q1679" s="15">
        <f ca="1">STDEV(P1679:OFFSET(P1679,-$Q$5+1,0))</f>
        <v>1.3184684981791057</v>
      </c>
      <c r="R1679" s="15">
        <f ca="1">STDEV(P1679:OFFSET(P1679,-$R$5+1,0))</f>
        <v>1.8216864402480883</v>
      </c>
      <c r="S1679" s="18">
        <f t="shared" si="353"/>
        <v>57.069999999999709</v>
      </c>
      <c r="T1679" s="18">
        <f t="shared" si="354"/>
        <v>139.10999999999967</v>
      </c>
      <c r="U1679" s="18">
        <f t="shared" si="362"/>
        <v>131.95633578725864</v>
      </c>
      <c r="V1679" s="33">
        <f ca="1">AVERAGE(E1679:OFFSET(E1679,-V$5+1,0))</f>
        <v>7238.4278571428576</v>
      </c>
      <c r="W1679" s="33">
        <f t="shared" ca="1" si="355"/>
        <v>7436.3623608237458</v>
      </c>
      <c r="X1679" s="33">
        <f t="shared" ca="1" si="356"/>
        <v>7040.4933534619695</v>
      </c>
      <c r="Y1679" s="32">
        <f t="shared" ca="1" si="363"/>
        <v>0</v>
      </c>
    </row>
    <row r="1680" spans="1:25">
      <c r="A1680" s="5">
        <v>40835</v>
      </c>
      <c r="B1680" s="4">
        <v>7393.73</v>
      </c>
      <c r="C1680" s="4">
        <v>7393.73</v>
      </c>
      <c r="D1680" s="4">
        <v>7316.58</v>
      </c>
      <c r="E1680" s="4">
        <v>7353.37</v>
      </c>
      <c r="F1680" s="4">
        <v>1715800</v>
      </c>
      <c r="G1680" s="8">
        <f t="shared" si="365"/>
        <v>34.25</v>
      </c>
      <c r="H1680" s="8">
        <f t="shared" si="364"/>
        <v>-40.359999999999673</v>
      </c>
      <c r="I1680" s="20">
        <f t="shared" ca="1" si="357"/>
        <v>0</v>
      </c>
      <c r="J1680" s="8">
        <f t="shared" ca="1" si="358"/>
        <v>0</v>
      </c>
      <c r="K1680" s="8">
        <f t="shared" ca="1" si="359"/>
        <v>0</v>
      </c>
      <c r="L1680" s="8">
        <f t="shared" ca="1" si="360"/>
        <v>14540.000000000011</v>
      </c>
      <c r="M1680" s="9">
        <f ca="1">AVERAGE(E1680:OFFSET(E1680,-M$5+1,0))</f>
        <v>7307.4549999999999</v>
      </c>
      <c r="N1680" s="9">
        <f ca="1">AVERAGE(E1680:OFFSET(E1680,-N$5+1,0))</f>
        <v>7227.3014999999996</v>
      </c>
      <c r="O1680" s="9">
        <f t="shared" ca="1" si="361"/>
        <v>0</v>
      </c>
      <c r="P1680" s="14">
        <f t="shared" si="366"/>
        <v>-8.3056652534945527E-2</v>
      </c>
      <c r="Q1680" s="15">
        <f ca="1">STDEV(P1680:OFFSET(P1680,-$Q$5+1,0))</f>
        <v>1.3304669003741338</v>
      </c>
      <c r="R1680" s="15">
        <f ca="1">STDEV(P1680:OFFSET(P1680,-$R$5+1,0))</f>
        <v>1.8204801951359877</v>
      </c>
      <c r="S1680" s="18">
        <f t="shared" si="353"/>
        <v>77.149999999999636</v>
      </c>
      <c r="T1680" s="18">
        <f t="shared" si="354"/>
        <v>77.149999999999636</v>
      </c>
      <c r="U1680" s="18">
        <f t="shared" si="362"/>
        <v>124.64882434895745</v>
      </c>
      <c r="V1680" s="33">
        <f ca="1">AVERAGE(E1680:OFFSET(E1680,-V$5+1,0))</f>
        <v>7253.1699999999983</v>
      </c>
      <c r="W1680" s="33">
        <f t="shared" ca="1" si="355"/>
        <v>7440.1432365234341</v>
      </c>
      <c r="X1680" s="33">
        <f t="shared" ca="1" si="356"/>
        <v>7066.1967634765624</v>
      </c>
      <c r="Y1680" s="32">
        <f t="shared" ca="1" si="363"/>
        <v>0</v>
      </c>
    </row>
    <row r="1681" spans="1:25">
      <c r="A1681" s="5">
        <v>40836</v>
      </c>
      <c r="B1681" s="4">
        <v>7347.93</v>
      </c>
      <c r="C1681" s="4">
        <v>7361.22</v>
      </c>
      <c r="D1681" s="4">
        <v>7240.15</v>
      </c>
      <c r="E1681" s="4">
        <v>7244.32</v>
      </c>
      <c r="F1681" s="4">
        <v>1616000</v>
      </c>
      <c r="G1681" s="8">
        <f t="shared" si="365"/>
        <v>-5.4399999999995998</v>
      </c>
      <c r="H1681" s="8">
        <f t="shared" si="364"/>
        <v>-103.61000000000058</v>
      </c>
      <c r="I1681" s="20">
        <f t="shared" ca="1" si="357"/>
        <v>0</v>
      </c>
      <c r="J1681" s="8">
        <f t="shared" ca="1" si="358"/>
        <v>0</v>
      </c>
      <c r="K1681" s="8">
        <f t="shared" ca="1" si="359"/>
        <v>0</v>
      </c>
      <c r="L1681" s="8">
        <f t="shared" ca="1" si="360"/>
        <v>14540.000000000011</v>
      </c>
      <c r="M1681" s="9">
        <f ca="1">AVERAGE(E1681:OFFSET(E1681,-M$5+1,0))</f>
        <v>7332.9719999999998</v>
      </c>
      <c r="N1681" s="9">
        <f ca="1">AVERAGE(E1681:OFFSET(E1681,-N$5+1,0))</f>
        <v>7212.7235000000019</v>
      </c>
      <c r="O1681" s="9">
        <f t="shared" ca="1" si="361"/>
        <v>0</v>
      </c>
      <c r="P1681" s="14">
        <f t="shared" si="366"/>
        <v>-1.4940998010804631</v>
      </c>
      <c r="Q1681" s="15">
        <f ca="1">STDEV(P1681:OFFSET(P1681,-$Q$5+1,0))</f>
        <v>1.4133632908376466</v>
      </c>
      <c r="R1681" s="15">
        <f ca="1">STDEV(P1681:OFFSET(P1681,-$R$5+1,0))</f>
        <v>1.7602203153604266</v>
      </c>
      <c r="S1681" s="18">
        <f t="shared" si="353"/>
        <v>121.07000000000062</v>
      </c>
      <c r="T1681" s="18">
        <f t="shared" si="354"/>
        <v>121.07000000000062</v>
      </c>
      <c r="U1681" s="18">
        <f t="shared" si="362"/>
        <v>124.17164776909655</v>
      </c>
      <c r="V1681" s="33">
        <f ca="1">AVERAGE(E1681:OFFSET(E1681,-V$5+1,0))</f>
        <v>7257.5778571428573</v>
      </c>
      <c r="W1681" s="33">
        <f t="shared" ca="1" si="355"/>
        <v>7443.8353287965019</v>
      </c>
      <c r="X1681" s="33">
        <f t="shared" ca="1" si="356"/>
        <v>7071.3203854892126</v>
      </c>
      <c r="Y1681" s="32">
        <f t="shared" ca="1" si="363"/>
        <v>0</v>
      </c>
    </row>
    <row r="1682" spans="1:25">
      <c r="A1682" s="5">
        <v>40837</v>
      </c>
      <c r="B1682" s="4">
        <v>7272.51</v>
      </c>
      <c r="C1682" s="4">
        <v>7272.51</v>
      </c>
      <c r="D1682" s="4">
        <v>7205.21</v>
      </c>
      <c r="E1682" s="4">
        <v>7254.51</v>
      </c>
      <c r="F1682" s="4">
        <v>1398600</v>
      </c>
      <c r="G1682" s="8">
        <f t="shared" si="365"/>
        <v>28.190000000000509</v>
      </c>
      <c r="H1682" s="8">
        <f t="shared" si="364"/>
        <v>-18</v>
      </c>
      <c r="I1682" s="20">
        <f t="shared" ca="1" si="357"/>
        <v>0</v>
      </c>
      <c r="J1682" s="8">
        <f t="shared" ca="1" si="358"/>
        <v>0</v>
      </c>
      <c r="K1682" s="8">
        <f t="shared" ca="1" si="359"/>
        <v>0</v>
      </c>
      <c r="L1682" s="8">
        <f t="shared" ca="1" si="360"/>
        <v>14540.000000000011</v>
      </c>
      <c r="M1682" s="9">
        <f ca="1">AVERAGE(E1682:OFFSET(E1682,-M$5+1,0))</f>
        <v>7345.223</v>
      </c>
      <c r="N1682" s="9">
        <f ca="1">AVERAGE(E1682:OFFSET(E1682,-N$5+1,0))</f>
        <v>7210.1740000000009</v>
      </c>
      <c r="O1682" s="9">
        <f t="shared" ca="1" si="361"/>
        <v>0</v>
      </c>
      <c r="P1682" s="14">
        <f t="shared" si="366"/>
        <v>0.14056308926696995</v>
      </c>
      <c r="Q1682" s="15">
        <f ca="1">STDEV(P1682:OFFSET(P1682,-$Q$5+1,0))</f>
        <v>1.286694785918391</v>
      </c>
      <c r="R1682" s="15">
        <f ca="1">STDEV(P1682:OFFSET(P1682,-$R$5+1,0))</f>
        <v>1.7585375126306266</v>
      </c>
      <c r="S1682" s="18">
        <f t="shared" si="353"/>
        <v>67.300000000000182</v>
      </c>
      <c r="T1682" s="18">
        <f t="shared" si="354"/>
        <v>67.300000000000182</v>
      </c>
      <c r="U1682" s="18">
        <f t="shared" si="362"/>
        <v>116.58876139988371</v>
      </c>
      <c r="V1682" s="33">
        <f ca="1">AVERAGE(E1682:OFFSET(E1682,-V$5+1,0))</f>
        <v>7259.6585714285702</v>
      </c>
      <c r="W1682" s="33">
        <f t="shared" ca="1" si="355"/>
        <v>7434.541713528396</v>
      </c>
      <c r="X1682" s="33">
        <f t="shared" ca="1" si="356"/>
        <v>7084.7754293287444</v>
      </c>
      <c r="Y1682" s="32">
        <f t="shared" ca="1" si="363"/>
        <v>0</v>
      </c>
    </row>
  </sheetData>
  <mergeCells count="8">
    <mergeCell ref="K4:L4"/>
    <mergeCell ref="P1:R1"/>
    <mergeCell ref="Q4:R4"/>
    <mergeCell ref="V1:X1"/>
    <mergeCell ref="S1:U1"/>
    <mergeCell ref="A1:F1"/>
    <mergeCell ref="M1:O1"/>
    <mergeCell ref="G1:L1"/>
  </mergeCells>
  <phoneticPr fontId="1" type="noConversion"/>
  <pageMargins left="0.7" right="0.7" top="0.75" bottom="0.75" header="0.3" footer="0.3"/>
  <pageSetup paperSize="9" orientation="portrait" copies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result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Liu</dc:creator>
  <cp:lastModifiedBy>Nathan Liu</cp:lastModifiedBy>
  <dcterms:created xsi:type="dcterms:W3CDTF">2011-10-24T06:50:28Z</dcterms:created>
  <dcterms:modified xsi:type="dcterms:W3CDTF">2013-12-24T12:50:35Z</dcterms:modified>
</cp:coreProperties>
</file>